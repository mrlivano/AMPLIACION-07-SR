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arrtidas nuevassss\PARTIDAS NUEVAS\"/>
    </mc:Choice>
  </mc:AlternateContent>
  <xr:revisionPtr revIDLastSave="0" documentId="8_{112D4FFF-21CC-454C-B4C5-9D305E10C190}" xr6:coauthVersionLast="47" xr6:coauthVersionMax="47" xr10:uidLastSave="{00000000-0000-0000-0000-000000000000}"/>
  <bookViews>
    <workbookView xWindow="-108" yWindow="-108" windowWidth="23256" windowHeight="12576" tabRatio="854" firstSheet="14" activeTab="17" xr2:uid="{00000000-000D-0000-FFFF-FFFF00000000}"/>
  </bookViews>
  <sheets>
    <sheet name="BLOQUE 01" sheetId="4" r:id="rId1"/>
    <sheet name="BLOQUE 02" sheetId="5" r:id="rId2"/>
    <sheet name="BLOQUE 03" sheetId="6" r:id="rId3"/>
    <sheet name="BLOQUE 04" sheetId="10" r:id="rId4"/>
    <sheet name="BLOQUE 05" sheetId="11" r:id="rId5"/>
    <sheet name="BLOQUE 06" sheetId="12" r:id="rId6"/>
    <sheet name="BLOQUE 07" sheetId="13" r:id="rId7"/>
    <sheet name="BLOQUE 08" sheetId="14" r:id="rId8"/>
    <sheet name="BLOQUE 09" sheetId="16" r:id="rId9"/>
    <sheet name="BLOQUE 10" sheetId="15" r:id="rId10"/>
    <sheet name="BLOQUE 11" sheetId="7" r:id="rId11"/>
    <sheet name="ESCALERA ING." sheetId="8" r:id="rId12"/>
    <sheet name="QUIOSCOS" sheetId="9" r:id="rId13"/>
    <sheet name="GUARDIANÍAS" sheetId="25" r:id="rId14"/>
    <sheet name="ESCALERAS Y RAMPAS" sheetId="18" r:id="rId15"/>
    <sheet name="ESTACIONAMIENTO" sheetId="22" r:id="rId16"/>
    <sheet name="EXTERIORES" sheetId="27" r:id="rId17"/>
    <sheet name="RESUMEN GENERAL" sheetId="1" r:id="rId18"/>
  </sheets>
  <definedNames>
    <definedName name="_xlnm._FilterDatabase" localSheetId="0" hidden="1">'BLOQUE 01'!$C$16:$P$98</definedName>
    <definedName name="_xlnm._FilterDatabase" localSheetId="1" hidden="1">'BLOQUE 02'!$C$16:$P$67</definedName>
    <definedName name="_xlnm._FilterDatabase" localSheetId="2" hidden="1">'BLOQUE 03'!$C$16:$P$70</definedName>
    <definedName name="_xlnm._FilterDatabase" localSheetId="3" hidden="1">'BLOQUE 04'!$C$16:$P$20</definedName>
    <definedName name="_xlnm._FilterDatabase" localSheetId="4" hidden="1">'BLOQUE 05'!$C$16:$P$139</definedName>
    <definedName name="_xlnm._FilterDatabase" localSheetId="5" hidden="1">'BLOQUE 06'!$C$16:$P$101</definedName>
    <definedName name="_xlnm._FilterDatabase" localSheetId="6" hidden="1">'BLOQUE 07'!$C$16:$P$18</definedName>
    <definedName name="_xlnm._FilterDatabase" localSheetId="7" hidden="1">'BLOQUE 08'!$C$16:$P$37</definedName>
    <definedName name="_xlnm._FilterDatabase" localSheetId="8" hidden="1">'BLOQUE 09'!$C$16:$P$21</definedName>
    <definedName name="_xlnm._FilterDatabase" localSheetId="9" hidden="1">'BLOQUE 10'!$C$16:$P$20</definedName>
    <definedName name="_xlnm._FilterDatabase" localSheetId="10" hidden="1">'BLOQUE 11'!$C$16:$Q$153</definedName>
    <definedName name="_xlnm._FilterDatabase" localSheetId="11" hidden="1">'ESCALERA ING.'!$C$16:$P$32</definedName>
    <definedName name="_xlnm._FilterDatabase" localSheetId="14" hidden="1">'ESCALERAS Y RAMPAS'!$C$16:$P$21</definedName>
    <definedName name="_xlnm._FilterDatabase" localSheetId="15" hidden="1">ESTACIONAMIENTO!$C$16:$P$24</definedName>
    <definedName name="_xlnm._FilterDatabase" localSheetId="16" hidden="1">EXTERIORES!$C$16:$P$31</definedName>
    <definedName name="_xlnm._FilterDatabase" localSheetId="13" hidden="1">GUARDIANÍAS!$C$16:$P$52</definedName>
    <definedName name="_xlnm._FilterDatabase" localSheetId="12" hidden="1">QUIOSCOS!$C$16:$P$127</definedName>
    <definedName name="_xlnm._FilterDatabase" localSheetId="17" hidden="1">'RESUMEN GENERAL'!$A$9:$O$9</definedName>
    <definedName name="_xlnm.Print_Area" localSheetId="0">'BLOQUE 01'!$B$1:$Q$98</definedName>
    <definedName name="_xlnm.Print_Area" localSheetId="1">'BLOQUE 02'!$B$1:$Q$67</definedName>
    <definedName name="_xlnm.Print_Area" localSheetId="2">'BLOQUE 03'!$B$1:$P$70</definedName>
    <definedName name="_xlnm.Print_Area" localSheetId="3">'BLOQUE 04'!$B$1:$P$156</definedName>
    <definedName name="_xlnm.Print_Area" localSheetId="4">'BLOQUE 05'!$B$1:$P$140</definedName>
    <definedName name="_xlnm.Print_Area" localSheetId="5">'BLOQUE 06'!$B$1:$P$140</definedName>
    <definedName name="_xlnm.Print_Area" localSheetId="6">'BLOQUE 07'!$B$1:$P$57</definedName>
    <definedName name="_xlnm.Print_Area" localSheetId="7">'BLOQUE 08'!$B$1:$P$58</definedName>
    <definedName name="_xlnm.Print_Area" localSheetId="8">'BLOQUE 09'!$B$1:$Q$147</definedName>
    <definedName name="_xlnm.Print_Area" localSheetId="9">'BLOQUE 10'!$B$1:$P$104</definedName>
    <definedName name="_xlnm.Print_Area" localSheetId="10">'BLOQUE 11'!$B$1:$Q$153</definedName>
    <definedName name="_xlnm.Print_Area" localSheetId="11">'ESCALERA ING.'!$B$1:$P$32</definedName>
    <definedName name="_xlnm.Print_Area" localSheetId="14">'ESCALERAS Y RAMPAS'!$B$1:$P$49</definedName>
    <definedName name="_xlnm.Print_Area" localSheetId="15">ESTACIONAMIENTO!$B$1:$P$44</definedName>
    <definedName name="_xlnm.Print_Area" localSheetId="16">EXTERIORES!$B$1:$P$61</definedName>
    <definedName name="_xlnm.Print_Area" localSheetId="13">GUARDIANÍAS!$B$1:$P$52</definedName>
    <definedName name="_xlnm.Print_Area" localSheetId="12">QUIOSCOS!$B$1:$P$127</definedName>
    <definedName name="_xlnm.Print_Area" localSheetId="17">'RESUMEN GENERAL'!$A$1:$U$54</definedName>
    <definedName name="BLOQUE01" localSheetId="3">#REF!</definedName>
    <definedName name="BLOQUE01" localSheetId="4">#REF!</definedName>
    <definedName name="BLOQUE01" localSheetId="5">#REF!</definedName>
    <definedName name="BLOQUE01" localSheetId="6">#REF!</definedName>
    <definedName name="BLOQUE01" localSheetId="7">#REF!</definedName>
    <definedName name="BLOQUE01" localSheetId="8">#REF!</definedName>
    <definedName name="BLOQUE01" localSheetId="9">#REF!</definedName>
    <definedName name="BLOQUE01" localSheetId="14">#REF!</definedName>
    <definedName name="BLOQUE01" localSheetId="15">#REF!</definedName>
    <definedName name="BLOQUE01" localSheetId="16">#REF!</definedName>
    <definedName name="BLOQUE01">#REF!</definedName>
    <definedName name="_xlnm.Print_Titles" localSheetId="0">'BLOQUE 01'!$3:$16</definedName>
    <definedName name="_xlnm.Print_Titles" localSheetId="1">'BLOQUE 02'!$3:$16</definedName>
    <definedName name="_xlnm.Print_Titles" localSheetId="2">'BLOQUE 03'!$3:$16</definedName>
    <definedName name="_xlnm.Print_Titles" localSheetId="3">'BLOQUE 04'!$3:$16</definedName>
    <definedName name="_xlnm.Print_Titles" localSheetId="4">'BLOQUE 05'!$3:$16</definedName>
    <definedName name="_xlnm.Print_Titles" localSheetId="5">'BLOQUE 06'!$3:$16</definedName>
    <definedName name="_xlnm.Print_Titles" localSheetId="6">'BLOQUE 07'!$3:$16</definedName>
    <definedName name="_xlnm.Print_Titles" localSheetId="7">'BLOQUE 08'!$3:$16</definedName>
    <definedName name="_xlnm.Print_Titles" localSheetId="8">'BLOQUE 09'!$3:$16</definedName>
    <definedName name="_xlnm.Print_Titles" localSheetId="9">'BLOQUE 10'!$3:$16</definedName>
    <definedName name="_xlnm.Print_Titles" localSheetId="10">'BLOQUE 11'!$3:$16</definedName>
    <definedName name="_xlnm.Print_Titles" localSheetId="11">'ESCALERA ING.'!$3:$16</definedName>
    <definedName name="_xlnm.Print_Titles" localSheetId="14">'ESCALERAS Y RAMPAS'!$3:$16</definedName>
    <definedName name="_xlnm.Print_Titles" localSheetId="15">ESTACIONAMIENTO!$3:$16</definedName>
    <definedName name="_xlnm.Print_Titles" localSheetId="16">EXTERIORES!$3:$16</definedName>
    <definedName name="_xlnm.Print_Titles" localSheetId="13">GUARDIANÍAS!$3:$16</definedName>
    <definedName name="_xlnm.Print_Titles" localSheetId="12">QUIOSCOS!$3:$16</definedName>
    <definedName name="_xlnm.Print_Titles" localSheetId="17">'RESUMEN GENERAL'!$1:$9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3" i="1" l="1"/>
  <c r="U52" i="1"/>
  <c r="U34" i="1"/>
  <c r="U40" i="1" l="1"/>
  <c r="U38" i="1"/>
  <c r="U36" i="1"/>
  <c r="L31" i="1" l="1"/>
  <c r="U31" i="1" s="1"/>
  <c r="B31" i="1"/>
  <c r="I26" i="11" l="1"/>
  <c r="L26" i="11" s="1"/>
  <c r="I25" i="11"/>
  <c r="L25" i="11" s="1"/>
  <c r="L24" i="11"/>
  <c r="I24" i="11"/>
  <c r="I23" i="11"/>
  <c r="L23" i="11" s="1"/>
  <c r="B20" i="1"/>
  <c r="L24" i="8"/>
  <c r="P22" i="8" s="1"/>
  <c r="O20" i="1" s="1"/>
  <c r="L55" i="27"/>
  <c r="L53" i="27"/>
  <c r="P21" i="11" l="1"/>
  <c r="H13" i="1" s="1"/>
  <c r="U13" i="1" s="1"/>
  <c r="U20" i="1"/>
  <c r="K116" i="16"/>
  <c r="K115" i="16"/>
  <c r="P113" i="16" s="1"/>
  <c r="L23" i="1" s="1"/>
  <c r="P59" i="27" l="1"/>
  <c r="T54" i="1" s="1"/>
  <c r="K40" i="27"/>
  <c r="K39" i="27"/>
  <c r="K38" i="27"/>
  <c r="K35" i="27"/>
  <c r="K34" i="27"/>
  <c r="K33" i="27"/>
  <c r="P32" i="27" l="1"/>
  <c r="T23" i="1" s="1"/>
  <c r="P37" i="27"/>
  <c r="T24" i="1" s="1"/>
  <c r="K37" i="9"/>
  <c r="G36" i="9"/>
  <c r="K43" i="9"/>
  <c r="K42" i="9"/>
  <c r="G41" i="9"/>
  <c r="K41" i="9" s="1"/>
  <c r="K116" i="7"/>
  <c r="G116" i="7"/>
  <c r="G115" i="7"/>
  <c r="K115" i="7" s="1"/>
  <c r="P114" i="7" s="1"/>
  <c r="N46" i="1" s="1"/>
  <c r="G38" i="15"/>
  <c r="K38" i="15" s="1"/>
  <c r="G37" i="15"/>
  <c r="K37" i="15" s="1"/>
  <c r="G36" i="15"/>
  <c r="K36" i="15" s="1"/>
  <c r="G125" i="16"/>
  <c r="K125" i="16" s="1"/>
  <c r="G124" i="16"/>
  <c r="K124" i="16" s="1"/>
  <c r="G34" i="14"/>
  <c r="K34" i="14" s="1"/>
  <c r="G33" i="14"/>
  <c r="K33" i="14" s="1"/>
  <c r="K32" i="14"/>
  <c r="G32" i="14"/>
  <c r="K29" i="13"/>
  <c r="G28" i="13"/>
  <c r="K28" i="13" s="1"/>
  <c r="K27" i="13"/>
  <c r="G26" i="13"/>
  <c r="K26" i="13" s="1"/>
  <c r="K25" i="13"/>
  <c r="G24" i="13"/>
  <c r="K24" i="13" s="1"/>
  <c r="K23" i="13"/>
  <c r="G22" i="13"/>
  <c r="K22" i="13" s="1"/>
  <c r="K115" i="12"/>
  <c r="G115" i="12"/>
  <c r="G114" i="12"/>
  <c r="K114" i="12" s="1"/>
  <c r="G113" i="12"/>
  <c r="K113" i="12" s="1"/>
  <c r="G54" i="11"/>
  <c r="K54" i="11" s="1"/>
  <c r="G53" i="11"/>
  <c r="K53" i="11" s="1"/>
  <c r="G52" i="11"/>
  <c r="K52" i="11" s="1"/>
  <c r="G51" i="11"/>
  <c r="K51" i="11" s="1"/>
  <c r="G50" i="11"/>
  <c r="K50" i="11" s="1"/>
  <c r="G49" i="11"/>
  <c r="K49" i="11" s="1"/>
  <c r="G48" i="11"/>
  <c r="K48" i="11" s="1"/>
  <c r="G47" i="11"/>
  <c r="K47" i="11" s="1"/>
  <c r="G48" i="10"/>
  <c r="K48" i="10" s="1"/>
  <c r="G47" i="10"/>
  <c r="K47" i="10" s="1"/>
  <c r="G46" i="10"/>
  <c r="K46" i="10" s="1"/>
  <c r="G45" i="10"/>
  <c r="K45" i="10" s="1"/>
  <c r="G44" i="10"/>
  <c r="K44" i="10" s="1"/>
  <c r="G43" i="10"/>
  <c r="K43" i="10" s="1"/>
  <c r="G42" i="10"/>
  <c r="K42" i="10" s="1"/>
  <c r="G41" i="10"/>
  <c r="K41" i="10" s="1"/>
  <c r="G40" i="10"/>
  <c r="K40" i="10" s="1"/>
  <c r="G39" i="10"/>
  <c r="K39" i="10" s="1"/>
  <c r="G38" i="10"/>
  <c r="K38" i="10" s="1"/>
  <c r="G37" i="10"/>
  <c r="K37" i="10" s="1"/>
  <c r="K35" i="6"/>
  <c r="G34" i="6"/>
  <c r="K34" i="6" s="1"/>
  <c r="K33" i="6"/>
  <c r="G32" i="6"/>
  <c r="K32" i="6" s="1"/>
  <c r="P27" i="6" s="1"/>
  <c r="F46" i="1" s="1"/>
  <c r="K31" i="6"/>
  <c r="G30" i="6"/>
  <c r="K30" i="6" s="1"/>
  <c r="K29" i="6"/>
  <c r="G28" i="6"/>
  <c r="K28" i="6" s="1"/>
  <c r="G42" i="5"/>
  <c r="K42" i="5" s="1"/>
  <c r="G41" i="5"/>
  <c r="K41" i="5" s="1"/>
  <c r="P39" i="5" s="1"/>
  <c r="E46" i="1" s="1"/>
  <c r="K40" i="5"/>
  <c r="G40" i="5"/>
  <c r="K48" i="4"/>
  <c r="G47" i="4"/>
  <c r="K47" i="4" s="1"/>
  <c r="G46" i="4"/>
  <c r="K46" i="4" s="1"/>
  <c r="G45" i="4"/>
  <c r="K45" i="4" s="1"/>
  <c r="G44" i="4"/>
  <c r="K44" i="4" s="1"/>
  <c r="G43" i="4"/>
  <c r="K43" i="4" s="1"/>
  <c r="G42" i="4"/>
  <c r="K42" i="4" s="1"/>
  <c r="G41" i="4"/>
  <c r="K41" i="4" s="1"/>
  <c r="G40" i="4"/>
  <c r="K40" i="4" s="1"/>
  <c r="G39" i="4"/>
  <c r="K39" i="4" s="1"/>
  <c r="G38" i="4"/>
  <c r="K38" i="4" s="1"/>
  <c r="G37" i="4"/>
  <c r="K37" i="4" s="1"/>
  <c r="P46" i="11" l="1"/>
  <c r="H46" i="1" s="1"/>
  <c r="P36" i="4"/>
  <c r="D46" i="1" s="1"/>
  <c r="K36" i="9"/>
  <c r="P35" i="15"/>
  <c r="M46" i="1" s="1"/>
  <c r="P123" i="16"/>
  <c r="L46" i="1" s="1"/>
  <c r="P31" i="14"/>
  <c r="K46" i="1" s="1"/>
  <c r="P21" i="13"/>
  <c r="J46" i="1" s="1"/>
  <c r="P112" i="12"/>
  <c r="I46" i="1" s="1"/>
  <c r="P36" i="10"/>
  <c r="G46" i="1" s="1"/>
  <c r="L56" i="27"/>
  <c r="L54" i="27"/>
  <c r="O49" i="27"/>
  <c r="O48" i="27"/>
  <c r="O47" i="27"/>
  <c r="O46" i="27"/>
  <c r="K30" i="27"/>
  <c r="K29" i="27"/>
  <c r="K28" i="27"/>
  <c r="K27" i="27"/>
  <c r="K26" i="27"/>
  <c r="K25" i="27"/>
  <c r="K24" i="27"/>
  <c r="K23" i="27"/>
  <c r="W1" i="27"/>
  <c r="K43" i="22"/>
  <c r="P41" i="22" s="1"/>
  <c r="L42" i="22"/>
  <c r="L37" i="22"/>
  <c r="L36" i="22"/>
  <c r="L35" i="22"/>
  <c r="L34" i="22"/>
  <c r="L33" i="22"/>
  <c r="F32" i="22"/>
  <c r="L32" i="22" s="1"/>
  <c r="L31" i="22"/>
  <c r="F30" i="22"/>
  <c r="L30" i="22" s="1"/>
  <c r="P25" i="22" s="1"/>
  <c r="F29" i="22"/>
  <c r="L29" i="22" s="1"/>
  <c r="H28" i="22"/>
  <c r="L28" i="22" s="1"/>
  <c r="L23" i="22"/>
  <c r="P21" i="22" s="1"/>
  <c r="U54" i="1"/>
  <c r="U24" i="1"/>
  <c r="U23" i="1"/>
  <c r="S28" i="1" l="1"/>
  <c r="U28" i="1" s="1"/>
  <c r="P33" i="9"/>
  <c r="P46" i="1" s="1"/>
  <c r="U46" i="1" s="1"/>
  <c r="P51" i="27"/>
  <c r="P21" i="27"/>
  <c r="P44" i="27"/>
  <c r="T22" i="1"/>
  <c r="U22" i="1" s="1"/>
  <c r="S15" i="1"/>
  <c r="S16" i="1"/>
  <c r="U16" i="1" s="1"/>
  <c r="L48" i="18" l="1"/>
  <c r="L46" i="18"/>
  <c r="L42" i="18"/>
  <c r="L41" i="18"/>
  <c r="L37" i="18"/>
  <c r="L35" i="18"/>
  <c r="L31" i="18"/>
  <c r="L30" i="18"/>
  <c r="L26" i="18"/>
  <c r="L25" i="18"/>
  <c r="P30" i="25"/>
  <c r="Q48" i="1" s="1"/>
  <c r="K51" i="25"/>
  <c r="G50" i="25"/>
  <c r="K50" i="25" s="1"/>
  <c r="K49" i="25"/>
  <c r="G48" i="25"/>
  <c r="K48" i="25" s="1"/>
  <c r="K44" i="25"/>
  <c r="G43" i="25"/>
  <c r="K43" i="25" s="1"/>
  <c r="K38" i="25"/>
  <c r="K34" i="25"/>
  <c r="L27" i="25"/>
  <c r="L25" i="25"/>
  <c r="L24" i="25"/>
  <c r="P21" i="25" s="1"/>
  <c r="Q30" i="1" s="1"/>
  <c r="W1" i="25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6" i="9"/>
  <c r="G95" i="9"/>
  <c r="K95" i="9" s="1"/>
  <c r="K94" i="9"/>
  <c r="G93" i="9"/>
  <c r="K93" i="9" s="1"/>
  <c r="G92" i="9"/>
  <c r="K92" i="9" s="1"/>
  <c r="K87" i="9"/>
  <c r="K86" i="9"/>
  <c r="K85" i="9"/>
  <c r="K84" i="9"/>
  <c r="K83" i="9"/>
  <c r="K82" i="9"/>
  <c r="K81" i="9"/>
  <c r="K80" i="9"/>
  <c r="K79" i="9"/>
  <c r="K78" i="9"/>
  <c r="K77" i="9"/>
  <c r="K76" i="9"/>
  <c r="K66" i="9"/>
  <c r="K65" i="9"/>
  <c r="K64" i="9"/>
  <c r="K63" i="9"/>
  <c r="K62" i="9"/>
  <c r="K61" i="9"/>
  <c r="K60" i="9"/>
  <c r="K59" i="9"/>
  <c r="K58" i="9"/>
  <c r="K57" i="9"/>
  <c r="K56" i="9"/>
  <c r="K55" i="9"/>
  <c r="K74" i="9"/>
  <c r="K73" i="9"/>
  <c r="K72" i="9"/>
  <c r="G71" i="9"/>
  <c r="K71" i="9" s="1"/>
  <c r="K53" i="9"/>
  <c r="K52" i="9"/>
  <c r="K51" i="9"/>
  <c r="G50" i="9"/>
  <c r="L30" i="9"/>
  <c r="L29" i="9"/>
  <c r="L25" i="9"/>
  <c r="L24" i="9"/>
  <c r="P21" i="9" s="1"/>
  <c r="P96" i="4"/>
  <c r="P144" i="7"/>
  <c r="N51" i="1" s="1"/>
  <c r="K31" i="8"/>
  <c r="K30" i="8"/>
  <c r="K29" i="8"/>
  <c r="P151" i="7"/>
  <c r="N53" i="1"/>
  <c r="P147" i="7"/>
  <c r="N52" i="1" s="1"/>
  <c r="K142" i="7"/>
  <c r="K141" i="7"/>
  <c r="K140" i="7"/>
  <c r="K139" i="7"/>
  <c r="K135" i="7"/>
  <c r="K134" i="7"/>
  <c r="K132" i="7"/>
  <c r="K131" i="7"/>
  <c r="K130" i="7"/>
  <c r="K129" i="7"/>
  <c r="K128" i="7"/>
  <c r="K124" i="7"/>
  <c r="K123" i="7"/>
  <c r="G122" i="7"/>
  <c r="K122" i="7" s="1"/>
  <c r="O111" i="7"/>
  <c r="O110" i="7"/>
  <c r="P108" i="7" s="1"/>
  <c r="L105" i="7"/>
  <c r="H104" i="7"/>
  <c r="L104" i="7" s="1"/>
  <c r="H102" i="7"/>
  <c r="L102" i="7" s="1"/>
  <c r="H100" i="7"/>
  <c r="L100" i="7" s="1"/>
  <c r="H99" i="7"/>
  <c r="L99" i="7" s="1"/>
  <c r="H98" i="7"/>
  <c r="L98" i="7" s="1"/>
  <c r="H97" i="7"/>
  <c r="L97" i="7" s="1"/>
  <c r="H95" i="7"/>
  <c r="L95" i="7" s="1"/>
  <c r="H94" i="7"/>
  <c r="L94" i="7" s="1"/>
  <c r="H93" i="7"/>
  <c r="L93" i="7" s="1"/>
  <c r="H92" i="7"/>
  <c r="L92" i="7" s="1"/>
  <c r="H89" i="7"/>
  <c r="L89" i="7" s="1"/>
  <c r="H88" i="7"/>
  <c r="L88" i="7" s="1"/>
  <c r="H87" i="7"/>
  <c r="L87" i="7" s="1"/>
  <c r="L82" i="7"/>
  <c r="L81" i="7"/>
  <c r="L80" i="7"/>
  <c r="L79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4" i="7"/>
  <c r="L53" i="7"/>
  <c r="L52" i="7"/>
  <c r="L51" i="7"/>
  <c r="L49" i="7"/>
  <c r="L48" i="7"/>
  <c r="L47" i="7"/>
  <c r="L46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K103" i="15"/>
  <c r="K99" i="15"/>
  <c r="K98" i="15"/>
  <c r="K97" i="15"/>
  <c r="K96" i="15"/>
  <c r="K94" i="15"/>
  <c r="K93" i="15"/>
  <c r="K92" i="15"/>
  <c r="K91" i="15"/>
  <c r="K89" i="15"/>
  <c r="K88" i="15"/>
  <c r="K87" i="15"/>
  <c r="K86" i="15"/>
  <c r="F85" i="15"/>
  <c r="K85" i="15" s="1"/>
  <c r="K84" i="15"/>
  <c r="F83" i="15"/>
  <c r="K83" i="15" s="1"/>
  <c r="K82" i="15"/>
  <c r="K81" i="15"/>
  <c r="K80" i="15"/>
  <c r="K79" i="15"/>
  <c r="K78" i="15"/>
  <c r="K77" i="15"/>
  <c r="K76" i="15"/>
  <c r="K72" i="15"/>
  <c r="K71" i="15"/>
  <c r="K69" i="15"/>
  <c r="K68" i="15"/>
  <c r="K67" i="15"/>
  <c r="K66" i="15"/>
  <c r="K65" i="15"/>
  <c r="K64" i="15"/>
  <c r="K63" i="15"/>
  <c r="K62" i="15"/>
  <c r="K60" i="15"/>
  <c r="K59" i="15"/>
  <c r="K58" i="15"/>
  <c r="K57" i="15"/>
  <c r="K56" i="15"/>
  <c r="K52" i="15"/>
  <c r="F51" i="15"/>
  <c r="K51" i="15" s="1"/>
  <c r="G50" i="15"/>
  <c r="K50" i="15" s="1"/>
  <c r="F48" i="15"/>
  <c r="K48" i="15" s="1"/>
  <c r="G47" i="15"/>
  <c r="K47" i="15" s="1"/>
  <c r="F45" i="15"/>
  <c r="K45" i="15" s="1"/>
  <c r="G44" i="15"/>
  <c r="K44" i="15" s="1"/>
  <c r="O32" i="15"/>
  <c r="O30" i="15"/>
  <c r="O29" i="15"/>
  <c r="O25" i="15"/>
  <c r="O24" i="15"/>
  <c r="K146" i="16"/>
  <c r="K142" i="16"/>
  <c r="K141" i="16"/>
  <c r="G140" i="16"/>
  <c r="K140" i="16" s="1"/>
  <c r="K136" i="16"/>
  <c r="G135" i="16"/>
  <c r="K135" i="16" s="1"/>
  <c r="K134" i="16"/>
  <c r="K133" i="16"/>
  <c r="K132" i="16"/>
  <c r="K131" i="16"/>
  <c r="H110" i="16"/>
  <c r="L110" i="16" s="1"/>
  <c r="H108" i="16"/>
  <c r="L108" i="16" s="1"/>
  <c r="H106" i="16"/>
  <c r="L106" i="16" s="1"/>
  <c r="H105" i="16"/>
  <c r="L105" i="16" s="1"/>
  <c r="H104" i="16"/>
  <c r="L104" i="16" s="1"/>
  <c r="H103" i="16"/>
  <c r="L103" i="16" s="1"/>
  <c r="H101" i="16"/>
  <c r="L101" i="16" s="1"/>
  <c r="H100" i="16"/>
  <c r="L100" i="16" s="1"/>
  <c r="H99" i="16"/>
  <c r="L99" i="16" s="1"/>
  <c r="L93" i="16"/>
  <c r="L92" i="16"/>
  <c r="L91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7" i="16"/>
  <c r="L66" i="16"/>
  <c r="L65" i="16"/>
  <c r="L64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0" i="16"/>
  <c r="L39" i="16"/>
  <c r="L38" i="16"/>
  <c r="L37" i="16"/>
  <c r="L36" i="16"/>
  <c r="L35" i="16"/>
  <c r="L33" i="16"/>
  <c r="L32" i="16"/>
  <c r="L31" i="16"/>
  <c r="L30" i="16"/>
  <c r="L29" i="16"/>
  <c r="L28" i="16"/>
  <c r="L27" i="16"/>
  <c r="L26" i="16"/>
  <c r="L25" i="16"/>
  <c r="L24" i="16"/>
  <c r="L23" i="16"/>
  <c r="O28" i="14"/>
  <c r="O26" i="14"/>
  <c r="O24" i="14"/>
  <c r="O23" i="14"/>
  <c r="K57" i="14"/>
  <c r="K56" i="14"/>
  <c r="K54" i="14"/>
  <c r="K53" i="14"/>
  <c r="K51" i="14"/>
  <c r="K50" i="14"/>
  <c r="F46" i="14"/>
  <c r="K46" i="14" s="1"/>
  <c r="G45" i="14"/>
  <c r="K45" i="14" s="1"/>
  <c r="F43" i="14"/>
  <c r="K43" i="14" s="1"/>
  <c r="G42" i="14"/>
  <c r="K42" i="14" s="1"/>
  <c r="F40" i="14"/>
  <c r="K40" i="14" s="1"/>
  <c r="G39" i="14"/>
  <c r="K39" i="14" s="1"/>
  <c r="K56" i="13"/>
  <c r="K55" i="13"/>
  <c r="K53" i="13"/>
  <c r="K52" i="13"/>
  <c r="K50" i="13"/>
  <c r="K49" i="13"/>
  <c r="K45" i="13"/>
  <c r="G44" i="13"/>
  <c r="K44" i="13" s="1"/>
  <c r="K43" i="13"/>
  <c r="K41" i="13"/>
  <c r="G40" i="13"/>
  <c r="K40" i="13" s="1"/>
  <c r="K39" i="13"/>
  <c r="K37" i="13"/>
  <c r="G36" i="13"/>
  <c r="K36" i="13" s="1"/>
  <c r="K35" i="13"/>
  <c r="K139" i="12"/>
  <c r="K138" i="12"/>
  <c r="K136" i="12"/>
  <c r="K135" i="12"/>
  <c r="K133" i="12"/>
  <c r="K132" i="12"/>
  <c r="F128" i="12"/>
  <c r="K128" i="12" s="1"/>
  <c r="G127" i="12"/>
  <c r="K127" i="12" s="1"/>
  <c r="F125" i="12"/>
  <c r="K125" i="12" s="1"/>
  <c r="G124" i="12"/>
  <c r="K124" i="12" s="1"/>
  <c r="F122" i="12"/>
  <c r="K122" i="12" s="1"/>
  <c r="G121" i="12"/>
  <c r="K121" i="12" s="1"/>
  <c r="O109" i="12"/>
  <c r="O107" i="12"/>
  <c r="O105" i="12"/>
  <c r="O104" i="12"/>
  <c r="P102" i="12" s="1"/>
  <c r="K115" i="11"/>
  <c r="K114" i="11"/>
  <c r="K110" i="11"/>
  <c r="K109" i="11"/>
  <c r="K108" i="11"/>
  <c r="K107" i="11"/>
  <c r="K103" i="11"/>
  <c r="K102" i="11"/>
  <c r="K101" i="11"/>
  <c r="K100" i="11"/>
  <c r="K99" i="11"/>
  <c r="K98" i="11"/>
  <c r="K97" i="11"/>
  <c r="K96" i="11"/>
  <c r="K95" i="11"/>
  <c r="K94" i="11"/>
  <c r="K92" i="11"/>
  <c r="K91" i="11"/>
  <c r="K90" i="11"/>
  <c r="K88" i="11"/>
  <c r="K87" i="11"/>
  <c r="K86" i="11"/>
  <c r="K85" i="11"/>
  <c r="K83" i="11"/>
  <c r="K82" i="11"/>
  <c r="K81" i="11"/>
  <c r="K80" i="11"/>
  <c r="K79" i="11"/>
  <c r="K78" i="11"/>
  <c r="K77" i="11"/>
  <c r="K76" i="11"/>
  <c r="F72" i="11"/>
  <c r="K72" i="11" s="1"/>
  <c r="G71" i="11"/>
  <c r="K71" i="11" s="1"/>
  <c r="F69" i="11"/>
  <c r="K69" i="11" s="1"/>
  <c r="G68" i="11"/>
  <c r="K68" i="11" s="1"/>
  <c r="K66" i="11"/>
  <c r="F65" i="11"/>
  <c r="K65" i="11" s="1"/>
  <c r="G64" i="11"/>
  <c r="K64" i="11" s="1"/>
  <c r="K62" i="11"/>
  <c r="K61" i="11"/>
  <c r="K60" i="11"/>
  <c r="O32" i="11"/>
  <c r="P29" i="11" s="1"/>
  <c r="O43" i="11"/>
  <c r="O39" i="11"/>
  <c r="O38" i="11"/>
  <c r="O37" i="11"/>
  <c r="O36" i="11"/>
  <c r="K155" i="10"/>
  <c r="K153" i="10"/>
  <c r="K152" i="10"/>
  <c r="K150" i="10"/>
  <c r="K149" i="10"/>
  <c r="K145" i="10"/>
  <c r="K144" i="10"/>
  <c r="K143" i="10"/>
  <c r="K142" i="10"/>
  <c r="K141" i="10"/>
  <c r="K140" i="10"/>
  <c r="K139" i="10"/>
  <c r="K138" i="10"/>
  <c r="K136" i="10"/>
  <c r="K135" i="10"/>
  <c r="K134" i="10"/>
  <c r="K133" i="10"/>
  <c r="K132" i="10"/>
  <c r="K131" i="10"/>
  <c r="K130" i="10"/>
  <c r="G129" i="10"/>
  <c r="K129" i="10" s="1"/>
  <c r="K128" i="10"/>
  <c r="K127" i="10"/>
  <c r="K126" i="10"/>
  <c r="K125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0" i="10"/>
  <c r="K99" i="10"/>
  <c r="K98" i="10"/>
  <c r="K97" i="10"/>
  <c r="K96" i="10"/>
  <c r="K95" i="10"/>
  <c r="K94" i="10"/>
  <c r="K92" i="10"/>
  <c r="K91" i="10"/>
  <c r="K90" i="10"/>
  <c r="K89" i="10"/>
  <c r="K88" i="10"/>
  <c r="K87" i="10"/>
  <c r="K86" i="10"/>
  <c r="K85" i="10"/>
  <c r="K84" i="10"/>
  <c r="K82" i="10"/>
  <c r="K81" i="10"/>
  <c r="K80" i="10"/>
  <c r="K79" i="10"/>
  <c r="K78" i="10"/>
  <c r="K77" i="10"/>
  <c r="K76" i="10"/>
  <c r="K75" i="10"/>
  <c r="K74" i="10"/>
  <c r="K73" i="10"/>
  <c r="K72" i="10"/>
  <c r="F68" i="10"/>
  <c r="K68" i="10" s="1"/>
  <c r="G67" i="10"/>
  <c r="K67" i="10" s="1"/>
  <c r="K66" i="10"/>
  <c r="K65" i="10"/>
  <c r="F63" i="10"/>
  <c r="K63" i="10" s="1"/>
  <c r="G62" i="10"/>
  <c r="K62" i="10" s="1"/>
  <c r="K61" i="10"/>
  <c r="K60" i="10"/>
  <c r="K58" i="10"/>
  <c r="K57" i="10"/>
  <c r="K56" i="10"/>
  <c r="G55" i="10"/>
  <c r="K55" i="10" s="1"/>
  <c r="K54" i="10"/>
  <c r="O33" i="10"/>
  <c r="O32" i="10"/>
  <c r="O30" i="10"/>
  <c r="O29" i="10"/>
  <c r="O27" i="10"/>
  <c r="O25" i="10"/>
  <c r="O24" i="10"/>
  <c r="O23" i="10"/>
  <c r="K69" i="6"/>
  <c r="K68" i="6"/>
  <c r="K66" i="6"/>
  <c r="K65" i="6"/>
  <c r="K63" i="6"/>
  <c r="K62" i="6"/>
  <c r="K60" i="6"/>
  <c r="K59" i="6"/>
  <c r="K55" i="6"/>
  <c r="G54" i="6"/>
  <c r="K54" i="6" s="1"/>
  <c r="K53" i="6"/>
  <c r="K51" i="6"/>
  <c r="G50" i="6"/>
  <c r="K50" i="6" s="1"/>
  <c r="K49" i="6"/>
  <c r="K47" i="6"/>
  <c r="G46" i="6"/>
  <c r="K46" i="6" s="1"/>
  <c r="K45" i="6"/>
  <c r="K43" i="6"/>
  <c r="G42" i="6"/>
  <c r="K42" i="6" s="1"/>
  <c r="K41" i="6"/>
  <c r="L24" i="6"/>
  <c r="P22" i="6" s="1"/>
  <c r="K66" i="5"/>
  <c r="K65" i="5"/>
  <c r="K63" i="5"/>
  <c r="K62" i="5"/>
  <c r="K60" i="5"/>
  <c r="K59" i="5"/>
  <c r="F55" i="5"/>
  <c r="K55" i="5" s="1"/>
  <c r="G54" i="5"/>
  <c r="K54" i="5" s="1"/>
  <c r="F52" i="5"/>
  <c r="K52" i="5" s="1"/>
  <c r="G51" i="5"/>
  <c r="K51" i="5" s="1"/>
  <c r="F49" i="5"/>
  <c r="K49" i="5" s="1"/>
  <c r="G48" i="5"/>
  <c r="O32" i="5"/>
  <c r="O34" i="5"/>
  <c r="O36" i="5"/>
  <c r="L45" i="5"/>
  <c r="L26" i="5"/>
  <c r="L25" i="5"/>
  <c r="L24" i="5"/>
  <c r="P22" i="5" s="1"/>
  <c r="D50" i="1"/>
  <c r="U50" i="1" s="1"/>
  <c r="K94" i="4"/>
  <c r="K93" i="4"/>
  <c r="K91" i="4"/>
  <c r="K90" i="4"/>
  <c r="K86" i="4"/>
  <c r="K85" i="4"/>
  <c r="K84" i="4"/>
  <c r="K83" i="4"/>
  <c r="K79" i="4"/>
  <c r="K78" i="4"/>
  <c r="K77" i="4"/>
  <c r="K75" i="4"/>
  <c r="K74" i="4"/>
  <c r="K73" i="4"/>
  <c r="K72" i="4"/>
  <c r="K71" i="4"/>
  <c r="K70" i="4"/>
  <c r="K69" i="4"/>
  <c r="K65" i="4"/>
  <c r="K64" i="4"/>
  <c r="G63" i="4"/>
  <c r="K63" i="4" s="1"/>
  <c r="K61" i="4"/>
  <c r="K60" i="4"/>
  <c r="K59" i="4"/>
  <c r="G58" i="4"/>
  <c r="K58" i="4" s="1"/>
  <c r="K56" i="4"/>
  <c r="G55" i="4"/>
  <c r="K55" i="4" s="1"/>
  <c r="K54" i="4"/>
  <c r="K53" i="4"/>
  <c r="O33" i="4"/>
  <c r="L27" i="4"/>
  <c r="L26" i="4"/>
  <c r="L25" i="4"/>
  <c r="L24" i="4"/>
  <c r="P22" i="4" l="1"/>
  <c r="D27" i="1" s="1"/>
  <c r="P27" i="15"/>
  <c r="P22" i="18"/>
  <c r="R19" i="1" s="1"/>
  <c r="P34" i="11"/>
  <c r="H44" i="1" s="1"/>
  <c r="P21" i="10"/>
  <c r="G44" i="1" s="1"/>
  <c r="P29" i="5"/>
  <c r="P85" i="7"/>
  <c r="N19" i="1" s="1"/>
  <c r="P119" i="7"/>
  <c r="N48" i="1" s="1"/>
  <c r="P21" i="7"/>
  <c r="P41" i="15"/>
  <c r="M48" i="1" s="1"/>
  <c r="P128" i="16"/>
  <c r="L48" i="1" s="1"/>
  <c r="P97" i="16"/>
  <c r="L19" i="1" s="1"/>
  <c r="P21" i="14"/>
  <c r="P37" i="14"/>
  <c r="P32" i="13"/>
  <c r="J48" i="1" s="1"/>
  <c r="P118" i="12"/>
  <c r="I48" i="1" s="1"/>
  <c r="P57" i="11"/>
  <c r="H48" i="1" s="1"/>
  <c r="P51" i="10"/>
  <c r="G48" i="1" s="1"/>
  <c r="P38" i="6"/>
  <c r="F48" i="1" s="1"/>
  <c r="P50" i="4"/>
  <c r="D48" i="1" s="1"/>
  <c r="P30" i="4"/>
  <c r="D43" i="1" s="1"/>
  <c r="P21" i="15"/>
  <c r="M43" i="1" s="1"/>
  <c r="K50" i="9"/>
  <c r="P46" i="9" s="1"/>
  <c r="P30" i="1"/>
  <c r="U30" i="1" s="1"/>
  <c r="P26" i="8"/>
  <c r="O49" i="1" s="1"/>
  <c r="U49" i="1" s="1"/>
  <c r="F27" i="1"/>
  <c r="N44" i="1"/>
  <c r="N15" i="1"/>
  <c r="M44" i="1"/>
  <c r="K44" i="1"/>
  <c r="I44" i="1"/>
  <c r="H43" i="1"/>
  <c r="K48" i="5"/>
  <c r="E44" i="1"/>
  <c r="E27" i="1"/>
  <c r="U19" i="1" l="1"/>
  <c r="U27" i="1"/>
  <c r="P45" i="5"/>
  <c r="E48" i="1" s="1"/>
  <c r="U43" i="1"/>
  <c r="U44" i="1"/>
  <c r="W1" i="22" l="1"/>
  <c r="L52" i="4" l="1"/>
  <c r="L51" i="4"/>
  <c r="L50" i="4"/>
  <c r="W1" i="18"/>
  <c r="W1" i="16"/>
  <c r="W1" i="15"/>
  <c r="W1" i="14"/>
  <c r="W1" i="13"/>
  <c r="L101" i="12"/>
  <c r="L98" i="12"/>
  <c r="L95" i="12"/>
  <c r="L94" i="12"/>
  <c r="L93" i="12"/>
  <c r="L92" i="12"/>
  <c r="L91" i="12"/>
  <c r="L90" i="12"/>
  <c r="L89" i="12"/>
  <c r="L88" i="12"/>
  <c r="L87" i="12"/>
  <c r="L86" i="12"/>
  <c r="L85" i="12"/>
  <c r="L83" i="12"/>
  <c r="L82" i="12"/>
  <c r="L81" i="12"/>
  <c r="L80" i="12"/>
  <c r="L79" i="12"/>
  <c r="L78" i="12"/>
  <c r="L77" i="12"/>
  <c r="L76" i="12"/>
  <c r="L75" i="12"/>
  <c r="L73" i="12"/>
  <c r="L72" i="12"/>
  <c r="L69" i="12"/>
  <c r="L68" i="12"/>
  <c r="L67" i="12"/>
  <c r="L66" i="12"/>
  <c r="I63" i="12"/>
  <c r="L63" i="12" s="1"/>
  <c r="I62" i="12"/>
  <c r="L62" i="12" s="1"/>
  <c r="I61" i="12"/>
  <c r="L61" i="12" s="1"/>
  <c r="I60" i="12"/>
  <c r="L60" i="12" s="1"/>
  <c r="I59" i="12"/>
  <c r="L59" i="12" s="1"/>
  <c r="I58" i="12"/>
  <c r="L58" i="12" s="1"/>
  <c r="L55" i="12"/>
  <c r="L54" i="12"/>
  <c r="L53" i="12"/>
  <c r="L52" i="12"/>
  <c r="L49" i="12"/>
  <c r="L48" i="12"/>
  <c r="L47" i="12"/>
  <c r="L46" i="12"/>
  <c r="L45" i="12"/>
  <c r="L44" i="12"/>
  <c r="L42" i="12"/>
  <c r="L41" i="12"/>
  <c r="O40" i="12"/>
  <c r="O39" i="12"/>
  <c r="O37" i="12"/>
  <c r="O36" i="12"/>
  <c r="O34" i="12"/>
  <c r="O32" i="12"/>
  <c r="O30" i="12"/>
  <c r="O29" i="12"/>
  <c r="O27" i="12"/>
  <c r="O26" i="12"/>
  <c r="K24" i="12"/>
  <c r="O22" i="12"/>
  <c r="W1" i="12"/>
  <c r="L139" i="11"/>
  <c r="L136" i="11"/>
  <c r="L133" i="11"/>
  <c r="L132" i="11"/>
  <c r="L131" i="11"/>
  <c r="L130" i="11"/>
  <c r="L129" i="11"/>
  <c r="L128" i="11"/>
  <c r="L127" i="11"/>
  <c r="L126" i="11"/>
  <c r="L125" i="11"/>
  <c r="L124" i="11"/>
  <c r="L123" i="11"/>
  <c r="L121" i="11"/>
  <c r="L120" i="11"/>
  <c r="L119" i="11"/>
  <c r="L118" i="11"/>
  <c r="L117" i="11"/>
  <c r="L116" i="11"/>
  <c r="W1" i="11"/>
  <c r="W1" i="10"/>
  <c r="P21" i="16" l="1"/>
  <c r="L15" i="1" s="1"/>
  <c r="U15" i="1" s="1"/>
  <c r="K48" i="1"/>
  <c r="W1" i="9" l="1"/>
  <c r="P48" i="1" l="1"/>
  <c r="U48" i="1" s="1"/>
  <c r="W1" i="8"/>
  <c r="L146" i="7" l="1"/>
  <c r="W1" i="7"/>
  <c r="W1" i="6" l="1"/>
  <c r="W1" i="5"/>
  <c r="W1" i="4"/>
</calcChain>
</file>

<file path=xl/sharedStrings.xml><?xml version="1.0" encoding="utf-8"?>
<sst xmlns="http://schemas.openxmlformats.org/spreadsheetml/2006/main" count="2710" uniqueCount="449">
  <si>
    <t>PROYECTO</t>
  </si>
  <si>
    <t>: MEJORAMIENTO DEL SERVICIO EDUCATIVO EN LA IEP N° 54002 SANTA ROSA E IES SANTA ROSA DEL DISTRITO DE ABANCAY, PROVINCIA DE ABANCAY - REGIÓN APURÍMAC.</t>
  </si>
  <si>
    <t>UBICACIÓN</t>
  </si>
  <si>
    <t>: ABANCAY - ABANCAY - APURÍMAC</t>
  </si>
  <si>
    <t>FECHA</t>
  </si>
  <si>
    <t>MODALIDAD</t>
  </si>
  <si>
    <t>: ADMINISTRACIÓN INDIRECTA - POR CONTRATA</t>
  </si>
  <si>
    <t xml:space="preserve">DESCRIPCION </t>
  </si>
  <si>
    <t>UND</t>
  </si>
  <si>
    <t>BLOQUE 1</t>
  </si>
  <si>
    <t>BLOQUE 2</t>
  </si>
  <si>
    <t>BLOQUE 3</t>
  </si>
  <si>
    <t>m2</t>
  </si>
  <si>
    <t>m</t>
  </si>
  <si>
    <t>und</t>
  </si>
  <si>
    <t>VIGAS</t>
  </si>
  <si>
    <t>OTROS</t>
  </si>
  <si>
    <t>ARQUITECTURA</t>
  </si>
  <si>
    <t>REVOQUES ENLUCIDOS Y MOLDURAS</t>
  </si>
  <si>
    <t>CIELORRASOS</t>
  </si>
  <si>
    <t>PISOS Y PAVIMENTOS</t>
  </si>
  <si>
    <t>PISOS</t>
  </si>
  <si>
    <t>ZOCALOS Y CONTRAZOCALOS</t>
  </si>
  <si>
    <t>CONTRAZOCALOS</t>
  </si>
  <si>
    <t>03.07.01</t>
  </si>
  <si>
    <t>PUERTA TABLERO REBAJADO AGUANO C/SOBRE LUZ.</t>
  </si>
  <si>
    <t>CARPINTERIA METALICA Y HERRERIA</t>
  </si>
  <si>
    <t>CARPINTERIA DE FIERRO</t>
  </si>
  <si>
    <t>CERRAJERIA</t>
  </si>
  <si>
    <t>JUNTAS</t>
  </si>
  <si>
    <t>BLOQUE - 02</t>
  </si>
  <si>
    <t>BLOQUE - 01</t>
  </si>
  <si>
    <t>BLOQUE 11</t>
  </si>
  <si>
    <t>HOJA DE METRADOS - ARQUITECTURA</t>
  </si>
  <si>
    <t>Proyecto     :</t>
  </si>
  <si>
    <t xml:space="preserve">"MEJORAMIENTO DEL SERVICIO EDUCATIVO EN LA I.E.P. N°54002 SANTA ROSA E I.E.S. SANTA ROSA DEL DISTRITO DE ABANCAY, PROVINCIA DE ABANCAY - REGIÓN APURIMAC"_x000D_
</t>
  </si>
  <si>
    <t>Propietario   :</t>
  </si>
  <si>
    <t>G.R.A</t>
  </si>
  <si>
    <t>Hecho por      :</t>
  </si>
  <si>
    <t>Fecha          :</t>
  </si>
  <si>
    <t>Revisado  por :</t>
  </si>
  <si>
    <t>Especialidad:</t>
  </si>
  <si>
    <t>Modulo        :</t>
  </si>
  <si>
    <t>ITEM</t>
  </si>
  <si>
    <t>DESCRIPCIÓN</t>
  </si>
  <si>
    <t>Und</t>
  </si>
  <si>
    <t>Elem. Simil.</t>
  </si>
  <si>
    <t>DIMENSIONES</t>
  </si>
  <si>
    <t>Nº de Veces</t>
  </si>
  <si>
    <t>METRADO</t>
  </si>
  <si>
    <t>Total</t>
  </si>
  <si>
    <t>Nivel</t>
  </si>
  <si>
    <t>Largo</t>
  </si>
  <si>
    <t>Ancho</t>
  </si>
  <si>
    <t>Alto</t>
  </si>
  <si>
    <t>Lon.</t>
  </si>
  <si>
    <t>Área</t>
  </si>
  <si>
    <t>Vol.</t>
  </si>
  <si>
    <t>Kg.</t>
  </si>
  <si>
    <t>Und.</t>
  </si>
  <si>
    <t>CUARTO NIVEL</t>
  </si>
  <si>
    <t>PERIMET.</t>
  </si>
  <si>
    <t>LOSA DE ACTIVIDADES LIBRES</t>
  </si>
  <si>
    <t>AREA=</t>
  </si>
  <si>
    <t>PER.</t>
  </si>
  <si>
    <t>FACHADA</t>
  </si>
  <si>
    <t xml:space="preserve">HOJA DE METRADOS -ARQUITECTURA </t>
  </si>
  <si>
    <t>BLOQUE - 03</t>
  </si>
  <si>
    <t>EJE 19 -19 / F6 - F4</t>
  </si>
  <si>
    <t>EJE 19 - 19 / F4 - F3</t>
  </si>
  <si>
    <t>EJE 17 -17 / F6 - F4</t>
  </si>
  <si>
    <t>EJE 17 - 17 / F4 - F3</t>
  </si>
  <si>
    <t>EJE  F6 - F6 / 17- 19</t>
  </si>
  <si>
    <t>EJE  F4 - F4/17'- 18</t>
  </si>
  <si>
    <t>EJE  F3' - F3'/ 17- 19</t>
  </si>
  <si>
    <t xml:space="preserve">MURO PARALELO AL EJE EJE F3' -  F3' </t>
  </si>
  <si>
    <t>MURO DE CABEZA LADRILLO KIN-KONG DE ARCILLA</t>
  </si>
  <si>
    <t>MURO DE SOGA LADRILLO KIN-KONG DE ARCILLA</t>
  </si>
  <si>
    <t>MURO PARALELO AL EJE 19 - 19 / F3 -  F3'</t>
  </si>
  <si>
    <t>EJE F6 - F6 /1 7 - 19</t>
  </si>
  <si>
    <t>PLACA EN EJE 19 (F6)</t>
  </si>
  <si>
    <t>PLACA EN EJE 19 (F4)</t>
  </si>
  <si>
    <t>PLACA EN EJE 17 (F6)</t>
  </si>
  <si>
    <t>PLACA EN EJE 17 (F4)</t>
  </si>
  <si>
    <t>COLUMNAS EN EJE F3' (17,19)</t>
  </si>
  <si>
    <t>EJE F6 - F6 / 17 - 19  V- (25x40)</t>
  </si>
  <si>
    <t>EJE F4 - F4 / 17 - 19  V- (25x40)</t>
  </si>
  <si>
    <t>EJEF3 - F3' / 17 - 19  V- (25x40)</t>
  </si>
  <si>
    <t>EJE F2 - F2  / 17 - 19  V- (25x40)</t>
  </si>
  <si>
    <t>EJE F1 - F1 / 17 - 19  V- (25x40)</t>
  </si>
  <si>
    <t>EJE 19 - 19 / F4 - F6  V- (25x40)</t>
  </si>
  <si>
    <t>EJE 19 - 19 /F4 - F3  V- (25x40)</t>
  </si>
  <si>
    <t>EJE 19 - 19 / F3 - F1  V- (25x40)</t>
  </si>
  <si>
    <t>EJE 17 - 17 / F4 - F6 V- (25x40)</t>
  </si>
  <si>
    <t>EJE 17 - 17 / F4 - F3' V- (25x40)</t>
  </si>
  <si>
    <t>EJE 17 - 17 / F3 - F1  V- (25x40)</t>
  </si>
  <si>
    <t>SS.HH.</t>
  </si>
  <si>
    <t>V - 7</t>
  </si>
  <si>
    <t>P - 1</t>
  </si>
  <si>
    <t>P - 6</t>
  </si>
  <si>
    <t>CTO. LIMPIEZA</t>
  </si>
  <si>
    <t>BOTADERO</t>
  </si>
  <si>
    <t>PASILLO</t>
  </si>
  <si>
    <t>P - 7</t>
  </si>
  <si>
    <t>P - 8</t>
  </si>
  <si>
    <t>BARANDA EN PASILLOS</t>
  </si>
  <si>
    <t>PUERTA DE TABLEROS REBAJADOS</t>
  </si>
  <si>
    <t>TERCER NIVEL</t>
  </si>
  <si>
    <t xml:space="preserve">PUERTA CONTRAPLACADA </t>
  </si>
  <si>
    <t xml:space="preserve">HOJA DE METRADOS - ARQUITECTURA </t>
  </si>
  <si>
    <t>BLOQUE - 09</t>
  </si>
  <si>
    <t>PRIMER NIVEL</t>
  </si>
  <si>
    <t>SEGUNDO NIVEL</t>
  </si>
  <si>
    <t>TECHO</t>
  </si>
  <si>
    <t>PER.=</t>
  </si>
  <si>
    <t xml:space="preserve">PRIMER NIVEL </t>
  </si>
  <si>
    <t>CUADRO RESUMEN GENERAL DE METRADOS (ARQUITECTURA)</t>
  </si>
  <si>
    <t>ESTACIONAMIENTO</t>
  </si>
  <si>
    <t>TOTAL</t>
  </si>
  <si>
    <t>BLOQUE 4</t>
  </si>
  <si>
    <t>BLOQUE 10</t>
  </si>
  <si>
    <t>BLOQUE 5</t>
  </si>
  <si>
    <t>BLOQUE 6</t>
  </si>
  <si>
    <t>BLOQUE 7</t>
  </si>
  <si>
    <t>BLOQUE 8</t>
  </si>
  <si>
    <t>PARTIDAS NUEVAS</t>
  </si>
  <si>
    <t>BLOQUE 9</t>
  </si>
  <si>
    <t>CONTRAZÓCALOS</t>
  </si>
  <si>
    <t>L.B.T.S.</t>
  </si>
  <si>
    <t>M.A.P.</t>
  </si>
  <si>
    <t>BLOQUE - 04</t>
  </si>
  <si>
    <t>BLOQUE - 05</t>
  </si>
  <si>
    <t>BLOQUE - 06</t>
  </si>
  <si>
    <t>BLOQUE - 07</t>
  </si>
  <si>
    <t>BLOQUE - 08</t>
  </si>
  <si>
    <t>BLOQUE - 10</t>
  </si>
  <si>
    <t>BLOQUE - 11</t>
  </si>
  <si>
    <t>COLUMNAS CIRCULARES R=0.30m</t>
  </si>
  <si>
    <t xml:space="preserve">TERCER NIVEL </t>
  </si>
  <si>
    <t xml:space="preserve">SEGUNDO NIVEL </t>
  </si>
  <si>
    <t>SOTANO</t>
  </si>
  <si>
    <t>PRIMER NIVEL - RAMPA</t>
  </si>
  <si>
    <t>SEGUNDO NIVEL - RAMPA</t>
  </si>
  <si>
    <t>GUARDIANIA</t>
  </si>
  <si>
    <t>SARDINELES</t>
  </si>
  <si>
    <t>ZÓCALOS</t>
  </si>
  <si>
    <t>DESCANSO</t>
  </si>
  <si>
    <t>DUCHAS Y VESTUARIOS</t>
  </si>
  <si>
    <t>TARRAJEO DE COLUMNAS CIRCULARES</t>
  </si>
  <si>
    <t>SOLAQUEO EN VIGAS DE LOSA NERVADA</t>
  </si>
  <si>
    <t>SARDINEL DE CONCRETO CON ACABADO FROTACHADO Y PINTADO DE 0.10 X 1.00 m</t>
  </si>
  <si>
    <t>SARDINEL DE CONCRETO CON ACABADO FROTACHADO DE 0.075 X 0.40 m</t>
  </si>
  <si>
    <t>CONTRAZOCALO VINILICO SPC, DE 8cm</t>
  </si>
  <si>
    <t>CONTRAZOCALO SANITARIO DE CEMENTO PULIDO C/MORTERO 1:5 DE 2CM, H=10CM</t>
  </si>
  <si>
    <t>COBERTURA</t>
  </si>
  <si>
    <t>COBERTURA CON LADRILLO PASTELERO</t>
  </si>
  <si>
    <t>REJA METALICA DE TUBO DE 3"</t>
  </si>
  <si>
    <t>PUERTA METALICA</t>
  </si>
  <si>
    <t>FRENO HIDRAULICO DE PISO PARA MAMPARAS</t>
  </si>
  <si>
    <t>FRENO HIDRAULICO AÉREO PARA PUERTAS DE MADERA</t>
  </si>
  <si>
    <t>SELLADO DE JUNTAS CON POLIURETANO</t>
  </si>
  <si>
    <t xml:space="preserve">ESCUDO DE MDF Y ACERO </t>
  </si>
  <si>
    <t>PINTURA MURAL</t>
  </si>
  <si>
    <t xml:space="preserve">CAMPANA </t>
  </si>
  <si>
    <t>CRUZ DE ALUMINIO TEXTURIZADO EN EXTERIOR</t>
  </si>
  <si>
    <t>ESTATUA</t>
  </si>
  <si>
    <t>PUERTA CONTRAPLACADA CON PLANCHA DE TRIPLAY DE 4MM C/SOBRE LUZ Y VENTANA DE INSPECCIÓN</t>
  </si>
  <si>
    <t>P - 35</t>
  </si>
  <si>
    <t>SS.HH. - VERTICAL</t>
  </si>
  <si>
    <t>PASILLO - HORIZONTAL</t>
  </si>
  <si>
    <t>PASILLO - VERTICAL</t>
  </si>
  <si>
    <t>S.H. - VERTICAL</t>
  </si>
  <si>
    <t>LAVADERO EN PATIO</t>
  </si>
  <si>
    <t>ALMACEN - HORIZONTAL</t>
  </si>
  <si>
    <t>DEP. LIMP. - HORIZONTAL</t>
  </si>
  <si>
    <t>LAVADERO EN PATIO - HORIZONTAL</t>
  </si>
  <si>
    <t>LAVADERO - HORIZONTAL</t>
  </si>
  <si>
    <t>CTO. TABL. - HORIZONTAL</t>
  </si>
  <si>
    <t>PATIO - HORIZONTAL</t>
  </si>
  <si>
    <t>VERTICALES</t>
  </si>
  <si>
    <t>SALA DE ESPERA, SALA DE REUNIONES - HORIZONTAL</t>
  </si>
  <si>
    <t>DIRECCIÓN - HORIZONTAL</t>
  </si>
  <si>
    <t>MESAS</t>
  </si>
  <si>
    <t>SS.HH.- HORIZONTAL</t>
  </si>
  <si>
    <t>SS.HH.- VERTICAL</t>
  </si>
  <si>
    <t>P - 5</t>
  </si>
  <si>
    <t>AULAS - HORIZONTAL</t>
  </si>
  <si>
    <t>AULAS - VERTICAL</t>
  </si>
  <si>
    <t>HACIA LOSA DE ACTIVIDADES LIBRES</t>
  </si>
  <si>
    <t xml:space="preserve">CUARTO NIVEL </t>
  </si>
  <si>
    <t>P - 9</t>
  </si>
  <si>
    <t>P - 12</t>
  </si>
  <si>
    <t>S.H. OF. Y DEP ED. FIS.</t>
  </si>
  <si>
    <t>S.H. ENFERMERIA</t>
  </si>
  <si>
    <t>AULA DE INNOVACION PEDAGOGICA - HORIZONTAL</t>
  </si>
  <si>
    <t>MODULO DE CONECTIVIDAD - HORIZONTAL</t>
  </si>
  <si>
    <t>AULA - HORIZONTAL</t>
  </si>
  <si>
    <t>OF. Y DED. EDUCACION FISICA - HORIZONTAL</t>
  </si>
  <si>
    <t>PSICOLOGIA - HORIZONTAL</t>
  </si>
  <si>
    <t>ENFERMERIA - HORIZONTAL</t>
  </si>
  <si>
    <t>LABORATORIO - HORIZONTAL</t>
  </si>
  <si>
    <t>DEPOSITO - HORIZONTAL</t>
  </si>
  <si>
    <t>SALA DE DOCENTES - HORIZONTAL</t>
  </si>
  <si>
    <t>OFICINA APAFA - HORIZONTAL</t>
  </si>
  <si>
    <t>BIBLIOTECA - HORIZONTAL</t>
  </si>
  <si>
    <t>DEPOSITO DE LIBROS - HORIZONTAL</t>
  </si>
  <si>
    <t>TALLER DE ARTE - HORIZONTAL</t>
  </si>
  <si>
    <t>SS.HH. VARONES - HORIZONTAL</t>
  </si>
  <si>
    <t>SS.HH. MUJERES - HORIZONTAL</t>
  </si>
  <si>
    <t>S.H. OF. Y DEP ED. FIS. - HORIZONTAL</t>
  </si>
  <si>
    <t>S.H. ENFERMERIA - HORIZONTAL</t>
  </si>
  <si>
    <t>SS.HH. - HORIZONTAL</t>
  </si>
  <si>
    <t>CTO. LIMPIEZA  - HORIZONTAL</t>
  </si>
  <si>
    <t>P - 31</t>
  </si>
  <si>
    <t>P - N1</t>
  </si>
  <si>
    <t>PUERTA TABLERO REBAJADO AGUANO DOBLE HOJA C/SOBRE LUZ.</t>
  </si>
  <si>
    <t>P - 14</t>
  </si>
  <si>
    <t>P - 23</t>
  </si>
  <si>
    <t>CTO. LIMPIEZA  - VERTICAL</t>
  </si>
  <si>
    <t>ALMACEN GENERAL - HORIZONTAL</t>
  </si>
  <si>
    <t>OF. Y DEP. ED. FIS. SECUNDARIA - HORIZONTAL</t>
  </si>
  <si>
    <t>COMEDOR - HORIZONTAL</t>
  </si>
  <si>
    <t>SUM - HORIZONTAL</t>
  </si>
  <si>
    <t>CUARTO DE SONIDO - HORIZONTAL</t>
  </si>
  <si>
    <t>MEZANINE - HORIZONTAL</t>
  </si>
  <si>
    <t>MEZANINE - ESCALONES</t>
  </si>
  <si>
    <t>TALLER DE EPT REPOST. Y COCINA - HORIZONTAL</t>
  </si>
  <si>
    <t>TALLER DE EPT MANUALIDADES - HORIZONTAL</t>
  </si>
  <si>
    <t>ALMACEN DE LIBROS - HORIZONTAL</t>
  </si>
  <si>
    <t>TUTORIA Y CONSEJERIA - HORIZONTAL</t>
  </si>
  <si>
    <t>S.H. - HORIZONTAL</t>
  </si>
  <si>
    <t>COLUMNAS EN EJE A6 - G - INTERIOR</t>
  </si>
  <si>
    <t>COLUMNAS EN EJE A5 - G - INTERIOR</t>
  </si>
  <si>
    <t>COLUMNAS EN EJE A4 - G - INTERIOR</t>
  </si>
  <si>
    <t>COLUMNAS EN EJE A3 - G - INTERIOR</t>
  </si>
  <si>
    <t>COLUMNAS EN EJE A2 - G - INTERIOR</t>
  </si>
  <si>
    <t>COLUMNAS EN EJE 1 - G - INTERIOR</t>
  </si>
  <si>
    <t>COLUMNAS EN EJE 2 - G - INTERIOR</t>
  </si>
  <si>
    <t>COLUMNAS EN EJE 3 - G - INTERIOR</t>
  </si>
  <si>
    <t>COLUMNAS EN EJE 4 - G - INTERIOR</t>
  </si>
  <si>
    <t>COLUMNAS EN EJE 5 - G - INTERIOR</t>
  </si>
  <si>
    <t>COLUMNAS EN EJE 6 - G - INTERIOR</t>
  </si>
  <si>
    <t>PRIMER NIVEL - PASILLO</t>
  </si>
  <si>
    <t>COLUMNAS EN EJE A6 - F - EXTERIOR</t>
  </si>
  <si>
    <t>COLUMNAS EN EJE A6 - B - EXTERIOR</t>
  </si>
  <si>
    <t>COLUMNAS EN EJE A6 - C - EXTERIOR</t>
  </si>
  <si>
    <t>COLUMNAS EN EJE A6 - D - EXTERIOR</t>
  </si>
  <si>
    <t>COLUMNAS EN EJE A6 - E - EXTERIOR</t>
  </si>
  <si>
    <t>COLUMNAS EN EJE A6 - G - EXTERIOR</t>
  </si>
  <si>
    <t>COLUMNAS EN EJE A5 - G - EXTERIOR</t>
  </si>
  <si>
    <t>COLUMNAS EN EJE A4 - G - EXTERIOR</t>
  </si>
  <si>
    <t>COLUMNAS EN EJE A3 - G - EXTERIOR</t>
  </si>
  <si>
    <t>COLUMNAS EN EJE A2 - G - EXTERIOR</t>
  </si>
  <si>
    <t>COLUMNAS EN EJE 1 - G - EXTERIOR</t>
  </si>
  <si>
    <t>COLUMNAS EN EJE 2 - G - EXTERIOR</t>
  </si>
  <si>
    <t>COLUMNAS EN EJE 3 - G - EXTERIOR</t>
  </si>
  <si>
    <t>COLUMNAS EN EJE 4 - G - EXTERIOR</t>
  </si>
  <si>
    <t>COLUMNAS EN EJE 5 - G - EXTERIOR</t>
  </si>
  <si>
    <t>COLUMNAS EN EJE 6 - A - EXTERIOR</t>
  </si>
  <si>
    <t>COLUMNAS EN EJE 7 - A - EXTERIOR</t>
  </si>
  <si>
    <t>COLUMNAS EN EJE 8 - A - EXTERIOR</t>
  </si>
  <si>
    <t>COLUMNAS EN EJE 9 - A - EXTERIOR</t>
  </si>
  <si>
    <t>COLUMNAS EN EJE 10 - A - EXTERIOR</t>
  </si>
  <si>
    <t>COLUMNAS EN EJE A2 - A - EXTERIOR</t>
  </si>
  <si>
    <t>COLUMNAS EN EJE A3 - A - EXTERIOR</t>
  </si>
  <si>
    <t>SEGUNDO NIVEL - PASILLO</t>
  </si>
  <si>
    <t>COLUMNAS EN EJE A4 - A- EXTERIOR</t>
  </si>
  <si>
    <t>COLUMNAS EN EJE A6 - A - EXTERIOR</t>
  </si>
  <si>
    <t>TERCER NIVEL - PASILLO</t>
  </si>
  <si>
    <t>COLUMNAS EN EJE A4 - A - EXTERIOR</t>
  </si>
  <si>
    <t>RAMPA - TRAMPO 1</t>
  </si>
  <si>
    <t>RAMPA - TRAMPO 2</t>
  </si>
  <si>
    <t>PASILLLO</t>
  </si>
  <si>
    <t>EN TECHO CUPULA</t>
  </si>
  <si>
    <t>P - 42</t>
  </si>
  <si>
    <t>P - 39</t>
  </si>
  <si>
    <t>P -  1A</t>
  </si>
  <si>
    <t>LABORATORIO MULTIFUNCIONAL - HORIZONTAL</t>
  </si>
  <si>
    <t>AULA DE INNOVACION PEDAGOGICA 1 - HORIZONTAL</t>
  </si>
  <si>
    <t>AULA DE INNOVACION PEDAGOGICA 2 - HORIZONTAL</t>
  </si>
  <si>
    <t>ENFERMERIA - PSICOLOGIA - HORIZONTAL</t>
  </si>
  <si>
    <t>ADMINISTRACION - HORIZONTAL</t>
  </si>
  <si>
    <t>EJE G' / EJE 1</t>
  </si>
  <si>
    <t>EJE G' / EJE 3</t>
  </si>
  <si>
    <t>EJE 1 / EJE A</t>
  </si>
  <si>
    <t>EJE 1 / EJE B</t>
  </si>
  <si>
    <t>EJE 1 / EJE C</t>
  </si>
  <si>
    <t>EJE 1 / EJE D</t>
  </si>
  <si>
    <t>EJE 1 / EJE E</t>
  </si>
  <si>
    <t>EJE 1 / EJE F</t>
  </si>
  <si>
    <t>EJE 1 / EJE G</t>
  </si>
  <si>
    <t xml:space="preserve">EJE G / EJE 3 </t>
  </si>
  <si>
    <t>EJE G / EJE 5</t>
  </si>
  <si>
    <t>EJE G / EJE 7</t>
  </si>
  <si>
    <t>EJE G / EJE 9</t>
  </si>
  <si>
    <t>EJE G / EJE 11</t>
  </si>
  <si>
    <t>EJE G / EJE 13</t>
  </si>
  <si>
    <t>EJE A / EJE 2</t>
  </si>
  <si>
    <t xml:space="preserve">EJE A - EJE D / EJE 3 </t>
  </si>
  <si>
    <t>EJE A - EJE D / EJE 5</t>
  </si>
  <si>
    <t>EJE A - EJE D / EJE 7</t>
  </si>
  <si>
    <t>EJE A - EJE D / EJE 9</t>
  </si>
  <si>
    <t>EJE A  - EJE D/ EJE 11</t>
  </si>
  <si>
    <t>EJE A - EJE D / EJE 13</t>
  </si>
  <si>
    <t>EJE G - EJE D / EJE 1 - EJE 13</t>
  </si>
  <si>
    <t>EJE A - EJE D / EJE 1 - EJE 13</t>
  </si>
  <si>
    <t>EJE A - EJE D / EJE 2</t>
  </si>
  <si>
    <t>CAPA 4</t>
  </si>
  <si>
    <t>TECHO DE RAMPA</t>
  </si>
  <si>
    <t>TECHO DE CAPILLA</t>
  </si>
  <si>
    <t>CAPILLA - HORIZONTAL</t>
  </si>
  <si>
    <t>ALTAR - HORIZONTAL</t>
  </si>
  <si>
    <t>CONFESIONARIO - HORIZONTAL</t>
  </si>
  <si>
    <t>SACRISTIA - HORIZONTAL</t>
  </si>
  <si>
    <t>CAMPANA DE BRONCE</t>
  </si>
  <si>
    <t>ESCALERA DE INGRESO</t>
  </si>
  <si>
    <t>BLOQUE - ESCALERA DE INGRESO</t>
  </si>
  <si>
    <t>PRIMER @ TERCER NIVEL</t>
  </si>
  <si>
    <t>CONTRAPASO DE ESCALERA</t>
  </si>
  <si>
    <t>QUIOSCOS</t>
  </si>
  <si>
    <t>QUIOSCO PRIMARIA 1</t>
  </si>
  <si>
    <t>QUIOSCO PRIMARIA 2</t>
  </si>
  <si>
    <t>TIENDA - HORIZONTAL</t>
  </si>
  <si>
    <t>TIENDA - VERTICAL</t>
  </si>
  <si>
    <t>TIENDA - POYO</t>
  </si>
  <si>
    <t>S.H. - HORIZOTAL</t>
  </si>
  <si>
    <t>QUIOSCO SECUNDARIA</t>
  </si>
  <si>
    <t>TIENDA 1 - HORIZONTAL</t>
  </si>
  <si>
    <t>TIENDA 1 - VERTICAL</t>
  </si>
  <si>
    <t>TIENDA 2 - HORIZONTAL</t>
  </si>
  <si>
    <t>TIENDA 2 - VERTICAL</t>
  </si>
  <si>
    <t>AREA DE MESAS. - HORIZONTAL</t>
  </si>
  <si>
    <t>GUARDIANÍAS</t>
  </si>
  <si>
    <t>GUARDIANIA PRIMARIA</t>
  </si>
  <si>
    <t>CUARTO DE TAPA DE CISTERNA</t>
  </si>
  <si>
    <t>GUARDIANIA SECUNDARIA</t>
  </si>
  <si>
    <t>GUARDIANIA - HORIZONTAL</t>
  </si>
  <si>
    <t>CONTROL - HORIZONTAL</t>
  </si>
  <si>
    <t>ESCALERAS Y RAMPAS METÁLICAS</t>
  </si>
  <si>
    <t>BLOQUE - GUARDIANÍAS</t>
  </si>
  <si>
    <t>BLOQUE - QUIOSCOS</t>
  </si>
  <si>
    <t>BLOQUE - ESCALERAS Y RAMPAS METÁLICAS</t>
  </si>
  <si>
    <t>SOTANO @ PRIMER NIVEL</t>
  </si>
  <si>
    <t>RAMPA - 2</t>
  </si>
  <si>
    <t>TRAMO 1</t>
  </si>
  <si>
    <t>TRAMO 2</t>
  </si>
  <si>
    <t>PRIMER NIVEL @ SEGUNDO NIVEL</t>
  </si>
  <si>
    <t>RAMPA - 1</t>
  </si>
  <si>
    <t>RAMPA - 3</t>
  </si>
  <si>
    <t>SEGUNDO NIVEL @ TERCER NIVEL</t>
  </si>
  <si>
    <t>EXTERIORES</t>
  </si>
  <si>
    <t>BLOQUE - ESTACIONAMIENTO</t>
  </si>
  <si>
    <t>CARAS HORIZONTALES</t>
  </si>
  <si>
    <t>CAJAS - CARAS VERTICALES</t>
  </si>
  <si>
    <t>BLOQUE - EXTERIORES</t>
  </si>
  <si>
    <t>AREA VERDE ENTRE LOSA DE SECUNDARIA Y PERGOLA PATIO</t>
  </si>
  <si>
    <t>AREA VERDE ENTRE BLOQUE 5 y PATIO</t>
  </si>
  <si>
    <t>AREA VERDE ESCALERA PRINCIPAL</t>
  </si>
  <si>
    <t>JARDINES EXTERIORES - CERCO FACHADA</t>
  </si>
  <si>
    <t>ENTRE GUARDIANIA PRIMARIA E INGRESO DE PRIMARIA</t>
  </si>
  <si>
    <t>ENTRE INGRESO DE PRIMARIA Y GUARDIANIA DE SECUNDARIA</t>
  </si>
  <si>
    <t>ENTRE GUARDIANIA SECUNDARIA E INGRESO DE SECUNDARIA</t>
  </si>
  <si>
    <t>ENTRE INGRESO DE SECUNDARIA A FINAL DE CERCO</t>
  </si>
  <si>
    <t>PUERTA ADYACENTE PRIMARIA</t>
  </si>
  <si>
    <t>PUERTA ADYACENTE SECUNDARIA</t>
  </si>
  <si>
    <t>QUIOSCOS PRIMARIA</t>
  </si>
  <si>
    <t>QUIOSCOS SECUNDARIA</t>
  </si>
  <si>
    <t>JARDINES INTERIORES - CERCO FACHADA</t>
  </si>
  <si>
    <t>PERÍMETRO EXTERIOR - JARDINERA</t>
  </si>
  <si>
    <t>PERÍMETRO INTERIOR - JARDINERA</t>
  </si>
  <si>
    <t>: DICIEMBRE/2021</t>
  </si>
  <si>
    <t>CANTONERAS DE ALUMINIO PARA ESCALERAS</t>
  </si>
  <si>
    <t>CANTONERA DE ALUMINIO EN ZÓCALOS</t>
  </si>
  <si>
    <t>CANTONERA DE ALUMINIO EN ZÓCALOS, CONTRAZÓCALOS Y MESAS</t>
  </si>
  <si>
    <t>PUERTA DE INGRESO PRIMARIA</t>
  </si>
  <si>
    <t>PUERTA DE INGRESO SECUNDARIA</t>
  </si>
  <si>
    <t>ESCUDO DE MDF Y ACERO H=3.00</t>
  </si>
  <si>
    <t>PINTURA MURAL 5.80X7.60</t>
  </si>
  <si>
    <t>CAMPANA H=0.60</t>
  </si>
  <si>
    <t>CRUZ DE ALUMINIO TEXTURIZADO EN INTERIOR Y EXTERIOR 1.80X3.00</t>
  </si>
  <si>
    <t>ESTATUA DE SANTA ROSA H=2.20</t>
  </si>
  <si>
    <t>REVESTIMIENTO DE PEDESTAL CON TERRAZO PULIDO</t>
  </si>
  <si>
    <t>PASADIZO</t>
  </si>
  <si>
    <t>METRADO DE PARTIDAS NUEVAS</t>
  </si>
  <si>
    <t>MUROS DE ALUMINIO COMPUESTO E= 15 cm</t>
  </si>
  <si>
    <t>EJE 3 - 3 / D1 - D15</t>
  </si>
  <si>
    <t>MUROS Y TABIQUES</t>
  </si>
  <si>
    <t>PISO DE CEMENTO PULIDO</t>
  </si>
  <si>
    <t>PISO DE CEMENTO PULIDO Y COLOREADO</t>
  </si>
  <si>
    <t>SARDINEL DE CONCRETO CON ACABADO FROTACHADO DE 0.10 X 0.60 m</t>
  </si>
  <si>
    <t>SARDINEL DE CONCRETO CON ACABADO FROTACHADO DE 0.10 x 0.80 m</t>
  </si>
  <si>
    <t>SARDINEL DE CONCRETO CON ACABADO FROTACHADO DE 0.10 X 0.40 m</t>
  </si>
  <si>
    <t>SARDINEL DE CONCRETO CON ACABADO FROTACHADO DE 0.10X 0.80 m</t>
  </si>
  <si>
    <t>COBERTURA DE POLICARBONATO SOLIDO Y TUBO DE ACERO LAC</t>
  </si>
  <si>
    <t>CUPULA DE TECHO</t>
  </si>
  <si>
    <t>02.01</t>
  </si>
  <si>
    <t>02.02</t>
  </si>
  <si>
    <t>02.03</t>
  </si>
  <si>
    <t>02.01.01</t>
  </si>
  <si>
    <t>02.02.01</t>
  </si>
  <si>
    <t>02.02.02</t>
  </si>
  <si>
    <t>02.03.01</t>
  </si>
  <si>
    <t>02.03.01.01</t>
  </si>
  <si>
    <t>02.02.01.02</t>
  </si>
  <si>
    <t>02.04</t>
  </si>
  <si>
    <t>02.04.01</t>
  </si>
  <si>
    <t>02.06</t>
  </si>
  <si>
    <t>02.06.01</t>
  </si>
  <si>
    <t>02.06.01.01</t>
  </si>
  <si>
    <t>02.06.01.02</t>
  </si>
  <si>
    <t>02.03.02</t>
  </si>
  <si>
    <t>02.03.02.01</t>
  </si>
  <si>
    <t>02.03.02.02</t>
  </si>
  <si>
    <t>02.03.02.03</t>
  </si>
  <si>
    <t>02.04.01.01</t>
  </si>
  <si>
    <t>02.04.01.02</t>
  </si>
  <si>
    <t>02.05</t>
  </si>
  <si>
    <t>02.05.01</t>
  </si>
  <si>
    <t>02.05.02</t>
  </si>
  <si>
    <t>02.06.01.03</t>
  </si>
  <si>
    <t>02.06.01.04</t>
  </si>
  <si>
    <t xml:space="preserve">VENTANA DE REJA METALICA </t>
  </si>
  <si>
    <t>PUERTA CORTAFUEGO (INCL.INSTALACION Y ACCESORIOS)</t>
  </si>
  <si>
    <t>02.07</t>
  </si>
  <si>
    <t>02.07.01</t>
  </si>
  <si>
    <t>02.07.02</t>
  </si>
  <si>
    <t>02.08</t>
  </si>
  <si>
    <t>02.08.01</t>
  </si>
  <si>
    <t>02.10</t>
  </si>
  <si>
    <t>02.10.01</t>
  </si>
  <si>
    <t>02.10.02</t>
  </si>
  <si>
    <t>02.10.03</t>
  </si>
  <si>
    <t>02.10.04</t>
  </si>
  <si>
    <t>02.10.05</t>
  </si>
  <si>
    <t>02.10.06</t>
  </si>
  <si>
    <t>02.10.07</t>
  </si>
  <si>
    <t>SUMINISTRO E INSTALACION DE REJA DE ACERO GALVANIZADO DE 3 "</t>
  </si>
  <si>
    <t xml:space="preserve">EN GENERAL DE TODOS LOS BLOQUES </t>
  </si>
  <si>
    <t>PUERTA METALICA EN GENERAL</t>
  </si>
  <si>
    <t xml:space="preserve">PUERTA CORTAFUEGO EN GENERAL </t>
  </si>
  <si>
    <t xml:space="preserve">VENTANA DE REJA METALICA  GENERAL </t>
  </si>
  <si>
    <t>02</t>
  </si>
  <si>
    <t>02.09.03</t>
  </si>
  <si>
    <t>02.09.01</t>
  </si>
  <si>
    <t>02.010.02</t>
  </si>
  <si>
    <t xml:space="preserve">CARPINTERIA   METALICA Y HERRERIA </t>
  </si>
  <si>
    <t>ACABADO DE PISO COLOREADO PULIDO</t>
  </si>
  <si>
    <t>02.03.0</t>
  </si>
  <si>
    <t>02.03.01.02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</si>
</sst>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"/>
    <numFmt numFmtId="165" formatCode="_-* #,##0.00\ _€_-;\-* #,##0.00\ _€_-;_-* &quot;-&quot;??\ _€_-;_-@_-"/>
    <numFmt numFmtId="166" formatCode="mmmm\-yyyy"/>
    <numFmt numFmtId="167" formatCode="0.0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8"/>
      <color rgb="FFCC0000"/>
      <name val="Arial"/>
      <family val="2"/>
    </font>
    <font>
      <sz val="8"/>
      <color theme="1"/>
      <name val="Arial"/>
      <family val="2"/>
    </font>
    <font>
      <sz val="10"/>
      <color theme="1"/>
      <name val="Calibri"/>
      <family val="2"/>
      <scheme val="minor"/>
    </font>
    <font>
      <b/>
      <sz val="8"/>
      <color theme="4"/>
      <name val="Arial"/>
      <family val="2"/>
    </font>
    <font>
      <sz val="10"/>
      <name val="Arial"/>
      <family val="2"/>
    </font>
    <font>
      <b/>
      <sz val="8"/>
      <color theme="1"/>
      <name val="Arial"/>
      <family val="2"/>
    </font>
    <font>
      <sz val="8"/>
      <color indexed="72"/>
      <name val="Arial"/>
      <family val="2"/>
    </font>
    <font>
      <sz val="8"/>
      <color indexed="8"/>
      <name val="Arial"/>
      <family val="2"/>
    </font>
    <font>
      <b/>
      <sz val="8"/>
      <color indexed="17"/>
      <name val="Arial"/>
      <family val="2"/>
    </font>
    <font>
      <b/>
      <sz val="8"/>
      <color indexed="72"/>
      <name val="Arial"/>
      <family val="2"/>
    </font>
    <font>
      <b/>
      <sz val="8"/>
      <color indexed="10"/>
      <name val="Arial Narrow"/>
      <family val="2"/>
    </font>
    <font>
      <b/>
      <sz val="9"/>
      <color indexed="20"/>
      <name val="Arial Narrow"/>
      <family val="2"/>
    </font>
    <font>
      <b/>
      <sz val="8"/>
      <color indexed="12"/>
      <name val="Arial Narrow"/>
      <family val="2"/>
    </font>
    <font>
      <b/>
      <sz val="8"/>
      <name val="Arial Narrow"/>
      <family val="2"/>
    </font>
    <font>
      <b/>
      <sz val="8"/>
      <color indexed="17"/>
      <name val="Arial Narrow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8"/>
      <color indexed="8"/>
      <name val="Arial Narrow"/>
      <family val="2"/>
    </font>
    <font>
      <b/>
      <sz val="8"/>
      <color rgb="FFFF0000"/>
      <name val="Arial Narrow"/>
      <family val="2"/>
    </font>
    <font>
      <sz val="8"/>
      <name val="Arial Narrow"/>
      <family val="2"/>
    </font>
    <font>
      <sz val="8"/>
      <name val="Calibri"/>
      <family val="2"/>
    </font>
    <font>
      <sz val="3"/>
      <name val="Arial Narrow"/>
      <family val="2"/>
    </font>
    <font>
      <b/>
      <sz val="3"/>
      <name val="Arial Narrow"/>
      <family val="2"/>
    </font>
    <font>
      <sz val="3"/>
      <name val="Calibri"/>
      <family val="2"/>
    </font>
    <font>
      <sz val="11"/>
      <name val="Arial Black"/>
      <family val="2"/>
    </font>
    <font>
      <sz val="3"/>
      <color theme="1" tint="4.9989318521683403E-2"/>
      <name val="Arial Narrow"/>
      <family val="2"/>
    </font>
    <font>
      <b/>
      <sz val="3"/>
      <color theme="1" tint="4.9989318521683403E-2"/>
      <name val="Arial Narrow"/>
      <family val="2"/>
    </font>
    <font>
      <sz val="8"/>
      <color theme="1" tint="4.9989318521683403E-2"/>
      <name val="Arial Narrow"/>
      <family val="2"/>
    </font>
    <font>
      <b/>
      <sz val="8"/>
      <color theme="1" tint="4.9989318521683403E-2"/>
      <name val="Arial Narrow"/>
      <family val="2"/>
    </font>
    <font>
      <sz val="10"/>
      <name val="Arial"/>
      <family val="2"/>
    </font>
    <font>
      <b/>
      <sz val="8"/>
      <color indexed="8"/>
      <name val="Arial Narrow"/>
      <family val="2"/>
    </font>
    <font>
      <sz val="8"/>
      <color theme="1"/>
      <name val="Arial Narrow"/>
      <family val="2"/>
    </font>
    <font>
      <b/>
      <i/>
      <u/>
      <sz val="8"/>
      <color theme="1"/>
      <name val="Arial Narrow"/>
      <family val="2"/>
    </font>
    <font>
      <b/>
      <i/>
      <u/>
      <sz val="8"/>
      <color indexed="8"/>
      <name val="Arial Narrow"/>
      <family val="2"/>
    </font>
    <font>
      <sz val="8"/>
      <color rgb="FFFF0000"/>
      <name val="Arial Narrow"/>
      <family val="2"/>
    </font>
    <font>
      <b/>
      <u/>
      <sz val="8"/>
      <color indexed="8"/>
      <name val="Arial Narrow"/>
      <family val="2"/>
    </font>
    <font>
      <b/>
      <u/>
      <sz val="8"/>
      <color theme="1"/>
      <name val="Arial Narrow"/>
      <family val="2"/>
    </font>
    <font>
      <b/>
      <i/>
      <sz val="8"/>
      <color theme="1"/>
      <name val="Arial Narrow"/>
      <family val="2"/>
    </font>
    <font>
      <b/>
      <sz val="9"/>
      <color theme="1"/>
      <name val="Calibri"/>
      <family val="2"/>
      <scheme val="minor"/>
    </font>
    <font>
      <b/>
      <sz val="8"/>
      <color rgb="FF0000FF"/>
      <name val="Arial Narrow"/>
      <family val="2"/>
    </font>
    <font>
      <b/>
      <sz val="8"/>
      <color theme="1" tint="0.499984740745262"/>
      <name val="Arial Narrow"/>
      <family val="2"/>
    </font>
    <font>
      <b/>
      <sz val="8"/>
      <color theme="1" tint="0.34998626667073579"/>
      <name val="Arial Narrow"/>
      <family val="2"/>
    </font>
    <font>
      <i/>
      <u/>
      <sz val="8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0" fontId="10" fillId="0" borderId="0"/>
    <xf numFmtId="0" fontId="10" fillId="0" borderId="0"/>
    <xf numFmtId="0" fontId="35" fillId="0" borderId="0"/>
    <xf numFmtId="43" fontId="10" fillId="0" borderId="0" applyFont="0" applyFill="0" applyBorder="0" applyAlignment="0" applyProtection="0"/>
    <xf numFmtId="0" fontId="10" fillId="0" borderId="0"/>
    <xf numFmtId="0" fontId="1" fillId="0" borderId="0"/>
  </cellStyleXfs>
  <cellXfs count="475">
    <xf numFmtId="0" fontId="0" fillId="0" borderId="0" xfId="0"/>
    <xf numFmtId="0" fontId="21" fillId="0" borderId="1" xfId="3" applyFont="1" applyBorder="1" applyAlignment="1" applyProtection="1">
      <alignment horizontal="center" vertical="top"/>
      <protection locked="0"/>
    </xf>
    <xf numFmtId="2" fontId="23" fillId="0" borderId="1" xfId="3" applyNumberFormat="1" applyFont="1" applyBorder="1" applyAlignment="1">
      <alignment horizontal="right" vertical="top"/>
    </xf>
    <xf numFmtId="0" fontId="25" fillId="0" borderId="0" xfId="3" applyFont="1" applyAlignment="1">
      <alignment vertical="center"/>
    </xf>
    <xf numFmtId="1" fontId="21" fillId="0" borderId="1" xfId="3" applyNumberFormat="1" applyFont="1" applyBorder="1" applyAlignment="1" applyProtection="1">
      <alignment horizontal="right" vertical="top"/>
      <protection locked="0"/>
    </xf>
    <xf numFmtId="2" fontId="21" fillId="0" borderId="1" xfId="3" applyNumberFormat="1" applyFont="1" applyBorder="1" applyAlignment="1" applyProtection="1">
      <alignment horizontal="right" vertical="top"/>
      <protection locked="0"/>
    </xf>
    <xf numFmtId="49" fontId="36" fillId="0" borderId="1" xfId="3" applyNumberFormat="1" applyFont="1" applyBorder="1" applyAlignment="1">
      <alignment horizontal="left" vertical="top"/>
    </xf>
    <xf numFmtId="1" fontId="21" fillId="0" borderId="1" xfId="3" applyNumberFormat="1" applyFont="1" applyBorder="1" applyAlignment="1">
      <alignment horizontal="right" vertical="top"/>
    </xf>
    <xf numFmtId="2" fontId="21" fillId="0" borderId="1" xfId="3" applyNumberFormat="1" applyFont="1" applyBorder="1" applyAlignment="1">
      <alignment horizontal="right" vertical="top"/>
    </xf>
    <xf numFmtId="2" fontId="36" fillId="0" borderId="1" xfId="3" applyNumberFormat="1" applyFont="1" applyBorder="1" applyAlignment="1">
      <alignment horizontal="right" vertical="top"/>
    </xf>
    <xf numFmtId="49" fontId="23" fillId="0" borderId="1" xfId="3" applyNumberFormat="1" applyFont="1" applyBorder="1" applyAlignment="1">
      <alignment horizontal="left" vertical="top"/>
    </xf>
    <xf numFmtId="0" fontId="37" fillId="0" borderId="1" xfId="3" applyFont="1" applyBorder="1" applyAlignment="1">
      <alignment horizontal="left" vertical="top" wrapText="1" indent="2"/>
    </xf>
    <xf numFmtId="1" fontId="37" fillId="0" borderId="1" xfId="3" applyNumberFormat="1" applyFont="1" applyBorder="1" applyAlignment="1">
      <alignment horizontal="right" vertical="top"/>
    </xf>
    <xf numFmtId="2" fontId="37" fillId="0" borderId="1" xfId="3" applyNumberFormat="1" applyFont="1" applyBorder="1" applyAlignment="1">
      <alignment horizontal="right" vertical="top"/>
    </xf>
    <xf numFmtId="0" fontId="36" fillId="0" borderId="1" xfId="3" quotePrefix="1" applyFont="1" applyBorder="1" applyAlignment="1" applyProtection="1">
      <alignment horizontal="left" vertical="top"/>
      <protection locked="0"/>
    </xf>
    <xf numFmtId="0" fontId="36" fillId="0" borderId="1" xfId="3" quotePrefix="1" applyFont="1" applyBorder="1" applyAlignment="1">
      <alignment horizontal="left" vertical="top"/>
    </xf>
    <xf numFmtId="0" fontId="36" fillId="0" borderId="1" xfId="3" applyFont="1" applyBorder="1" applyAlignment="1" applyProtection="1">
      <alignment horizontal="left" vertical="top" wrapText="1" indent="1"/>
      <protection locked="0"/>
    </xf>
    <xf numFmtId="2" fontId="37" fillId="0" borderId="1" xfId="3" applyNumberFormat="1" applyFont="1" applyBorder="1" applyAlignment="1" applyProtection="1">
      <alignment horizontal="right" vertical="top"/>
      <protection locked="0"/>
    </xf>
    <xf numFmtId="0" fontId="23" fillId="0" borderId="1" xfId="3" applyFont="1" applyBorder="1" applyAlignment="1">
      <alignment horizontal="left" vertical="top" wrapText="1" indent="2"/>
    </xf>
    <xf numFmtId="0" fontId="36" fillId="0" borderId="1" xfId="3" applyFont="1" applyBorder="1" applyAlignment="1">
      <alignment horizontal="left" vertical="top" wrapText="1" indent="1"/>
    </xf>
    <xf numFmtId="0" fontId="37" fillId="0" borderId="1" xfId="3" applyFont="1" applyBorder="1" applyAlignment="1" applyProtection="1">
      <alignment horizontal="left" vertical="top" wrapText="1" indent="2"/>
      <protection locked="0"/>
    </xf>
    <xf numFmtId="0" fontId="37" fillId="0" borderId="1" xfId="3" applyFont="1" applyBorder="1" applyAlignment="1">
      <alignment horizontal="center" vertical="top"/>
    </xf>
    <xf numFmtId="1" fontId="37" fillId="0" borderId="1" xfId="3" applyNumberFormat="1" applyFont="1" applyBorder="1" applyAlignment="1" applyProtection="1">
      <alignment horizontal="right" vertical="top"/>
      <protection locked="0"/>
    </xf>
    <xf numFmtId="0" fontId="21" fillId="0" borderId="1" xfId="3" applyFont="1" applyBorder="1" applyAlignment="1">
      <alignment horizontal="center" vertical="top"/>
    </xf>
    <xf numFmtId="0" fontId="23" fillId="0" borderId="1" xfId="3" quotePrefix="1" applyFont="1" applyBorder="1" applyAlignment="1" applyProtection="1">
      <alignment horizontal="left" vertical="top"/>
      <protection locked="0"/>
    </xf>
    <xf numFmtId="0" fontId="8" fillId="0" borderId="0" xfId="0" applyFont="1" applyFill="1"/>
    <xf numFmtId="0" fontId="11" fillId="0" borderId="1" xfId="0" applyFont="1" applyFill="1" applyBorder="1" applyAlignment="1">
      <alignment horizontal="left" vertical="center"/>
    </xf>
    <xf numFmtId="0" fontId="0" fillId="0" borderId="0" xfId="0" applyFill="1"/>
    <xf numFmtId="49" fontId="3" fillId="0" borderId="0" xfId="0" applyNumberFormat="1" applyFont="1" applyFill="1" applyAlignment="1">
      <alignment horizontal="left"/>
    </xf>
    <xf numFmtId="49" fontId="4" fillId="0" borderId="0" xfId="0" applyNumberFormat="1" applyFont="1" applyFill="1" applyAlignment="1">
      <alignment vertic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165" fontId="7" fillId="0" borderId="1" xfId="1" applyFont="1" applyFill="1" applyBorder="1"/>
    <xf numFmtId="0" fontId="8" fillId="0" borderId="1" xfId="0" applyFont="1" applyFill="1" applyBorder="1"/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49" fontId="9" fillId="0" borderId="1" xfId="0" applyNumberFormat="1" applyFont="1" applyFill="1" applyBorder="1" applyAlignment="1">
      <alignment horizontal="left" vertical="center"/>
    </xf>
    <xf numFmtId="0" fontId="6" fillId="0" borderId="1" xfId="0" applyFont="1" applyFill="1" applyBorder="1"/>
    <xf numFmtId="0" fontId="9" fillId="0" borderId="1" xfId="0" applyFont="1" applyFill="1" applyBorder="1" applyAlignment="1">
      <alignment horizontal="left" indent="1"/>
    </xf>
    <xf numFmtId="0" fontId="3" fillId="0" borderId="1" xfId="0" applyFont="1" applyFill="1" applyBorder="1" applyAlignment="1" applyProtection="1">
      <alignment horizontal="left" vertical="center" indent="2"/>
      <protection locked="0"/>
    </xf>
    <xf numFmtId="0" fontId="12" fillId="0" borderId="1" xfId="0" applyFont="1" applyFill="1" applyBorder="1" applyAlignment="1" applyProtection="1">
      <alignment horizontal="left" vertical="center" indent="3"/>
      <protection locked="0"/>
    </xf>
    <xf numFmtId="165" fontId="8" fillId="0" borderId="1" xfId="0" applyNumberFormat="1" applyFont="1" applyFill="1" applyBorder="1"/>
    <xf numFmtId="2" fontId="13" fillId="0" borderId="1" xfId="3" applyNumberFormat="1" applyFont="1" applyFill="1" applyBorder="1" applyAlignment="1">
      <alignment horizontal="center" vertical="center"/>
    </xf>
    <xf numFmtId="2" fontId="8" fillId="0" borderId="1" xfId="0" applyNumberFormat="1" applyFont="1" applyFill="1" applyBorder="1"/>
    <xf numFmtId="2" fontId="14" fillId="0" borderId="1" xfId="3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 applyProtection="1">
      <alignment horizontal="left" vertical="center" indent="2"/>
      <protection locked="0"/>
    </xf>
    <xf numFmtId="0" fontId="7" fillId="0" borderId="1" xfId="0" applyFont="1" applyFill="1" applyBorder="1"/>
    <xf numFmtId="0" fontId="19" fillId="0" borderId="1" xfId="3" quotePrefix="1" applyFont="1" applyFill="1" applyBorder="1" applyAlignment="1" applyProtection="1">
      <alignment horizontal="left" vertical="top"/>
      <protection locked="0"/>
    </xf>
    <xf numFmtId="0" fontId="21" fillId="0" borderId="1" xfId="3" applyFont="1" applyFill="1" applyBorder="1" applyAlignment="1" applyProtection="1">
      <alignment horizontal="left" vertical="top" wrapText="1"/>
      <protection locked="0"/>
    </xf>
    <xf numFmtId="0" fontId="19" fillId="0" borderId="1" xfId="3" applyFont="1" applyFill="1" applyBorder="1" applyAlignment="1" applyProtection="1">
      <alignment horizontal="center" vertical="top"/>
      <protection locked="0"/>
    </xf>
    <xf numFmtId="1" fontId="21" fillId="0" borderId="1" xfId="3" applyNumberFormat="1" applyFont="1" applyFill="1" applyBorder="1" applyAlignment="1" applyProtection="1">
      <alignment horizontal="right" vertical="top"/>
      <protection locked="0"/>
    </xf>
    <xf numFmtId="2" fontId="21" fillId="0" borderId="1" xfId="3" applyNumberFormat="1" applyFont="1" applyFill="1" applyBorder="1" applyAlignment="1" applyProtection="1">
      <alignment horizontal="right" vertical="top"/>
      <protection locked="0"/>
    </xf>
    <xf numFmtId="2" fontId="19" fillId="0" borderId="1" xfId="3" applyNumberFormat="1" applyFont="1" applyFill="1" applyBorder="1" applyAlignment="1" applyProtection="1">
      <alignment horizontal="right" vertical="top"/>
      <protection locked="0"/>
    </xf>
    <xf numFmtId="1" fontId="19" fillId="0" borderId="1" xfId="3" applyNumberFormat="1" applyFont="1" applyFill="1" applyBorder="1" applyAlignment="1">
      <alignment horizontal="right" vertical="top"/>
    </xf>
    <xf numFmtId="2" fontId="19" fillId="0" borderId="1" xfId="3" applyNumberFormat="1" applyFont="1" applyFill="1" applyBorder="1" applyAlignment="1">
      <alignment horizontal="right" vertical="top"/>
    </xf>
    <xf numFmtId="49" fontId="36" fillId="0" borderId="1" xfId="3" applyNumberFormat="1" applyFont="1" applyFill="1" applyBorder="1" applyAlignment="1">
      <alignment horizontal="left" vertical="top"/>
    </xf>
    <xf numFmtId="0" fontId="21" fillId="0" borderId="1" xfId="3" applyFont="1" applyFill="1" applyBorder="1" applyAlignment="1">
      <alignment horizontal="left" vertical="top" wrapText="1" indent="1"/>
    </xf>
    <xf numFmtId="0" fontId="36" fillId="0" borderId="1" xfId="3" applyFont="1" applyFill="1" applyBorder="1" applyAlignment="1">
      <alignment horizontal="center" vertical="top"/>
    </xf>
    <xf numFmtId="1" fontId="21" fillId="0" borderId="1" xfId="3" applyNumberFormat="1" applyFont="1" applyFill="1" applyBorder="1" applyAlignment="1">
      <alignment horizontal="right" vertical="top"/>
    </xf>
    <xf numFmtId="2" fontId="21" fillId="0" borderId="1" xfId="3" applyNumberFormat="1" applyFont="1" applyFill="1" applyBorder="1" applyAlignment="1">
      <alignment horizontal="right" vertical="top"/>
    </xf>
    <xf numFmtId="2" fontId="36" fillId="0" borderId="1" xfId="3" applyNumberFormat="1" applyFont="1" applyFill="1" applyBorder="1" applyAlignment="1">
      <alignment horizontal="right" vertical="top"/>
    </xf>
    <xf numFmtId="1" fontId="36" fillId="0" borderId="1" xfId="3" applyNumberFormat="1" applyFont="1" applyFill="1" applyBorder="1" applyAlignment="1">
      <alignment horizontal="right" vertical="top"/>
    </xf>
    <xf numFmtId="49" fontId="23" fillId="0" borderId="1" xfId="3" applyNumberFormat="1" applyFont="1" applyFill="1" applyBorder="1" applyAlignment="1">
      <alignment horizontal="left" vertical="top"/>
    </xf>
    <xf numFmtId="0" fontId="37" fillId="0" borderId="1" xfId="3" applyFont="1" applyFill="1" applyBorder="1" applyAlignment="1">
      <alignment horizontal="left" vertical="top" wrapText="1" indent="2"/>
    </xf>
    <xf numFmtId="0" fontId="23" fillId="0" borderId="1" xfId="3" applyFont="1" applyFill="1" applyBorder="1" applyAlignment="1">
      <alignment horizontal="center" vertical="top"/>
    </xf>
    <xf numFmtId="1" fontId="37" fillId="0" borderId="1" xfId="3" applyNumberFormat="1" applyFont="1" applyFill="1" applyBorder="1" applyAlignment="1">
      <alignment horizontal="right" vertical="top"/>
    </xf>
    <xf numFmtId="2" fontId="37" fillId="0" borderId="1" xfId="3" applyNumberFormat="1" applyFont="1" applyFill="1" applyBorder="1" applyAlignment="1">
      <alignment horizontal="right" vertical="top"/>
    </xf>
    <xf numFmtId="2" fontId="23" fillId="0" borderId="1" xfId="3" applyNumberFormat="1" applyFont="1" applyFill="1" applyBorder="1" applyAlignment="1">
      <alignment horizontal="right" vertical="top"/>
    </xf>
    <xf numFmtId="1" fontId="23" fillId="0" borderId="1" xfId="3" applyNumberFormat="1" applyFont="1" applyFill="1" applyBorder="1" applyAlignment="1">
      <alignment horizontal="right" vertical="top"/>
    </xf>
    <xf numFmtId="2" fontId="23" fillId="0" borderId="1" xfId="3" applyNumberFormat="1" applyFont="1" applyFill="1" applyBorder="1" applyAlignment="1" applyProtection="1">
      <alignment horizontal="right" vertical="top"/>
    </xf>
    <xf numFmtId="2" fontId="36" fillId="0" borderId="1" xfId="3" applyNumberFormat="1" applyFont="1" applyFill="1" applyBorder="1" applyAlignment="1" applyProtection="1">
      <alignment horizontal="right" vertical="top"/>
    </xf>
    <xf numFmtId="0" fontId="36" fillId="0" borderId="1" xfId="3" quotePrefix="1" applyFont="1" applyFill="1" applyBorder="1" applyAlignment="1" applyProtection="1">
      <alignment horizontal="left" vertical="top"/>
      <protection locked="0"/>
    </xf>
    <xf numFmtId="0" fontId="36" fillId="0" borderId="1" xfId="3" applyFont="1" applyFill="1" applyBorder="1" applyAlignment="1" applyProtection="1">
      <alignment horizontal="center" vertical="top"/>
      <protection locked="0"/>
    </xf>
    <xf numFmtId="2" fontId="36" fillId="0" borderId="1" xfId="3" applyNumberFormat="1" applyFont="1" applyFill="1" applyBorder="1" applyAlignment="1" applyProtection="1">
      <alignment horizontal="right" vertical="top"/>
      <protection locked="0"/>
    </xf>
    <xf numFmtId="0" fontId="38" fillId="0" borderId="1" xfId="3" applyFont="1" applyFill="1" applyBorder="1" applyAlignment="1">
      <alignment horizontal="left" vertical="top" wrapText="1" indent="1"/>
    </xf>
    <xf numFmtId="0" fontId="21" fillId="0" borderId="1" xfId="3" applyFont="1" applyFill="1" applyBorder="1" applyAlignment="1" applyProtection="1">
      <alignment horizontal="left" vertical="top" wrapText="1" indent="1"/>
      <protection locked="0"/>
    </xf>
    <xf numFmtId="0" fontId="19" fillId="0" borderId="1" xfId="3" applyFont="1" applyFill="1" applyBorder="1" applyAlignment="1" applyProtection="1">
      <alignment horizontal="left" vertical="top" wrapText="1"/>
      <protection locked="0"/>
    </xf>
    <xf numFmtId="1" fontId="19" fillId="0" borderId="1" xfId="3" applyNumberFormat="1" applyFont="1" applyFill="1" applyBorder="1" applyAlignment="1" applyProtection="1">
      <alignment horizontal="right" vertical="top"/>
      <protection locked="0"/>
    </xf>
    <xf numFmtId="0" fontId="36" fillId="0" borderId="1" xfId="3" applyFont="1" applyFill="1" applyBorder="1" applyAlignment="1">
      <alignment horizontal="left" vertical="top" wrapText="1" indent="1"/>
    </xf>
    <xf numFmtId="0" fontId="23" fillId="0" borderId="1" xfId="3" applyFont="1" applyFill="1" applyBorder="1" applyAlignment="1">
      <alignment horizontal="left" vertical="top" wrapText="1" indent="2"/>
    </xf>
    <xf numFmtId="0" fontId="36" fillId="0" borderId="1" xfId="3" applyFont="1" applyFill="1" applyBorder="1" applyAlignment="1" applyProtection="1">
      <alignment horizontal="left" vertical="top" wrapText="1" indent="1"/>
      <protection locked="0"/>
    </xf>
    <xf numFmtId="1" fontId="36" fillId="0" borderId="1" xfId="3" applyNumberFormat="1" applyFont="1" applyFill="1" applyBorder="1" applyAlignment="1" applyProtection="1">
      <alignment horizontal="right" vertical="top"/>
      <protection locked="0"/>
    </xf>
    <xf numFmtId="0" fontId="39" fillId="0" borderId="1" xfId="3" applyFont="1" applyFill="1" applyBorder="1" applyAlignment="1" applyProtection="1">
      <alignment horizontal="left" vertical="top" wrapText="1" indent="1"/>
      <protection locked="0"/>
    </xf>
    <xf numFmtId="0" fontId="23" fillId="0" borderId="1" xfId="3" applyFont="1" applyFill="1" applyBorder="1" applyAlignment="1" applyProtection="1">
      <alignment horizontal="left" vertical="top" wrapText="1" indent="2"/>
      <protection locked="0"/>
    </xf>
    <xf numFmtId="1" fontId="23" fillId="0" borderId="1" xfId="3" applyNumberFormat="1" applyFont="1" applyFill="1" applyBorder="1" applyAlignment="1" applyProtection="1">
      <alignment horizontal="right" vertical="top"/>
      <protection locked="0"/>
    </xf>
    <xf numFmtId="2" fontId="37" fillId="0" borderId="1" xfId="3" applyNumberFormat="1" applyFont="1" applyFill="1" applyBorder="1" applyAlignment="1" applyProtection="1">
      <alignment horizontal="right" vertical="top"/>
      <protection locked="0"/>
    </xf>
    <xf numFmtId="0" fontId="36" fillId="0" borderId="1" xfId="3" applyFont="1" applyFill="1" applyBorder="1" applyAlignment="1">
      <alignment horizontal="left" vertical="top"/>
    </xf>
    <xf numFmtId="0" fontId="21" fillId="0" borderId="1" xfId="3" applyFont="1" applyFill="1" applyBorder="1" applyAlignment="1" applyProtection="1">
      <alignment horizontal="center" vertical="top"/>
      <protection locked="0"/>
    </xf>
    <xf numFmtId="0" fontId="21" fillId="0" borderId="1" xfId="3" applyFont="1" applyFill="1" applyBorder="1" applyAlignment="1">
      <alignment horizontal="center" vertical="top"/>
    </xf>
    <xf numFmtId="0" fontId="37" fillId="0" borderId="1" xfId="3" applyFont="1" applyFill="1" applyBorder="1" applyAlignment="1">
      <alignment horizontal="center" vertical="top"/>
    </xf>
    <xf numFmtId="0" fontId="37" fillId="0" borderId="1" xfId="3" applyFont="1" applyFill="1" applyBorder="1" applyAlignment="1" applyProtection="1">
      <alignment horizontal="left" vertical="top" wrapText="1" indent="2"/>
      <protection locked="0"/>
    </xf>
    <xf numFmtId="1" fontId="37" fillId="0" borderId="1" xfId="3" applyNumberFormat="1" applyFont="1" applyFill="1" applyBorder="1" applyAlignment="1" applyProtection="1">
      <alignment horizontal="right" vertical="top"/>
      <protection locked="0"/>
    </xf>
    <xf numFmtId="2" fontId="40" fillId="0" borderId="1" xfId="3" applyNumberFormat="1" applyFont="1" applyFill="1" applyBorder="1" applyAlignment="1">
      <alignment horizontal="right" vertical="top"/>
    </xf>
    <xf numFmtId="0" fontId="39" fillId="0" borderId="1" xfId="3" applyFont="1" applyFill="1" applyBorder="1" applyAlignment="1">
      <alignment horizontal="left" vertical="top" wrapText="1" indent="1"/>
    </xf>
    <xf numFmtId="0" fontId="21" fillId="0" borderId="1" xfId="3" applyFont="1" applyFill="1" applyBorder="1" applyAlignment="1">
      <alignment horizontal="left" vertical="top" wrapText="1" indent="2"/>
    </xf>
    <xf numFmtId="0" fontId="36" fillId="0" borderId="1" xfId="3" quotePrefix="1" applyFont="1" applyFill="1" applyBorder="1" applyAlignment="1">
      <alignment horizontal="left" vertical="top"/>
    </xf>
    <xf numFmtId="49" fontId="18" fillId="0" borderId="1" xfId="3" quotePrefix="1" applyNumberFormat="1" applyFont="1" applyFill="1" applyBorder="1" applyAlignment="1" applyProtection="1">
      <alignment horizontal="left" vertical="top"/>
      <protection locked="0"/>
    </xf>
    <xf numFmtId="0" fontId="18" fillId="0" borderId="1" xfId="3" applyFont="1" applyFill="1" applyBorder="1" applyAlignment="1" applyProtection="1">
      <alignment horizontal="left" vertical="top" wrapText="1"/>
      <protection locked="0"/>
    </xf>
    <xf numFmtId="1" fontId="18" fillId="0" borderId="1" xfId="3" applyNumberFormat="1" applyFont="1" applyFill="1" applyBorder="1" applyAlignment="1">
      <alignment horizontal="right" vertical="top"/>
    </xf>
    <xf numFmtId="2" fontId="18" fillId="0" borderId="1" xfId="3" applyNumberFormat="1" applyFont="1" applyFill="1" applyBorder="1" applyAlignment="1">
      <alignment horizontal="right" vertical="top"/>
    </xf>
    <xf numFmtId="0" fontId="18" fillId="0" borderId="1" xfId="3" applyFont="1" applyFill="1" applyBorder="1" applyAlignment="1" applyProtection="1">
      <alignment horizontal="center" vertical="top"/>
      <protection locked="0"/>
    </xf>
    <xf numFmtId="165" fontId="8" fillId="0" borderId="1" xfId="1" applyFont="1" applyFill="1" applyBorder="1"/>
    <xf numFmtId="0" fontId="25" fillId="0" borderId="1" xfId="3" applyFont="1" applyFill="1" applyBorder="1" applyAlignment="1" applyProtection="1">
      <alignment horizontal="left" vertical="top" wrapText="1"/>
      <protection locked="0"/>
    </xf>
    <xf numFmtId="0" fontId="25" fillId="0" borderId="0" xfId="3" applyFont="1" applyFill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19" fillId="0" borderId="0" xfId="4" applyFont="1" applyFill="1"/>
    <xf numFmtId="0" fontId="19" fillId="0" borderId="0" xfId="3" applyFont="1" applyFill="1" applyAlignment="1">
      <alignment horizontal="left" vertical="top"/>
    </xf>
    <xf numFmtId="2" fontId="18" fillId="0" borderId="1" xfId="3" applyNumberFormat="1" applyFont="1" applyFill="1" applyBorder="1" applyAlignment="1" applyProtection="1">
      <alignment horizontal="right" vertical="top"/>
      <protection locked="0"/>
    </xf>
    <xf numFmtId="0" fontId="19" fillId="0" borderId="0" xfId="3" applyFont="1" applyFill="1" applyAlignment="1">
      <alignment vertical="center"/>
    </xf>
    <xf numFmtId="2" fontId="25" fillId="0" borderId="1" xfId="3" applyNumberFormat="1" applyFont="1" applyFill="1" applyBorder="1" applyAlignment="1">
      <alignment horizontal="right" vertical="top"/>
    </xf>
    <xf numFmtId="49" fontId="18" fillId="0" borderId="1" xfId="3" quotePrefix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3" applyFont="1" applyFill="1" applyBorder="1" applyAlignment="1" applyProtection="1">
      <alignment horizontal="center" vertical="top" wrapText="1"/>
      <protection locked="0"/>
    </xf>
    <xf numFmtId="1" fontId="18" fillId="0" borderId="1" xfId="3" applyNumberFormat="1" applyFont="1" applyFill="1" applyBorder="1" applyAlignment="1" applyProtection="1">
      <alignment horizontal="right" vertical="top" wrapText="1"/>
      <protection locked="0"/>
    </xf>
    <xf numFmtId="2" fontId="21" fillId="0" borderId="1" xfId="3" applyNumberFormat="1" applyFont="1" applyFill="1" applyBorder="1" applyAlignment="1" applyProtection="1">
      <alignment horizontal="right" vertical="top" wrapText="1"/>
      <protection locked="0"/>
    </xf>
    <xf numFmtId="1" fontId="18" fillId="0" borderId="1" xfId="3" applyNumberFormat="1" applyFont="1" applyFill="1" applyBorder="1" applyAlignment="1">
      <alignment horizontal="right" vertical="top" wrapText="1"/>
    </xf>
    <xf numFmtId="2" fontId="18" fillId="0" borderId="1" xfId="3" applyNumberFormat="1" applyFont="1" applyFill="1" applyBorder="1" applyAlignment="1">
      <alignment horizontal="right" vertical="top" wrapText="1"/>
    </xf>
    <xf numFmtId="0" fontId="19" fillId="0" borderId="1" xfId="3" quotePrefix="1" applyFont="1" applyFill="1" applyBorder="1" applyAlignment="1" applyProtection="1">
      <alignment horizontal="left" vertical="top" wrapText="1"/>
      <protection locked="0"/>
    </xf>
    <xf numFmtId="0" fontId="19" fillId="0" borderId="1" xfId="3" applyFont="1" applyFill="1" applyBorder="1" applyAlignment="1" applyProtection="1">
      <alignment horizontal="center" vertical="top" wrapText="1"/>
      <protection locked="0"/>
    </xf>
    <xf numFmtId="1" fontId="19" fillId="0" borderId="1" xfId="3" applyNumberFormat="1" applyFont="1" applyFill="1" applyBorder="1" applyAlignment="1" applyProtection="1">
      <alignment horizontal="right" vertical="top" wrapText="1"/>
      <protection locked="0"/>
    </xf>
    <xf numFmtId="1" fontId="19" fillId="0" borderId="1" xfId="3" applyNumberFormat="1" applyFont="1" applyFill="1" applyBorder="1" applyAlignment="1">
      <alignment horizontal="right" vertical="top" wrapText="1"/>
    </xf>
    <xf numFmtId="2" fontId="19" fillId="0" borderId="1" xfId="3" applyNumberFormat="1" applyFont="1" applyFill="1" applyBorder="1" applyAlignment="1">
      <alignment horizontal="right" vertical="top" wrapText="1"/>
    </xf>
    <xf numFmtId="0" fontId="16" fillId="0" borderId="0" xfId="4" applyFont="1" applyFill="1"/>
    <xf numFmtId="0" fontId="16" fillId="0" borderId="0" xfId="3" applyFont="1" applyFill="1" applyAlignment="1">
      <alignment horizontal="left" vertical="top"/>
    </xf>
    <xf numFmtId="49" fontId="16" fillId="0" borderId="1" xfId="3" quotePrefix="1" applyNumberFormat="1" applyFont="1" applyFill="1" applyBorder="1" applyAlignment="1" applyProtection="1">
      <alignment horizontal="left" vertical="top"/>
      <protection locked="0"/>
    </xf>
    <xf numFmtId="0" fontId="16" fillId="0" borderId="1" xfId="3" applyFont="1" applyFill="1" applyBorder="1" applyAlignment="1" applyProtection="1">
      <alignment horizontal="left" vertical="top" wrapText="1"/>
      <protection locked="0"/>
    </xf>
    <xf numFmtId="0" fontId="16" fillId="0" borderId="1" xfId="3" applyFont="1" applyFill="1" applyBorder="1" applyAlignment="1" applyProtection="1">
      <alignment horizontal="center" vertical="top"/>
      <protection locked="0"/>
    </xf>
    <xf numFmtId="1" fontId="16" fillId="0" borderId="1" xfId="3" applyNumberFormat="1" applyFont="1" applyFill="1" applyBorder="1" applyAlignment="1">
      <alignment horizontal="right" vertical="top"/>
    </xf>
    <xf numFmtId="2" fontId="16" fillId="0" borderId="1" xfId="3" applyNumberFormat="1" applyFont="1" applyFill="1" applyBorder="1" applyAlignment="1">
      <alignment horizontal="right" vertical="top"/>
    </xf>
    <xf numFmtId="0" fontId="16" fillId="0" borderId="0" xfId="3" applyFont="1" applyFill="1" applyAlignment="1">
      <alignment vertical="center"/>
    </xf>
    <xf numFmtId="49" fontId="36" fillId="0" borderId="21" xfId="3" applyNumberFormat="1" applyFont="1" applyFill="1" applyBorder="1" applyAlignment="1">
      <alignment horizontal="left" vertical="top"/>
    </xf>
    <xf numFmtId="2" fontId="36" fillId="0" borderId="21" xfId="3" applyNumberFormat="1" applyFont="1" applyFill="1" applyBorder="1" applyAlignment="1">
      <alignment horizontal="right" vertical="top"/>
    </xf>
    <xf numFmtId="0" fontId="24" fillId="0" borderId="1" xfId="3" applyFont="1" applyFill="1" applyBorder="1" applyAlignment="1" applyProtection="1">
      <alignment horizontal="left" vertical="top" wrapText="1"/>
      <protection locked="0"/>
    </xf>
    <xf numFmtId="0" fontId="45" fillId="0" borderId="1" xfId="3" quotePrefix="1" applyFont="1" applyFill="1" applyBorder="1" applyAlignment="1" applyProtection="1">
      <alignment horizontal="left" vertical="top" wrapText="1"/>
      <protection locked="0"/>
    </xf>
    <xf numFmtId="0" fontId="45" fillId="0" borderId="1" xfId="3" applyFont="1" applyFill="1" applyBorder="1" applyAlignment="1" applyProtection="1">
      <alignment horizontal="left" vertical="top" wrapText="1"/>
      <protection locked="0"/>
    </xf>
    <xf numFmtId="49" fontId="19" fillId="0" borderId="1" xfId="3" quotePrefix="1" applyNumberFormat="1" applyFont="1" applyFill="1" applyBorder="1" applyAlignment="1" applyProtection="1">
      <alignment horizontal="left" vertical="top"/>
      <protection locked="0"/>
    </xf>
    <xf numFmtId="0" fontId="25" fillId="0" borderId="0" xfId="3" applyFont="1" applyFill="1" applyAlignment="1">
      <alignment vertical="center" wrapText="1"/>
    </xf>
    <xf numFmtId="2" fontId="20" fillId="0" borderId="1" xfId="3" applyNumberFormat="1" applyFont="1" applyFill="1" applyBorder="1" applyAlignment="1">
      <alignment horizontal="right" vertical="top"/>
    </xf>
    <xf numFmtId="2" fontId="20" fillId="0" borderId="1" xfId="3" applyNumberFormat="1" applyFont="1" applyFill="1" applyBorder="1" applyAlignment="1">
      <alignment horizontal="right" vertical="top" wrapText="1"/>
    </xf>
    <xf numFmtId="0" fontId="20" fillId="0" borderId="1" xfId="3" quotePrefix="1" applyFont="1" applyFill="1" applyBorder="1" applyAlignment="1" applyProtection="1">
      <alignment horizontal="left" vertical="top" wrapText="1"/>
      <protection locked="0"/>
    </xf>
    <xf numFmtId="49" fontId="36" fillId="0" borderId="21" xfId="3" quotePrefix="1" applyNumberFormat="1" applyFont="1" applyFill="1" applyBorder="1" applyAlignment="1">
      <alignment horizontal="left" vertical="top"/>
    </xf>
    <xf numFmtId="0" fontId="36" fillId="0" borderId="21" xfId="3" quotePrefix="1" applyFont="1" applyFill="1" applyBorder="1" applyAlignment="1" applyProtection="1">
      <alignment horizontal="left" vertical="top"/>
      <protection locked="0"/>
    </xf>
    <xf numFmtId="0" fontId="46" fillId="0" borderId="1" xfId="3" quotePrefix="1" applyFont="1" applyFill="1" applyBorder="1" applyAlignment="1" applyProtection="1">
      <alignment horizontal="left" vertical="top"/>
      <protection locked="0"/>
    </xf>
    <xf numFmtId="0" fontId="46" fillId="0" borderId="1" xfId="3" applyFont="1" applyFill="1" applyBorder="1" applyAlignment="1" applyProtection="1">
      <alignment horizontal="left" vertical="top" wrapText="1"/>
      <protection locked="0"/>
    </xf>
    <xf numFmtId="49" fontId="24" fillId="0" borderId="1" xfId="3" quotePrefix="1" applyNumberFormat="1" applyFont="1" applyFill="1" applyBorder="1" applyAlignment="1" applyProtection="1">
      <alignment horizontal="left" vertical="top"/>
      <protection locked="0"/>
    </xf>
    <xf numFmtId="49" fontId="45" fillId="0" borderId="1" xfId="3" quotePrefix="1" applyNumberFormat="1" applyFont="1" applyFill="1" applyBorder="1" applyAlignment="1" applyProtection="1">
      <alignment horizontal="left" vertical="top" wrapText="1"/>
      <protection locked="0"/>
    </xf>
    <xf numFmtId="49" fontId="45" fillId="0" borderId="1" xfId="3" quotePrefix="1" applyNumberFormat="1" applyFont="1" applyFill="1" applyBorder="1" applyAlignment="1" applyProtection="1">
      <alignment horizontal="left" vertical="top"/>
      <protection locked="0"/>
    </xf>
    <xf numFmtId="0" fontId="23" fillId="0" borderId="0" xfId="4" applyFont="1" applyFill="1"/>
    <xf numFmtId="0" fontId="23" fillId="0" borderId="0" xfId="3" applyFont="1" applyFill="1" applyAlignment="1">
      <alignment horizontal="left" vertical="top"/>
    </xf>
    <xf numFmtId="0" fontId="23" fillId="0" borderId="0" xfId="3" applyFont="1" applyFill="1" applyAlignment="1">
      <alignment vertical="center"/>
    </xf>
    <xf numFmtId="0" fontId="36" fillId="0" borderId="0" xfId="4" applyFont="1" applyFill="1"/>
    <xf numFmtId="0" fontId="36" fillId="0" borderId="0" xfId="3" applyFont="1" applyFill="1" applyAlignment="1">
      <alignment horizontal="left" vertical="top"/>
    </xf>
    <xf numFmtId="0" fontId="36" fillId="0" borderId="0" xfId="3" applyFont="1" applyFill="1" applyAlignment="1">
      <alignment vertical="center"/>
    </xf>
    <xf numFmtId="1" fontId="20" fillId="0" borderId="1" xfId="3" applyNumberFormat="1" applyFont="1" applyFill="1" applyBorder="1" applyAlignment="1" applyProtection="1">
      <alignment horizontal="right" vertical="top"/>
      <protection locked="0"/>
    </xf>
    <xf numFmtId="1" fontId="20" fillId="0" borderId="1" xfId="3" applyNumberFormat="1" applyFont="1" applyFill="1" applyBorder="1" applyAlignment="1">
      <alignment horizontal="right" vertical="top"/>
    </xf>
    <xf numFmtId="0" fontId="4" fillId="0" borderId="1" xfId="0" applyFont="1" applyFill="1" applyBorder="1" applyAlignment="1">
      <alignment vertical="center"/>
    </xf>
    <xf numFmtId="43" fontId="7" fillId="0" borderId="1" xfId="5" applyFont="1" applyFill="1" applyBorder="1"/>
    <xf numFmtId="43" fontId="7" fillId="0" borderId="0" xfId="5" applyFont="1" applyFill="1"/>
    <xf numFmtId="0" fontId="48" fillId="0" borderId="1" xfId="3" applyFont="1" applyFill="1" applyBorder="1" applyAlignment="1">
      <alignment horizontal="left" vertical="top" wrapText="1" indent="2"/>
    </xf>
    <xf numFmtId="0" fontId="39" fillId="0" borderId="1" xfId="3" applyFont="1" applyFill="1" applyBorder="1" applyAlignment="1">
      <alignment horizontal="left" vertical="top" wrapText="1" indent="2"/>
    </xf>
    <xf numFmtId="0" fontId="37" fillId="0" borderId="1" xfId="3" applyFont="1" applyFill="1" applyBorder="1" applyAlignment="1" applyProtection="1">
      <alignment horizontal="center" vertical="top" wrapText="1"/>
      <protection locked="0"/>
    </xf>
    <xf numFmtId="0" fontId="12" fillId="0" borderId="0" xfId="0" applyFont="1" applyFill="1" applyBorder="1" applyAlignment="1" applyProtection="1">
      <alignment horizontal="left" vertical="center" indent="3"/>
      <protection locked="0"/>
    </xf>
    <xf numFmtId="0" fontId="8" fillId="0" borderId="0" xfId="0" applyFont="1" applyFill="1" applyBorder="1"/>
    <xf numFmtId="0" fontId="25" fillId="0" borderId="1" xfId="3" applyFont="1" applyFill="1" applyBorder="1" applyAlignment="1">
      <alignment horizontal="left" vertical="top" wrapText="1" indent="2"/>
    </xf>
    <xf numFmtId="0" fontId="25" fillId="0" borderId="1" xfId="3" applyFont="1" applyFill="1" applyBorder="1" applyAlignment="1">
      <alignment horizontal="center" vertical="top"/>
    </xf>
    <xf numFmtId="1" fontId="25" fillId="0" borderId="1" xfId="3" applyNumberFormat="1" applyFont="1" applyFill="1" applyBorder="1" applyAlignment="1">
      <alignment horizontal="right" vertical="top"/>
    </xf>
    <xf numFmtId="0" fontId="23" fillId="0" borderId="1" xfId="3" applyFont="1" applyFill="1" applyBorder="1" applyAlignment="1">
      <alignment horizontal="left" vertical="top" wrapText="1" indent="1"/>
    </xf>
    <xf numFmtId="0" fontId="25" fillId="0" borderId="1" xfId="3" applyFont="1" applyFill="1" applyBorder="1" applyAlignment="1">
      <alignment vertical="center"/>
    </xf>
    <xf numFmtId="0" fontId="47" fillId="0" borderId="1" xfId="3" applyFont="1" applyFill="1" applyBorder="1" applyAlignment="1">
      <alignment vertical="center"/>
    </xf>
    <xf numFmtId="0" fontId="19" fillId="0" borderId="1" xfId="3" applyFont="1" applyFill="1" applyBorder="1" applyAlignment="1">
      <alignment vertical="center"/>
    </xf>
    <xf numFmtId="2" fontId="37" fillId="0" borderId="1" xfId="6" applyNumberFormat="1" applyFont="1" applyFill="1" applyBorder="1" applyAlignment="1" applyProtection="1">
      <alignment horizontal="right" vertical="top"/>
      <protection locked="0"/>
    </xf>
    <xf numFmtId="0" fontId="23" fillId="0" borderId="1" xfId="3" applyFont="1" applyFill="1" applyBorder="1" applyAlignment="1" applyProtection="1">
      <alignment horizontal="center" vertical="top"/>
      <protection locked="0"/>
    </xf>
    <xf numFmtId="0" fontId="25" fillId="0" borderId="1" xfId="3" quotePrefix="1" applyFont="1" applyFill="1" applyBorder="1" applyAlignment="1" applyProtection="1">
      <alignment horizontal="left" vertical="top"/>
      <protection locked="0"/>
    </xf>
    <xf numFmtId="0" fontId="37" fillId="0" borderId="1" xfId="3" applyFont="1" applyFill="1" applyBorder="1" applyAlignment="1" applyProtection="1">
      <alignment horizontal="center" vertical="top"/>
      <protection locked="0"/>
    </xf>
    <xf numFmtId="1" fontId="37" fillId="0" borderId="0" xfId="3" applyNumberFormat="1" applyFont="1" applyFill="1" applyBorder="1" applyAlignment="1">
      <alignment horizontal="right" vertical="top"/>
    </xf>
    <xf numFmtId="2" fontId="37" fillId="0" borderId="0" xfId="3" applyNumberFormat="1" applyFont="1" applyFill="1" applyBorder="1" applyAlignment="1">
      <alignment horizontal="right" vertical="top"/>
    </xf>
    <xf numFmtId="2" fontId="23" fillId="0" borderId="0" xfId="3" applyNumberFormat="1" applyFont="1" applyFill="1" applyBorder="1" applyAlignment="1">
      <alignment horizontal="right" vertical="top"/>
    </xf>
    <xf numFmtId="49" fontId="23" fillId="0" borderId="21" xfId="3" applyNumberFormat="1" applyFont="1" applyFill="1" applyBorder="1" applyAlignment="1">
      <alignment horizontal="left" vertical="top"/>
    </xf>
    <xf numFmtId="2" fontId="23" fillId="0" borderId="21" xfId="3" applyNumberFormat="1" applyFont="1" applyFill="1" applyBorder="1" applyAlignment="1">
      <alignment horizontal="right" vertical="top"/>
    </xf>
    <xf numFmtId="0" fontId="28" fillId="0" borderId="21" xfId="3" applyFont="1" applyFill="1" applyBorder="1" applyAlignment="1">
      <alignment vertical="center"/>
    </xf>
    <xf numFmtId="2" fontId="23" fillId="0" borderId="1" xfId="6" applyNumberFormat="1" applyFont="1" applyFill="1" applyBorder="1" applyAlignment="1">
      <alignment horizontal="right" vertical="top"/>
    </xf>
    <xf numFmtId="2" fontId="27" fillId="0" borderId="21" xfId="3" applyNumberFormat="1" applyFont="1" applyFill="1" applyBorder="1" applyAlignment="1">
      <alignment horizontal="right" vertical="center"/>
    </xf>
    <xf numFmtId="0" fontId="27" fillId="0" borderId="21" xfId="3" applyFont="1" applyFill="1" applyBorder="1" applyAlignment="1">
      <alignment horizontal="center" vertical="center"/>
    </xf>
    <xf numFmtId="0" fontId="23" fillId="0" borderId="0" xfId="0" applyFont="1" applyFill="1"/>
    <xf numFmtId="0" fontId="17" fillId="0" borderId="1" xfId="3" quotePrefix="1" applyFont="1" applyFill="1" applyBorder="1" applyAlignment="1">
      <alignment horizontal="left" vertical="top"/>
    </xf>
    <xf numFmtId="2" fontId="17" fillId="0" borderId="1" xfId="3" applyNumberFormat="1" applyFont="1" applyFill="1" applyBorder="1" applyAlignment="1">
      <alignment horizontal="right" vertical="top"/>
    </xf>
    <xf numFmtId="0" fontId="37" fillId="0" borderId="1" xfId="6" applyFont="1" applyFill="1" applyBorder="1" applyAlignment="1">
      <alignment horizontal="left" vertical="top" wrapText="1" indent="2"/>
    </xf>
    <xf numFmtId="0" fontId="37" fillId="0" borderId="1" xfId="3" applyFont="1" applyFill="1" applyBorder="1" applyAlignment="1" applyProtection="1">
      <alignment horizontal="left" vertical="top" wrapText="1"/>
      <protection locked="0"/>
    </xf>
    <xf numFmtId="0" fontId="25" fillId="0" borderId="1" xfId="3" applyFont="1" applyFill="1" applyBorder="1" applyAlignment="1" applyProtection="1">
      <alignment horizontal="center" vertical="top"/>
      <protection locked="0"/>
    </xf>
    <xf numFmtId="2" fontId="25" fillId="0" borderId="1" xfId="3" applyNumberFormat="1" applyFont="1" applyFill="1" applyBorder="1" applyAlignment="1" applyProtection="1">
      <alignment horizontal="right" vertical="top"/>
      <protection locked="0"/>
    </xf>
    <xf numFmtId="0" fontId="5" fillId="0" borderId="19" xfId="0" applyFont="1" applyFill="1" applyBorder="1" applyAlignment="1">
      <alignment horizontal="center" vertical="center" wrapText="1"/>
    </xf>
    <xf numFmtId="0" fontId="37" fillId="0" borderId="1" xfId="6" applyFont="1" applyFill="1" applyBorder="1" applyAlignment="1">
      <alignment horizontal="center" vertical="top"/>
    </xf>
    <xf numFmtId="1" fontId="37" fillId="0" borderId="1" xfId="6" applyNumberFormat="1" applyFont="1" applyFill="1" applyBorder="1" applyAlignment="1">
      <alignment horizontal="right" vertical="top"/>
    </xf>
    <xf numFmtId="2" fontId="21" fillId="0" borderId="1" xfId="6" applyNumberFormat="1" applyFont="1" applyFill="1" applyBorder="1" applyAlignment="1">
      <alignment horizontal="right" vertical="top"/>
    </xf>
    <xf numFmtId="2" fontId="37" fillId="0" borderId="1" xfId="6" applyNumberFormat="1" applyFont="1" applyFill="1" applyBorder="1" applyAlignment="1">
      <alignment horizontal="right" vertical="top"/>
    </xf>
    <xf numFmtId="2" fontId="36" fillId="0" borderId="1" xfId="6" applyNumberFormat="1" applyFont="1" applyFill="1" applyBorder="1" applyAlignment="1">
      <alignment horizontal="right" vertical="top"/>
    </xf>
    <xf numFmtId="1" fontId="21" fillId="0" borderId="1" xfId="6" applyNumberFormat="1" applyFont="1" applyFill="1" applyBorder="1" applyAlignment="1">
      <alignment vertical="top"/>
    </xf>
    <xf numFmtId="49" fontId="3" fillId="0" borderId="0" xfId="0" applyNumberFormat="1" applyFont="1" applyFill="1" applyAlignment="1">
      <alignment horizontal="left" vertical="center"/>
    </xf>
    <xf numFmtId="164" fontId="3" fillId="0" borderId="0" xfId="0" applyNumberFormat="1" applyFont="1" applyFill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2" fontId="7" fillId="0" borderId="1" xfId="0" applyNumberFormat="1" applyFont="1" applyFill="1" applyBorder="1" applyAlignment="1">
      <alignment horizontal="center"/>
    </xf>
    <xf numFmtId="2" fontId="0" fillId="0" borderId="1" xfId="0" applyNumberForma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165" fontId="7" fillId="0" borderId="0" xfId="1" applyFont="1" applyFill="1" applyBorder="1"/>
    <xf numFmtId="165" fontId="8" fillId="0" borderId="0" xfId="0" applyNumberFormat="1" applyFont="1" applyFill="1" applyBorder="1"/>
    <xf numFmtId="0" fontId="7" fillId="0" borderId="0" xfId="0" applyFont="1" applyFill="1"/>
    <xf numFmtId="0" fontId="7" fillId="0" borderId="0" xfId="0" applyFont="1" applyFill="1" applyAlignment="1">
      <alignment horizontal="center"/>
    </xf>
    <xf numFmtId="165" fontId="7" fillId="0" borderId="0" xfId="1" applyFont="1" applyFill="1"/>
    <xf numFmtId="0" fontId="8" fillId="0" borderId="0" xfId="0" applyFont="1" applyFill="1" applyAlignment="1">
      <alignment horizontal="center"/>
    </xf>
    <xf numFmtId="165" fontId="8" fillId="0" borderId="0" xfId="1" applyFont="1" applyFill="1"/>
    <xf numFmtId="165" fontId="0" fillId="0" borderId="0" xfId="1" applyFont="1" applyFill="1"/>
    <xf numFmtId="0" fontId="25" fillId="0" borderId="0" xfId="3" applyFont="1" applyFill="1" applyAlignment="1">
      <alignment horizontal="left" vertical="center"/>
    </xf>
    <xf numFmtId="0" fontId="19" fillId="0" borderId="0" xfId="3" applyFont="1" applyFill="1" applyAlignment="1">
      <alignment horizontal="center" vertical="center"/>
    </xf>
    <xf numFmtId="2" fontId="25" fillId="0" borderId="0" xfId="3" applyNumberFormat="1" applyFont="1" applyFill="1" applyAlignment="1">
      <alignment horizontal="right" vertical="center"/>
    </xf>
    <xf numFmtId="0" fontId="25" fillId="0" borderId="0" xfId="3" applyFont="1" applyFill="1" applyAlignment="1">
      <alignment horizontal="center" vertical="center"/>
    </xf>
    <xf numFmtId="2" fontId="25" fillId="0" borderId="0" xfId="3" applyNumberFormat="1" applyFont="1" applyFill="1" applyAlignment="1">
      <alignment horizontal="center" vertical="center"/>
    </xf>
    <xf numFmtId="0" fontId="26" fillId="0" borderId="0" xfId="3" applyFont="1" applyFill="1" applyAlignment="1">
      <alignment vertical="center"/>
    </xf>
    <xf numFmtId="0" fontId="25" fillId="0" borderId="0" xfId="3" quotePrefix="1" applyFont="1" applyFill="1" applyAlignment="1">
      <alignment vertical="center"/>
    </xf>
    <xf numFmtId="0" fontId="27" fillId="0" borderId="0" xfId="3" applyFont="1" applyFill="1" applyAlignment="1">
      <alignment vertical="center"/>
    </xf>
    <xf numFmtId="0" fontId="27" fillId="0" borderId="0" xfId="3" applyFont="1" applyFill="1" applyAlignment="1">
      <alignment horizontal="left" vertical="center"/>
    </xf>
    <xf numFmtId="0" fontId="28" fillId="0" borderId="0" xfId="3" applyFont="1" applyFill="1" applyAlignment="1">
      <alignment horizontal="center" vertical="center"/>
    </xf>
    <xf numFmtId="2" fontId="27" fillId="0" borderId="0" xfId="3" applyNumberFormat="1" applyFont="1" applyFill="1" applyAlignment="1">
      <alignment horizontal="right" vertical="center"/>
    </xf>
    <xf numFmtId="0" fontId="27" fillId="0" borderId="0" xfId="3" applyFont="1" applyFill="1" applyAlignment="1">
      <alignment horizontal="center" vertical="center"/>
    </xf>
    <xf numFmtId="2" fontId="27" fillId="0" borderId="0" xfId="3" applyNumberFormat="1" applyFont="1" applyFill="1" applyAlignment="1">
      <alignment horizontal="center" vertical="center"/>
    </xf>
    <xf numFmtId="0" fontId="28" fillId="0" borderId="0" xfId="3" applyFont="1" applyFill="1" applyAlignment="1">
      <alignment vertical="center"/>
    </xf>
    <xf numFmtId="0" fontId="29" fillId="0" borderId="0" xfId="3" applyFont="1" applyFill="1" applyAlignment="1">
      <alignment vertical="center"/>
    </xf>
    <xf numFmtId="0" fontId="27" fillId="0" borderId="0" xfId="3" quotePrefix="1" applyFont="1" applyFill="1" applyAlignment="1">
      <alignment vertical="center"/>
    </xf>
    <xf numFmtId="0" fontId="28" fillId="0" borderId="0" xfId="3" applyFont="1" applyFill="1" applyAlignment="1">
      <alignment horizontal="left" vertical="center"/>
    </xf>
    <xf numFmtId="2" fontId="28" fillId="0" borderId="0" xfId="3" applyNumberFormat="1" applyFont="1" applyFill="1" applyAlignment="1">
      <alignment horizontal="right" vertical="center"/>
    </xf>
    <xf numFmtId="2" fontId="28" fillId="0" borderId="0" xfId="3" applyNumberFormat="1" applyFont="1" applyFill="1" applyAlignment="1">
      <alignment horizontal="center" vertical="center"/>
    </xf>
    <xf numFmtId="2" fontId="28" fillId="0" borderId="0" xfId="3" applyNumberFormat="1" applyFont="1" applyFill="1" applyAlignment="1">
      <alignment vertical="center"/>
    </xf>
    <xf numFmtId="0" fontId="31" fillId="0" borderId="5" xfId="3" applyFont="1" applyFill="1" applyBorder="1" applyAlignment="1">
      <alignment vertical="center"/>
    </xf>
    <xf numFmtId="0" fontId="31" fillId="0" borderId="6" xfId="3" applyFont="1" applyFill="1" applyBorder="1" applyAlignment="1">
      <alignment horizontal="left" vertical="center"/>
    </xf>
    <xf numFmtId="0" fontId="32" fillId="0" borderId="6" xfId="3" applyFont="1" applyFill="1" applyBorder="1" applyAlignment="1">
      <alignment horizontal="center" vertical="center"/>
    </xf>
    <xf numFmtId="2" fontId="31" fillId="0" borderId="6" xfId="3" applyNumberFormat="1" applyFont="1" applyFill="1" applyBorder="1" applyAlignment="1">
      <alignment horizontal="right" vertical="center"/>
    </xf>
    <xf numFmtId="0" fontId="31" fillId="0" borderId="6" xfId="3" applyFont="1" applyFill="1" applyBorder="1" applyAlignment="1">
      <alignment horizontal="center" vertical="center"/>
    </xf>
    <xf numFmtId="2" fontId="31" fillId="0" borderId="6" xfId="3" applyNumberFormat="1" applyFont="1" applyFill="1" applyBorder="1" applyAlignment="1">
      <alignment horizontal="center" vertical="center"/>
    </xf>
    <xf numFmtId="0" fontId="31" fillId="0" borderId="6" xfId="3" applyFont="1" applyFill="1" applyBorder="1" applyAlignment="1">
      <alignment vertical="center"/>
    </xf>
    <xf numFmtId="2" fontId="32" fillId="0" borderId="7" xfId="3" applyNumberFormat="1" applyFont="1" applyFill="1" applyBorder="1" applyAlignment="1">
      <alignment vertical="center"/>
    </xf>
    <xf numFmtId="0" fontId="33" fillId="0" borderId="8" xfId="3" applyFont="1" applyFill="1" applyBorder="1" applyAlignment="1">
      <alignment horizontal="right" vertical="top"/>
    </xf>
    <xf numFmtId="0" fontId="34" fillId="0" borderId="0" xfId="3" applyFont="1" applyFill="1" applyAlignment="1">
      <alignment horizontal="left" vertical="center"/>
    </xf>
    <xf numFmtId="0" fontId="34" fillId="0" borderId="0" xfId="3" applyFont="1" applyFill="1" applyAlignment="1">
      <alignment horizontal="center" vertical="center"/>
    </xf>
    <xf numFmtId="2" fontId="33" fillId="0" borderId="0" xfId="3" applyNumberFormat="1" applyFont="1" applyFill="1" applyAlignment="1">
      <alignment horizontal="right" vertical="center"/>
    </xf>
    <xf numFmtId="2" fontId="34" fillId="0" borderId="0" xfId="3" applyNumberFormat="1" applyFont="1" applyFill="1" applyAlignment="1">
      <alignment horizontal="right" vertical="center"/>
    </xf>
    <xf numFmtId="2" fontId="34" fillId="0" borderId="0" xfId="3" applyNumberFormat="1" applyFont="1" applyFill="1" applyAlignment="1">
      <alignment horizontal="center" vertical="center"/>
    </xf>
    <xf numFmtId="2" fontId="34" fillId="0" borderId="0" xfId="3" applyNumberFormat="1" applyFont="1" applyFill="1" applyAlignment="1">
      <alignment horizontal="left" vertical="center" indent="1"/>
    </xf>
    <xf numFmtId="2" fontId="34" fillId="0" borderId="9" xfId="3" applyNumberFormat="1" applyFont="1" applyFill="1" applyBorder="1" applyAlignment="1">
      <alignment vertical="center"/>
    </xf>
    <xf numFmtId="166" fontId="34" fillId="0" borderId="0" xfId="3" quotePrefix="1" applyNumberFormat="1" applyFont="1" applyFill="1" applyAlignment="1">
      <alignment horizontal="left" vertical="center"/>
    </xf>
    <xf numFmtId="0" fontId="33" fillId="0" borderId="0" xfId="3" applyFont="1" applyFill="1" applyAlignment="1">
      <alignment vertical="center"/>
    </xf>
    <xf numFmtId="2" fontId="34" fillId="0" borderId="0" xfId="3" applyNumberFormat="1" applyFont="1" applyFill="1" applyAlignment="1">
      <alignment vertical="center"/>
    </xf>
    <xf numFmtId="0" fontId="34" fillId="0" borderId="0" xfId="3" applyFont="1" applyFill="1" applyAlignment="1">
      <alignment vertical="center"/>
    </xf>
    <xf numFmtId="2" fontId="34" fillId="0" borderId="0" xfId="3" applyNumberFormat="1" applyFont="1" applyFill="1" applyAlignment="1">
      <alignment horizontal="left" vertical="center" wrapText="1"/>
    </xf>
    <xf numFmtId="0" fontId="34" fillId="0" borderId="0" xfId="3" applyFont="1" applyFill="1" applyAlignment="1">
      <alignment horizontal="left" vertical="center" wrapText="1"/>
    </xf>
    <xf numFmtId="2" fontId="34" fillId="0" borderId="0" xfId="3" applyNumberFormat="1" applyFont="1" applyFill="1" applyAlignment="1">
      <alignment horizontal="left" vertical="center"/>
    </xf>
    <xf numFmtId="2" fontId="33" fillId="0" borderId="0" xfId="3" applyNumberFormat="1" applyFont="1" applyFill="1" applyAlignment="1">
      <alignment vertical="center"/>
    </xf>
    <xf numFmtId="0" fontId="28" fillId="0" borderId="10" xfId="3" applyFont="1" applyFill="1" applyBorder="1" applyAlignment="1">
      <alignment vertical="center"/>
    </xf>
    <xf numFmtId="0" fontId="28" fillId="0" borderId="11" xfId="3" applyFont="1" applyFill="1" applyBorder="1" applyAlignment="1">
      <alignment horizontal="left" vertical="center"/>
    </xf>
    <xf numFmtId="0" fontId="28" fillId="0" borderId="11" xfId="3" applyFont="1" applyFill="1" applyBorder="1" applyAlignment="1">
      <alignment horizontal="center" vertical="center"/>
    </xf>
    <xf numFmtId="2" fontId="28" fillId="0" borderId="11" xfId="3" applyNumberFormat="1" applyFont="1" applyFill="1" applyBorder="1" applyAlignment="1">
      <alignment horizontal="left" vertical="center"/>
    </xf>
    <xf numFmtId="2" fontId="27" fillId="0" borderId="11" xfId="3" applyNumberFormat="1" applyFont="1" applyFill="1" applyBorder="1" applyAlignment="1">
      <alignment vertical="center"/>
    </xf>
    <xf numFmtId="2" fontId="28" fillId="0" borderId="11" xfId="3" applyNumberFormat="1" applyFont="1" applyFill="1" applyBorder="1" applyAlignment="1">
      <alignment vertical="center"/>
    </xf>
    <xf numFmtId="0" fontId="27" fillId="0" borderId="11" xfId="3" applyFont="1" applyFill="1" applyBorder="1" applyAlignment="1">
      <alignment horizontal="center" vertical="center"/>
    </xf>
    <xf numFmtId="2" fontId="27" fillId="0" borderId="11" xfId="3" applyNumberFormat="1" applyFont="1" applyFill="1" applyBorder="1" applyAlignment="1">
      <alignment horizontal="center" vertical="center"/>
    </xf>
    <xf numFmtId="0" fontId="27" fillId="0" borderId="11" xfId="3" applyFont="1" applyFill="1" applyBorder="1" applyAlignment="1">
      <alignment vertical="center"/>
    </xf>
    <xf numFmtId="2" fontId="28" fillId="0" borderId="12" xfId="3" applyNumberFormat="1" applyFont="1" applyFill="1" applyBorder="1" applyAlignment="1">
      <alignment vertical="center"/>
    </xf>
    <xf numFmtId="2" fontId="27" fillId="0" borderId="0" xfId="3" applyNumberFormat="1" applyFont="1" applyFill="1" applyAlignment="1">
      <alignment horizontal="left" vertical="center"/>
    </xf>
    <xf numFmtId="0" fontId="25" fillId="0" borderId="0" xfId="3" applyFont="1" applyFill="1"/>
    <xf numFmtId="2" fontId="19" fillId="0" borderId="17" xfId="3" applyNumberFormat="1" applyFont="1" applyFill="1" applyBorder="1" applyAlignment="1">
      <alignment horizontal="center" vertical="center"/>
    </xf>
    <xf numFmtId="0" fontId="19" fillId="0" borderId="17" xfId="3" applyFont="1" applyFill="1" applyBorder="1" applyAlignment="1">
      <alignment horizontal="center" vertical="center"/>
    </xf>
    <xf numFmtId="0" fontId="16" fillId="0" borderId="21" xfId="3" applyFont="1" applyFill="1" applyBorder="1" applyAlignment="1" applyProtection="1">
      <alignment horizontal="left" vertical="top" wrapText="1"/>
      <protection locked="0"/>
    </xf>
    <xf numFmtId="0" fontId="28" fillId="0" borderId="21" xfId="3" applyFont="1" applyFill="1" applyBorder="1" applyAlignment="1">
      <alignment horizontal="center" vertical="center"/>
    </xf>
    <xf numFmtId="2" fontId="27" fillId="0" borderId="21" xfId="3" applyNumberFormat="1" applyFont="1" applyFill="1" applyBorder="1" applyAlignment="1">
      <alignment horizontal="center" vertical="center"/>
    </xf>
    <xf numFmtId="2" fontId="28" fillId="0" borderId="21" xfId="3" applyNumberFormat="1" applyFont="1" applyFill="1" applyBorder="1" applyAlignment="1">
      <alignment vertical="center"/>
    </xf>
    <xf numFmtId="0" fontId="17" fillId="0" borderId="0" xfId="4" applyFont="1" applyFill="1"/>
    <xf numFmtId="0" fontId="17" fillId="0" borderId="0" xfId="3" applyFont="1" applyFill="1" applyAlignment="1">
      <alignment horizontal="left" vertical="top"/>
    </xf>
    <xf numFmtId="0" fontId="17" fillId="0" borderId="1" xfId="3" applyFont="1" applyFill="1" applyBorder="1" applyAlignment="1" applyProtection="1">
      <alignment horizontal="left" vertical="top" wrapText="1"/>
      <protection locked="0"/>
    </xf>
    <xf numFmtId="0" fontId="17" fillId="0" borderId="1" xfId="4" applyFont="1" applyFill="1" applyBorder="1" applyAlignment="1" applyProtection="1">
      <alignment horizontal="center" vertical="top"/>
      <protection locked="0"/>
    </xf>
    <xf numFmtId="1" fontId="22" fillId="0" borderId="1" xfId="3" applyNumberFormat="1" applyFont="1" applyFill="1" applyBorder="1" applyAlignment="1">
      <alignment horizontal="right" vertical="top"/>
    </xf>
    <xf numFmtId="2" fontId="22" fillId="0" borderId="1" xfId="3" applyNumberFormat="1" applyFont="1" applyFill="1" applyBorder="1" applyAlignment="1">
      <alignment horizontal="right" vertical="top"/>
    </xf>
    <xf numFmtId="1" fontId="17" fillId="0" borderId="1" xfId="3" applyNumberFormat="1" applyFont="1" applyFill="1" applyBorder="1" applyAlignment="1">
      <alignment horizontal="right" vertical="top"/>
    </xf>
    <xf numFmtId="0" fontId="17" fillId="0" borderId="0" xfId="3" applyFont="1" applyFill="1" applyAlignment="1">
      <alignment vertical="center"/>
    </xf>
    <xf numFmtId="2" fontId="16" fillId="0" borderId="1" xfId="3" applyNumberFormat="1" applyFont="1" applyFill="1" applyBorder="1" applyAlignment="1" applyProtection="1">
      <alignment horizontal="right" vertical="top"/>
      <protection locked="0"/>
    </xf>
    <xf numFmtId="0" fontId="19" fillId="0" borderId="0" xfId="0" applyFont="1" applyFill="1"/>
    <xf numFmtId="0" fontId="20" fillId="0" borderId="1" xfId="3" quotePrefix="1" applyFont="1" applyFill="1" applyBorder="1" applyAlignment="1" applyProtection="1">
      <alignment horizontal="left" vertical="top"/>
      <protection locked="0"/>
    </xf>
    <xf numFmtId="2" fontId="19" fillId="0" borderId="1" xfId="3" applyNumberFormat="1" applyFont="1" applyFill="1" applyBorder="1" applyAlignment="1">
      <alignment vertical="center"/>
    </xf>
    <xf numFmtId="49" fontId="23" fillId="0" borderId="0" xfId="3" applyNumberFormat="1" applyFont="1" applyFill="1" applyBorder="1" applyAlignment="1">
      <alignment horizontal="left" vertical="top"/>
    </xf>
    <xf numFmtId="0" fontId="37" fillId="0" borderId="0" xfId="3" applyFont="1" applyFill="1" applyBorder="1" applyAlignment="1">
      <alignment horizontal="left" vertical="top" wrapText="1" indent="2"/>
    </xf>
    <xf numFmtId="0" fontId="23" fillId="0" borderId="0" xfId="3" applyFont="1" applyFill="1" applyBorder="1" applyAlignment="1">
      <alignment horizontal="center" vertical="top"/>
    </xf>
    <xf numFmtId="1" fontId="23" fillId="0" borderId="0" xfId="3" applyNumberFormat="1" applyFont="1" applyFill="1" applyBorder="1" applyAlignment="1">
      <alignment horizontal="right" vertical="top"/>
    </xf>
    <xf numFmtId="49" fontId="36" fillId="0" borderId="0" xfId="3" applyNumberFormat="1" applyFont="1" applyFill="1" applyBorder="1" applyAlignment="1">
      <alignment horizontal="left" vertical="top"/>
    </xf>
    <xf numFmtId="0" fontId="21" fillId="0" borderId="0" xfId="3" applyFont="1" applyFill="1" applyBorder="1" applyAlignment="1">
      <alignment horizontal="left" vertical="top" wrapText="1" indent="1"/>
    </xf>
    <xf numFmtId="0" fontId="36" fillId="0" borderId="0" xfId="3" applyFont="1" applyFill="1" applyBorder="1" applyAlignment="1">
      <alignment horizontal="center" vertical="top"/>
    </xf>
    <xf numFmtId="1" fontId="21" fillId="0" borderId="0" xfId="3" applyNumberFormat="1" applyFont="1" applyFill="1" applyBorder="1" applyAlignment="1">
      <alignment horizontal="right" vertical="top"/>
    </xf>
    <xf numFmtId="2" fontId="21" fillId="0" borderId="0" xfId="3" applyNumberFormat="1" applyFont="1" applyFill="1" applyBorder="1" applyAlignment="1">
      <alignment horizontal="right" vertical="top"/>
    </xf>
    <xf numFmtId="2" fontId="36" fillId="0" borderId="0" xfId="3" applyNumberFormat="1" applyFont="1" applyFill="1" applyBorder="1" applyAlignment="1">
      <alignment horizontal="right" vertical="top"/>
    </xf>
    <xf numFmtId="1" fontId="36" fillId="0" borderId="0" xfId="3" applyNumberFormat="1" applyFont="1" applyFill="1" applyBorder="1" applyAlignment="1">
      <alignment horizontal="right" vertical="top"/>
    </xf>
    <xf numFmtId="2" fontId="19" fillId="0" borderId="0" xfId="3" applyNumberFormat="1" applyFont="1" applyFill="1" applyAlignment="1">
      <alignment vertical="center"/>
    </xf>
    <xf numFmtId="0" fontId="28" fillId="0" borderId="14" xfId="3" applyFont="1" applyFill="1" applyBorder="1" applyAlignment="1">
      <alignment vertical="center"/>
    </xf>
    <xf numFmtId="0" fontId="16" fillId="0" borderId="14" xfId="3" applyFont="1" applyFill="1" applyBorder="1" applyAlignment="1" applyProtection="1">
      <alignment horizontal="left" vertical="top" wrapText="1"/>
      <protection locked="0"/>
    </xf>
    <xf numFmtId="0" fontId="28" fillId="0" borderId="14" xfId="3" applyFont="1" applyFill="1" applyBorder="1" applyAlignment="1">
      <alignment horizontal="center" vertical="center"/>
    </xf>
    <xf numFmtId="2" fontId="27" fillId="0" borderId="14" xfId="3" applyNumberFormat="1" applyFont="1" applyFill="1" applyBorder="1" applyAlignment="1">
      <alignment horizontal="right" vertical="center"/>
    </xf>
    <xf numFmtId="0" fontId="27" fillId="0" borderId="14" xfId="3" applyFont="1" applyFill="1" applyBorder="1" applyAlignment="1">
      <alignment horizontal="center" vertical="center"/>
    </xf>
    <xf numFmtId="2" fontId="27" fillId="0" borderId="14" xfId="3" applyNumberFormat="1" applyFont="1" applyFill="1" applyBorder="1" applyAlignment="1">
      <alignment horizontal="center" vertical="center"/>
    </xf>
    <xf numFmtId="2" fontId="28" fillId="0" borderId="14" xfId="3" applyNumberFormat="1" applyFont="1" applyFill="1" applyBorder="1" applyAlignment="1">
      <alignment vertical="center"/>
    </xf>
    <xf numFmtId="0" fontId="17" fillId="0" borderId="1" xfId="3" quotePrefix="1" applyFont="1" applyFill="1" applyBorder="1" applyAlignment="1" applyProtection="1">
      <alignment horizontal="left" vertical="top"/>
      <protection locked="0"/>
    </xf>
    <xf numFmtId="0" fontId="17" fillId="0" borderId="1" xfId="3" applyFont="1" applyFill="1" applyBorder="1" applyAlignment="1" applyProtection="1">
      <alignment horizontal="center" vertical="top"/>
      <protection locked="0"/>
    </xf>
    <xf numFmtId="1" fontId="17" fillId="0" borderId="1" xfId="3" applyNumberFormat="1" applyFont="1" applyFill="1" applyBorder="1" applyAlignment="1" applyProtection="1">
      <alignment horizontal="right" vertical="top"/>
      <protection locked="0"/>
    </xf>
    <xf numFmtId="2" fontId="22" fillId="0" borderId="1" xfId="3" applyNumberFormat="1" applyFont="1" applyFill="1" applyBorder="1" applyAlignment="1" applyProtection="1">
      <alignment horizontal="right" vertical="top"/>
      <protection locked="0"/>
    </xf>
    <xf numFmtId="49" fontId="36" fillId="0" borderId="1" xfId="3" quotePrefix="1" applyNumberFormat="1" applyFont="1" applyFill="1" applyBorder="1" applyAlignment="1">
      <alignment horizontal="left" vertical="top"/>
    </xf>
    <xf numFmtId="0" fontId="21" fillId="0" borderId="0" xfId="3" applyFont="1" applyFill="1" applyAlignment="1">
      <alignment horizontal="left" vertical="top" wrapText="1" indent="1"/>
    </xf>
    <xf numFmtId="0" fontId="36" fillId="0" borderId="0" xfId="3" applyFont="1" applyFill="1" applyAlignment="1">
      <alignment horizontal="center" vertical="top"/>
    </xf>
    <xf numFmtId="1" fontId="21" fillId="0" borderId="0" xfId="3" applyNumberFormat="1" applyFont="1" applyFill="1" applyAlignment="1">
      <alignment horizontal="right" vertical="top"/>
    </xf>
    <xf numFmtId="2" fontId="21" fillId="0" borderId="0" xfId="3" applyNumberFormat="1" applyFont="1" applyFill="1" applyAlignment="1">
      <alignment horizontal="right" vertical="top"/>
    </xf>
    <xf numFmtId="2" fontId="36" fillId="0" borderId="0" xfId="3" applyNumberFormat="1" applyFont="1" applyFill="1" applyAlignment="1">
      <alignment horizontal="right" vertical="top"/>
    </xf>
    <xf numFmtId="1" fontId="36" fillId="0" borderId="0" xfId="3" applyNumberFormat="1" applyFont="1" applyFill="1" applyAlignment="1">
      <alignment horizontal="right" vertical="top"/>
    </xf>
    <xf numFmtId="0" fontId="22" fillId="0" borderId="1" xfId="3" applyFont="1" applyFill="1" applyBorder="1" applyAlignment="1" applyProtection="1">
      <alignment horizontal="center" vertical="top"/>
      <protection locked="0"/>
    </xf>
    <xf numFmtId="1" fontId="22" fillId="0" borderId="1" xfId="3" applyNumberFormat="1" applyFont="1" applyFill="1" applyBorder="1" applyAlignment="1" applyProtection="1">
      <alignment horizontal="right" vertical="top"/>
      <protection locked="0"/>
    </xf>
    <xf numFmtId="0" fontId="36" fillId="0" borderId="1" xfId="3" applyFont="1" applyFill="1" applyBorder="1" applyAlignment="1" applyProtection="1">
      <alignment horizontal="left" vertical="top"/>
      <protection locked="0"/>
    </xf>
    <xf numFmtId="0" fontId="40" fillId="0" borderId="0" xfId="3" applyFont="1" applyFill="1" applyAlignment="1">
      <alignment vertical="center"/>
    </xf>
    <xf numFmtId="0" fontId="40" fillId="0" borderId="22" xfId="3" applyFont="1" applyFill="1" applyBorder="1" applyAlignment="1">
      <alignment vertical="center"/>
    </xf>
    <xf numFmtId="0" fontId="24" fillId="0" borderId="1" xfId="3" applyFont="1" applyFill="1" applyBorder="1" applyAlignment="1" applyProtection="1">
      <alignment horizontal="center" vertical="top"/>
      <protection locked="0"/>
    </xf>
    <xf numFmtId="0" fontId="24" fillId="0" borderId="1" xfId="3" applyFont="1" applyFill="1" applyBorder="1" applyAlignment="1">
      <alignment horizontal="center" vertical="center"/>
    </xf>
    <xf numFmtId="2" fontId="40" fillId="0" borderId="1" xfId="3" applyNumberFormat="1" applyFont="1" applyFill="1" applyBorder="1" applyAlignment="1">
      <alignment horizontal="right" vertical="center"/>
    </xf>
    <xf numFmtId="2" fontId="24" fillId="0" borderId="1" xfId="3" applyNumberFormat="1" applyFont="1" applyFill="1" applyBorder="1" applyAlignment="1" applyProtection="1">
      <alignment horizontal="right" vertical="top"/>
      <protection locked="0"/>
    </xf>
    <xf numFmtId="1" fontId="24" fillId="0" borderId="1" xfId="3" applyNumberFormat="1" applyFont="1" applyFill="1" applyBorder="1" applyAlignment="1">
      <alignment horizontal="right" vertical="top"/>
    </xf>
    <xf numFmtId="2" fontId="24" fillId="0" borderId="1" xfId="3" applyNumberFormat="1" applyFont="1" applyFill="1" applyBorder="1" applyAlignment="1">
      <alignment horizontal="right" vertical="top"/>
    </xf>
    <xf numFmtId="165" fontId="40" fillId="0" borderId="1" xfId="1" applyFont="1" applyFill="1" applyBorder="1" applyAlignment="1">
      <alignment horizontal="right" vertical="top"/>
    </xf>
    <xf numFmtId="0" fontId="40" fillId="0" borderId="0" xfId="3" applyFont="1" applyFill="1" applyBorder="1" applyAlignment="1">
      <alignment vertical="center"/>
    </xf>
    <xf numFmtId="0" fontId="25" fillId="0" borderId="22" xfId="3" applyFont="1" applyFill="1" applyBorder="1" applyAlignment="1">
      <alignment vertical="center"/>
    </xf>
    <xf numFmtId="0" fontId="19" fillId="0" borderId="1" xfId="3" applyFont="1" applyFill="1" applyBorder="1" applyAlignment="1">
      <alignment horizontal="center" vertical="center"/>
    </xf>
    <xf numFmtId="2" fontId="25" fillId="0" borderId="1" xfId="3" applyNumberFormat="1" applyFont="1" applyFill="1" applyBorder="1" applyAlignment="1">
      <alignment horizontal="right" vertical="center"/>
    </xf>
    <xf numFmtId="165" fontId="23" fillId="0" borderId="1" xfId="1" applyFont="1" applyFill="1" applyBorder="1" applyAlignment="1">
      <alignment horizontal="right" vertical="top"/>
    </xf>
    <xf numFmtId="0" fontId="25" fillId="0" borderId="0" xfId="3" applyFont="1" applyFill="1" applyBorder="1" applyAlignment="1">
      <alignment vertical="center"/>
    </xf>
    <xf numFmtId="0" fontId="25" fillId="0" borderId="1" xfId="3" applyFont="1" applyFill="1" applyBorder="1" applyAlignment="1">
      <alignment horizontal="left" vertical="center"/>
    </xf>
    <xf numFmtId="2" fontId="44" fillId="0" borderId="1" xfId="3" applyNumberFormat="1" applyFont="1" applyFill="1" applyBorder="1" applyAlignment="1">
      <alignment horizontal="right" vertical="top"/>
    </xf>
    <xf numFmtId="0" fontId="36" fillId="0" borderId="0" xfId="3" applyFont="1" applyFill="1" applyAlignment="1">
      <alignment horizontal="left" vertical="center" indent="1"/>
    </xf>
    <xf numFmtId="1" fontId="24" fillId="0" borderId="1" xfId="3" applyNumberFormat="1" applyFont="1" applyFill="1" applyBorder="1" applyAlignment="1" applyProtection="1">
      <alignment horizontal="right" vertical="top"/>
      <protection locked="0"/>
    </xf>
    <xf numFmtId="0" fontId="23" fillId="0" borderId="1" xfId="3" quotePrefix="1" applyFont="1" applyFill="1" applyBorder="1" applyAlignment="1" applyProtection="1">
      <alignment horizontal="left" vertical="top"/>
      <protection locked="0"/>
    </xf>
    <xf numFmtId="0" fontId="25" fillId="0" borderId="1" xfId="6" applyFont="1" applyFill="1" applyBorder="1" applyAlignment="1">
      <alignment horizontal="left" vertical="top" wrapText="1" indent="2"/>
    </xf>
    <xf numFmtId="1" fontId="23" fillId="0" borderId="1" xfId="6" applyNumberFormat="1" applyFont="1" applyFill="1" applyBorder="1" applyAlignment="1">
      <alignment horizontal="right" vertical="top"/>
    </xf>
    <xf numFmtId="2" fontId="25" fillId="0" borderId="1" xfId="6" applyNumberFormat="1" applyFont="1" applyFill="1" applyBorder="1" applyAlignment="1">
      <alignment horizontal="right" vertical="top"/>
    </xf>
    <xf numFmtId="0" fontId="25" fillId="0" borderId="1" xfId="3" applyFont="1" applyFill="1" applyBorder="1" applyAlignment="1">
      <alignment horizontal="center" vertical="center"/>
    </xf>
    <xf numFmtId="0" fontId="45" fillId="0" borderId="0" xfId="4" applyFont="1" applyFill="1"/>
    <xf numFmtId="0" fontId="45" fillId="0" borderId="0" xfId="3" applyFont="1" applyFill="1" applyAlignment="1">
      <alignment horizontal="left" vertical="top"/>
    </xf>
    <xf numFmtId="0" fontId="45" fillId="0" borderId="1" xfId="3" applyFont="1" applyFill="1" applyBorder="1" applyAlignment="1" applyProtection="1">
      <alignment horizontal="center" vertical="top"/>
      <protection locked="0"/>
    </xf>
    <xf numFmtId="1" fontId="45" fillId="0" borderId="1" xfId="3" applyNumberFormat="1" applyFont="1" applyFill="1" applyBorder="1" applyAlignment="1" applyProtection="1">
      <alignment horizontal="right" vertical="top"/>
      <protection locked="0"/>
    </xf>
    <xf numFmtId="2" fontId="45" fillId="0" borderId="1" xfId="3" applyNumberFormat="1" applyFont="1" applyFill="1" applyBorder="1" applyAlignment="1" applyProtection="1">
      <alignment horizontal="right" vertical="top"/>
      <protection locked="0"/>
    </xf>
    <xf numFmtId="1" fontId="45" fillId="0" borderId="1" xfId="3" applyNumberFormat="1" applyFont="1" applyFill="1" applyBorder="1" applyAlignment="1">
      <alignment horizontal="right" vertical="top"/>
    </xf>
    <xf numFmtId="2" fontId="45" fillId="0" borderId="1" xfId="3" applyNumberFormat="1" applyFont="1" applyFill="1" applyBorder="1" applyAlignment="1">
      <alignment horizontal="right" vertical="top"/>
    </xf>
    <xf numFmtId="0" fontId="45" fillId="0" borderId="0" xfId="3" applyFont="1" applyFill="1" applyAlignment="1">
      <alignment vertical="center"/>
    </xf>
    <xf numFmtId="0" fontId="36" fillId="0" borderId="1" xfId="3" applyFont="1" applyFill="1" applyBorder="1" applyAlignment="1">
      <alignment horizontal="left" vertical="top" wrapText="1" indent="2"/>
    </xf>
    <xf numFmtId="0" fontId="23" fillId="0" borderId="19" xfId="3" applyFont="1" applyFill="1" applyBorder="1" applyAlignment="1">
      <alignment horizontal="left" vertical="top" wrapText="1" indent="2"/>
    </xf>
    <xf numFmtId="0" fontId="21" fillId="0" borderId="19" xfId="3" applyFont="1" applyFill="1" applyBorder="1" applyAlignment="1">
      <alignment horizontal="center" vertical="top"/>
    </xf>
    <xf numFmtId="1" fontId="21" fillId="0" borderId="19" xfId="3" applyNumberFormat="1" applyFont="1" applyFill="1" applyBorder="1" applyAlignment="1">
      <alignment horizontal="right" vertical="top"/>
    </xf>
    <xf numFmtId="2" fontId="21" fillId="0" borderId="23" xfId="3" applyNumberFormat="1" applyFont="1" applyFill="1" applyBorder="1" applyAlignment="1">
      <alignment horizontal="right" vertical="top"/>
    </xf>
    <xf numFmtId="2" fontId="21" fillId="0" borderId="20" xfId="3" applyNumberFormat="1" applyFont="1" applyFill="1" applyBorder="1" applyAlignment="1">
      <alignment horizontal="right" vertical="top"/>
    </xf>
    <xf numFmtId="2" fontId="21" fillId="0" borderId="19" xfId="3" applyNumberFormat="1" applyFont="1" applyFill="1" applyBorder="1" applyAlignment="1">
      <alignment horizontal="right" vertical="top"/>
    </xf>
    <xf numFmtId="2" fontId="36" fillId="0" borderId="19" xfId="3" applyNumberFormat="1" applyFont="1" applyFill="1" applyBorder="1" applyAlignment="1">
      <alignment horizontal="right" vertical="top"/>
    </xf>
    <xf numFmtId="49" fontId="47" fillId="0" borderId="1" xfId="3" quotePrefix="1" applyNumberFormat="1" applyFont="1" applyFill="1" applyBorder="1" applyAlignment="1" applyProtection="1">
      <alignment horizontal="left" vertical="top"/>
      <protection locked="0"/>
    </xf>
    <xf numFmtId="0" fontId="47" fillId="0" borderId="1" xfId="3" applyFont="1" applyFill="1" applyBorder="1" applyAlignment="1" applyProtection="1">
      <alignment horizontal="left" vertical="top" wrapText="1"/>
      <protection locked="0"/>
    </xf>
    <xf numFmtId="0" fontId="47" fillId="0" borderId="1" xfId="3" quotePrefix="1" applyFont="1" applyFill="1" applyBorder="1" applyAlignment="1" applyProtection="1">
      <alignment horizontal="left" vertical="top"/>
      <protection locked="0"/>
    </xf>
    <xf numFmtId="0" fontId="19" fillId="0" borderId="19" xfId="3" quotePrefix="1" applyFont="1" applyFill="1" applyBorder="1" applyAlignment="1" applyProtection="1">
      <alignment horizontal="left" vertical="top"/>
      <protection locked="0"/>
    </xf>
    <xf numFmtId="0" fontId="25" fillId="0" borderId="21" xfId="3" applyFont="1" applyFill="1" applyBorder="1" applyAlignment="1" applyProtection="1">
      <alignment horizontal="left" vertical="top" wrapText="1"/>
      <protection locked="0"/>
    </xf>
    <xf numFmtId="0" fontId="17" fillId="0" borderId="1" xfId="4" applyFont="1" applyFill="1" applyBorder="1" applyAlignment="1" applyProtection="1">
      <alignment horizontal="left" vertical="top" wrapText="1"/>
      <protection locked="0"/>
    </xf>
    <xf numFmtId="0" fontId="22" fillId="0" borderId="1" xfId="4" applyFont="1" applyFill="1" applyBorder="1" applyAlignment="1" applyProtection="1">
      <alignment horizontal="center" vertical="top"/>
      <protection locked="0"/>
    </xf>
    <xf numFmtId="0" fontId="15" fillId="0" borderId="1" xfId="7" applyFont="1" applyFill="1" applyBorder="1" applyAlignment="1" applyProtection="1">
      <alignment vertical="center"/>
      <protection locked="0"/>
    </xf>
    <xf numFmtId="1" fontId="37" fillId="0" borderId="1" xfId="6" applyNumberFormat="1" applyFont="1" applyFill="1" applyBorder="1" applyAlignment="1" applyProtection="1">
      <alignment horizontal="right" vertical="top"/>
      <protection locked="0"/>
    </xf>
    <xf numFmtId="0" fontId="23" fillId="0" borderId="1" xfId="6" applyFont="1" applyFill="1" applyBorder="1" applyAlignment="1">
      <alignment horizontal="left" vertical="top" wrapText="1"/>
    </xf>
    <xf numFmtId="2" fontId="25" fillId="0" borderId="0" xfId="3" applyNumberFormat="1" applyFont="1" applyFill="1" applyAlignment="1">
      <alignment vertical="center"/>
    </xf>
    <xf numFmtId="0" fontId="20" fillId="0" borderId="1" xfId="3" applyFont="1" applyFill="1" applyBorder="1" applyAlignment="1" applyProtection="1">
      <alignment horizontal="left" vertical="top" wrapText="1"/>
      <protection locked="0"/>
    </xf>
    <xf numFmtId="49" fontId="23" fillId="0" borderId="0" xfId="3" applyNumberFormat="1" applyFont="1" applyFill="1" applyAlignment="1">
      <alignment horizontal="left" vertical="top"/>
    </xf>
    <xf numFmtId="0" fontId="37" fillId="0" borderId="0" xfId="3" applyFont="1" applyFill="1" applyAlignment="1">
      <alignment horizontal="left" vertical="top" wrapText="1" indent="2"/>
    </xf>
    <xf numFmtId="0" fontId="37" fillId="0" borderId="0" xfId="3" applyFont="1" applyFill="1" applyAlignment="1">
      <alignment horizontal="center" vertical="top"/>
    </xf>
    <xf numFmtId="1" fontId="37" fillId="0" borderId="0" xfId="3" applyNumberFormat="1" applyFont="1" applyFill="1" applyAlignment="1">
      <alignment horizontal="right" vertical="top"/>
    </xf>
    <xf numFmtId="2" fontId="37" fillId="0" borderId="0" xfId="3" applyNumberFormat="1" applyFont="1" applyFill="1" applyAlignment="1">
      <alignment horizontal="right" vertical="top"/>
    </xf>
    <xf numFmtId="2" fontId="23" fillId="0" borderId="0" xfId="3" applyNumberFormat="1" applyFont="1" applyFill="1" applyAlignment="1">
      <alignment horizontal="right" vertical="top"/>
    </xf>
    <xf numFmtId="49" fontId="36" fillId="0" borderId="0" xfId="3" applyNumberFormat="1" applyFont="1" applyFill="1" applyAlignment="1">
      <alignment horizontal="left" vertical="top"/>
    </xf>
    <xf numFmtId="0" fontId="21" fillId="0" borderId="0" xfId="3" applyFont="1" applyFill="1" applyAlignment="1">
      <alignment horizontal="center" vertical="top"/>
    </xf>
    <xf numFmtId="0" fontId="36" fillId="0" borderId="0" xfId="3" quotePrefix="1" applyFont="1" applyFill="1" applyAlignment="1" applyProtection="1">
      <alignment horizontal="left" vertical="top"/>
      <protection locked="0"/>
    </xf>
    <xf numFmtId="0" fontId="21" fillId="0" borderId="0" xfId="3" applyFont="1" applyFill="1" applyAlignment="1" applyProtection="1">
      <alignment horizontal="center" vertical="top"/>
      <protection locked="0"/>
    </xf>
    <xf numFmtId="1" fontId="21" fillId="0" borderId="0" xfId="3" applyNumberFormat="1" applyFont="1" applyFill="1" applyAlignment="1" applyProtection="1">
      <alignment horizontal="right" vertical="top"/>
      <protection locked="0"/>
    </xf>
    <xf numFmtId="2" fontId="21" fillId="0" borderId="0" xfId="3" applyNumberFormat="1" applyFont="1" applyFill="1" applyAlignment="1" applyProtection="1">
      <alignment horizontal="right" vertical="top"/>
      <protection locked="0"/>
    </xf>
    <xf numFmtId="0" fontId="19" fillId="0" borderId="0" xfId="3" quotePrefix="1" applyFont="1" applyFill="1" applyAlignment="1" applyProtection="1">
      <alignment horizontal="left" vertical="top"/>
      <protection locked="0"/>
    </xf>
    <xf numFmtId="0" fontId="21" fillId="0" borderId="0" xfId="3" applyFont="1" applyFill="1" applyAlignment="1" applyProtection="1">
      <alignment horizontal="left" vertical="top" wrapText="1"/>
      <protection locked="0"/>
    </xf>
    <xf numFmtId="2" fontId="19" fillId="0" borderId="0" xfId="3" applyNumberFormat="1" applyFont="1" applyFill="1" applyAlignment="1">
      <alignment horizontal="right" vertical="top"/>
    </xf>
    <xf numFmtId="49" fontId="36" fillId="0" borderId="0" xfId="3" quotePrefix="1" applyNumberFormat="1" applyFont="1" applyFill="1" applyAlignment="1">
      <alignment horizontal="left" vertical="top"/>
    </xf>
    <xf numFmtId="0" fontId="42" fillId="0" borderId="0" xfId="3" applyFont="1" applyFill="1" applyAlignment="1">
      <alignment horizontal="left" vertical="top" wrapText="1" indent="1"/>
    </xf>
    <xf numFmtId="0" fontId="21" fillId="0" borderId="0" xfId="3" applyFont="1" applyFill="1" applyAlignment="1" applyProtection="1">
      <alignment horizontal="left" vertical="top" wrapText="1" indent="1"/>
      <protection locked="0"/>
    </xf>
    <xf numFmtId="49" fontId="18" fillId="0" borderId="0" xfId="3" quotePrefix="1" applyNumberFormat="1" applyFont="1" applyFill="1" applyAlignment="1" applyProtection="1">
      <alignment horizontal="left" vertical="top"/>
      <protection locked="0"/>
    </xf>
    <xf numFmtId="2" fontId="18" fillId="0" borderId="0" xfId="3" applyNumberFormat="1" applyFont="1" applyFill="1" applyAlignment="1">
      <alignment horizontal="right" vertical="top"/>
    </xf>
    <xf numFmtId="0" fontId="38" fillId="0" borderId="0" xfId="3" applyFont="1" applyFill="1" applyAlignment="1" applyProtection="1">
      <alignment horizontal="left" vertical="top" wrapText="1" indent="1"/>
      <protection locked="0"/>
    </xf>
    <xf numFmtId="0" fontId="36" fillId="0" borderId="0" xfId="3" applyFont="1" applyFill="1" applyAlignment="1" applyProtection="1">
      <alignment horizontal="left" vertical="top"/>
      <protection locked="0"/>
    </xf>
    <xf numFmtId="0" fontId="36" fillId="0" borderId="0" xfId="3" quotePrefix="1" applyFont="1" applyFill="1" applyAlignment="1">
      <alignment horizontal="left" vertical="top"/>
    </xf>
    <xf numFmtId="0" fontId="23" fillId="0" borderId="0" xfId="3" quotePrefix="1" applyFont="1" applyFill="1" applyAlignment="1" applyProtection="1">
      <alignment horizontal="left" vertical="top"/>
      <protection locked="0"/>
    </xf>
    <xf numFmtId="0" fontId="42" fillId="0" borderId="0" xfId="3" applyFont="1" applyFill="1" applyAlignment="1" applyProtection="1">
      <alignment horizontal="left" vertical="top" wrapText="1" indent="1"/>
      <protection locked="0"/>
    </xf>
    <xf numFmtId="0" fontId="21" fillId="0" borderId="0" xfId="3" applyFont="1" applyFill="1" applyAlignment="1">
      <alignment horizontal="left" vertical="top" wrapText="1"/>
    </xf>
    <xf numFmtId="0" fontId="21" fillId="0" borderId="0" xfId="3" applyFont="1" applyFill="1" applyAlignment="1">
      <alignment horizontal="left" vertical="top" wrapText="1" indent="2"/>
    </xf>
    <xf numFmtId="49" fontId="40" fillId="0" borderId="0" xfId="3" applyNumberFormat="1" applyFont="1" applyFill="1" applyAlignment="1">
      <alignment horizontal="left" vertical="top"/>
    </xf>
    <xf numFmtId="2" fontId="40" fillId="0" borderId="0" xfId="3" applyNumberFormat="1" applyFont="1" applyFill="1" applyAlignment="1">
      <alignment horizontal="right" vertical="top"/>
    </xf>
    <xf numFmtId="0" fontId="36" fillId="0" borderId="0" xfId="3" applyFont="1" applyFill="1" applyAlignment="1">
      <alignment horizontal="left" vertical="top" wrapText="1" indent="1"/>
    </xf>
    <xf numFmtId="0" fontId="19" fillId="0" borderId="0" xfId="3" applyFont="1" applyFill="1" applyAlignment="1" applyProtection="1">
      <alignment horizontal="left" vertical="top" wrapText="1"/>
      <protection locked="0"/>
    </xf>
    <xf numFmtId="0" fontId="19" fillId="0" borderId="0" xfId="3" applyFont="1" applyFill="1" applyAlignment="1" applyProtection="1">
      <alignment horizontal="center" vertical="top"/>
      <protection locked="0"/>
    </xf>
    <xf numFmtId="1" fontId="19" fillId="0" borderId="0" xfId="3" applyNumberFormat="1" applyFont="1" applyFill="1" applyAlignment="1" applyProtection="1">
      <alignment horizontal="right" vertical="top"/>
      <protection locked="0"/>
    </xf>
    <xf numFmtId="0" fontId="36" fillId="0" borderId="0" xfId="3" applyFont="1" applyFill="1" applyAlignment="1" applyProtection="1">
      <alignment horizontal="center" vertical="top"/>
      <protection locked="0"/>
    </xf>
    <xf numFmtId="1" fontId="36" fillId="0" borderId="0" xfId="3" applyNumberFormat="1" applyFont="1" applyFill="1" applyAlignment="1" applyProtection="1">
      <alignment horizontal="right" vertical="top"/>
      <protection locked="0"/>
    </xf>
    <xf numFmtId="0" fontId="23" fillId="0" borderId="0" xfId="3" applyFont="1" applyFill="1" applyAlignment="1">
      <alignment horizontal="left" vertical="top" wrapText="1" indent="2"/>
    </xf>
    <xf numFmtId="0" fontId="23" fillId="0" borderId="0" xfId="3" applyFont="1" applyFill="1" applyAlignment="1">
      <alignment horizontal="center" vertical="top"/>
    </xf>
    <xf numFmtId="1" fontId="23" fillId="0" borderId="0" xfId="3" applyNumberFormat="1" applyFont="1" applyFill="1" applyAlignment="1">
      <alignment horizontal="right" vertical="top"/>
    </xf>
    <xf numFmtId="0" fontId="18" fillId="0" borderId="0" xfId="3" applyFont="1" applyFill="1" applyAlignment="1" applyProtection="1">
      <alignment horizontal="left" vertical="top" wrapText="1"/>
      <protection locked="0"/>
    </xf>
    <xf numFmtId="0" fontId="18" fillId="0" borderId="0" xfId="3" applyFont="1" applyFill="1" applyAlignment="1" applyProtection="1">
      <alignment horizontal="center" vertical="top"/>
      <protection locked="0"/>
    </xf>
    <xf numFmtId="1" fontId="18" fillId="0" borderId="0" xfId="3" applyNumberFormat="1" applyFont="1" applyFill="1" applyAlignment="1" applyProtection="1">
      <alignment horizontal="right" vertical="top"/>
      <protection locked="0"/>
    </xf>
    <xf numFmtId="0" fontId="20" fillId="0" borderId="0" xfId="3" quotePrefix="1" applyFont="1" applyFill="1" applyAlignment="1" applyProtection="1">
      <alignment horizontal="left" vertical="top"/>
      <protection locked="0"/>
    </xf>
    <xf numFmtId="0" fontId="20" fillId="0" borderId="0" xfId="3" applyFont="1" applyFill="1" applyAlignment="1" applyProtection="1">
      <alignment horizontal="left" vertical="top" wrapText="1"/>
      <protection locked="0"/>
    </xf>
    <xf numFmtId="0" fontId="20" fillId="0" borderId="0" xfId="3" applyFont="1" applyFill="1" applyAlignment="1" applyProtection="1">
      <alignment horizontal="center" vertical="top"/>
      <protection locked="0"/>
    </xf>
    <xf numFmtId="1" fontId="20" fillId="0" borderId="0" xfId="3" applyNumberFormat="1" applyFont="1" applyFill="1" applyAlignment="1" applyProtection="1">
      <alignment horizontal="right" vertical="top"/>
      <protection locked="0"/>
    </xf>
    <xf numFmtId="2" fontId="20" fillId="0" borderId="0" xfId="3" applyNumberFormat="1" applyFont="1" applyFill="1" applyAlignment="1">
      <alignment horizontal="right" vertical="top"/>
    </xf>
    <xf numFmtId="0" fontId="36" fillId="0" borderId="0" xfId="3" applyFont="1" applyFill="1" applyAlignment="1" applyProtection="1">
      <alignment horizontal="left" vertical="top" wrapText="1" indent="1"/>
      <protection locked="0"/>
    </xf>
    <xf numFmtId="0" fontId="23" fillId="0" borderId="0" xfId="3" applyFont="1" applyFill="1" applyAlignment="1" applyProtection="1">
      <alignment horizontal="left" vertical="top" wrapText="1" indent="2"/>
      <protection locked="0"/>
    </xf>
    <xf numFmtId="1" fontId="23" fillId="0" borderId="0" xfId="3" applyNumberFormat="1" applyFont="1" applyFill="1" applyAlignment="1" applyProtection="1">
      <alignment horizontal="right" vertical="top"/>
      <protection locked="0"/>
    </xf>
    <xf numFmtId="2" fontId="37" fillId="0" borderId="0" xfId="3" applyNumberFormat="1" applyFont="1" applyFill="1" applyAlignment="1" applyProtection="1">
      <alignment horizontal="right" vertical="top"/>
      <protection locked="0"/>
    </xf>
    <xf numFmtId="49" fontId="36" fillId="0" borderId="0" xfId="3" applyNumberFormat="1" applyFont="1" applyFill="1" applyAlignment="1">
      <alignment horizontal="left" vertical="top" wrapText="1" indent="1"/>
    </xf>
    <xf numFmtId="0" fontId="41" fillId="0" borderId="0" xfId="3" applyFont="1" applyFill="1" applyAlignment="1">
      <alignment horizontal="left" vertical="top" wrapText="1" indent="1"/>
    </xf>
    <xf numFmtId="0" fontId="19" fillId="0" borderId="0" xfId="3" applyFont="1" applyFill="1" applyAlignment="1">
      <alignment horizontal="center" vertical="top"/>
    </xf>
    <xf numFmtId="49" fontId="23" fillId="0" borderId="0" xfId="3" quotePrefix="1" applyNumberFormat="1" applyFont="1" applyFill="1" applyAlignment="1">
      <alignment horizontal="left" vertical="top"/>
    </xf>
    <xf numFmtId="0" fontId="23" fillId="0" borderId="0" xfId="3" applyFont="1" applyFill="1" applyAlignment="1" applyProtection="1">
      <alignment horizontal="center" vertical="top"/>
      <protection locked="0"/>
    </xf>
    <xf numFmtId="0" fontId="43" fillId="0" borderId="1" xfId="3" applyFont="1" applyFill="1" applyBorder="1" applyAlignment="1">
      <alignment horizontal="left" vertical="top" wrapText="1" indent="1"/>
    </xf>
    <xf numFmtId="0" fontId="25" fillId="0" borderId="0" xfId="4" applyFont="1" applyFill="1"/>
    <xf numFmtId="0" fontId="25" fillId="0" borderId="0" xfId="3" applyFont="1" applyFill="1" applyAlignment="1">
      <alignment horizontal="left" vertical="top"/>
    </xf>
    <xf numFmtId="0" fontId="38" fillId="0" borderId="1" xfId="3" applyFont="1" applyFill="1" applyBorder="1" applyAlignment="1">
      <alignment horizontal="left" vertical="top" indent="2"/>
    </xf>
    <xf numFmtId="49" fontId="19" fillId="0" borderId="0" xfId="3" quotePrefix="1" applyNumberFormat="1" applyFont="1" applyFill="1" applyAlignment="1" applyProtection="1">
      <alignment horizontal="left" vertical="top"/>
      <protection locked="0"/>
    </xf>
    <xf numFmtId="1" fontId="18" fillId="0" borderId="0" xfId="3" applyNumberFormat="1" applyFont="1" applyFill="1" applyAlignment="1">
      <alignment horizontal="right" vertical="top"/>
    </xf>
    <xf numFmtId="1" fontId="19" fillId="0" borderId="0" xfId="3" applyNumberFormat="1" applyFont="1" applyFill="1" applyAlignment="1">
      <alignment horizontal="right" vertical="top"/>
    </xf>
    <xf numFmtId="0" fontId="39" fillId="0" borderId="0" xfId="3" applyFont="1" applyFill="1" applyAlignment="1" applyProtection="1">
      <alignment horizontal="left" vertical="top" wrapText="1" indent="1"/>
      <protection locked="0"/>
    </xf>
    <xf numFmtId="0" fontId="16" fillId="0" borderId="24" xfId="3" applyFont="1" applyFill="1" applyBorder="1" applyAlignment="1" applyProtection="1">
      <alignment horizontal="left" vertical="top" wrapText="1"/>
      <protection locked="0"/>
    </xf>
    <xf numFmtId="2" fontId="19" fillId="0" borderId="1" xfId="3" applyNumberFormat="1" applyFont="1" applyFill="1" applyBorder="1" applyAlignment="1" applyProtection="1">
      <alignment horizontal="center" vertical="top"/>
      <protection locked="0"/>
    </xf>
    <xf numFmtId="0" fontId="20" fillId="0" borderId="1" xfId="3" applyFont="1" applyFill="1" applyBorder="1" applyAlignment="1" applyProtection="1">
      <alignment horizontal="center" vertical="top"/>
      <protection locked="0"/>
    </xf>
    <xf numFmtId="0" fontId="23" fillId="0" borderId="1" xfId="3" applyFont="1" applyFill="1" applyBorder="1" applyAlignment="1" applyProtection="1">
      <alignment horizontal="left" vertical="top" indent="2"/>
      <protection locked="0"/>
    </xf>
    <xf numFmtId="0" fontId="37" fillId="0" borderId="1" xfId="6" applyFont="1" applyFill="1" applyBorder="1" applyAlignment="1" applyProtection="1">
      <alignment horizontal="center" vertical="top"/>
      <protection locked="0"/>
    </xf>
    <xf numFmtId="0" fontId="12" fillId="2" borderId="1" xfId="0" applyFont="1" applyFill="1" applyBorder="1" applyAlignment="1" applyProtection="1">
      <alignment horizontal="left" vertical="center" indent="3"/>
      <protection locked="0"/>
    </xf>
    <xf numFmtId="0" fontId="19" fillId="0" borderId="1" xfId="3" quotePrefix="1" applyFont="1" applyBorder="1" applyAlignment="1" applyProtection="1">
      <alignment horizontal="left" vertical="top"/>
      <protection locked="0"/>
    </xf>
    <xf numFmtId="0" fontId="19" fillId="0" borderId="1" xfId="3" applyFont="1" applyBorder="1" applyAlignment="1" applyProtection="1">
      <alignment horizontal="left" vertical="top" wrapText="1"/>
      <protection locked="0"/>
    </xf>
    <xf numFmtId="0" fontId="19" fillId="0" borderId="1" xfId="3" applyFont="1" applyBorder="1" applyAlignment="1" applyProtection="1">
      <alignment horizontal="center" vertical="top"/>
      <protection locked="0"/>
    </xf>
    <xf numFmtId="2" fontId="19" fillId="0" borderId="1" xfId="3" applyNumberFormat="1" applyFont="1" applyBorder="1" applyAlignment="1">
      <alignment horizontal="right" vertical="top"/>
    </xf>
    <xf numFmtId="0" fontId="36" fillId="0" borderId="1" xfId="3" applyFont="1" applyBorder="1" applyAlignment="1">
      <alignment horizontal="center" vertical="top"/>
    </xf>
    <xf numFmtId="0" fontId="23" fillId="3" borderId="1" xfId="3" applyFont="1" applyFill="1" applyBorder="1" applyAlignment="1">
      <alignment horizontal="left" vertical="top" wrapText="1" indent="2"/>
    </xf>
    <xf numFmtId="0" fontId="23" fillId="3" borderId="1" xfId="3" applyFont="1" applyFill="1" applyBorder="1" applyAlignment="1">
      <alignment horizontal="center" vertical="top"/>
    </xf>
    <xf numFmtId="1" fontId="37" fillId="3" borderId="1" xfId="3" applyNumberFormat="1" applyFont="1" applyFill="1" applyBorder="1" applyAlignment="1">
      <alignment horizontal="right" vertical="top"/>
    </xf>
    <xf numFmtId="2" fontId="37" fillId="3" borderId="1" xfId="3" applyNumberFormat="1" applyFont="1" applyFill="1" applyBorder="1" applyAlignment="1">
      <alignment horizontal="right" vertical="top"/>
    </xf>
    <xf numFmtId="2" fontId="23" fillId="3" borderId="1" xfId="3" applyNumberFormat="1" applyFont="1" applyFill="1" applyBorder="1" applyAlignment="1">
      <alignment horizontal="right" vertical="top"/>
    </xf>
    <xf numFmtId="49" fontId="18" fillId="0" borderId="1" xfId="3" quotePrefix="1" applyNumberFormat="1" applyFont="1" applyBorder="1" applyAlignment="1" applyProtection="1">
      <alignment horizontal="left" vertical="top"/>
      <protection locked="0"/>
    </xf>
    <xf numFmtId="0" fontId="18" fillId="0" borderId="1" xfId="3" applyFont="1" applyBorder="1" applyAlignment="1" applyProtection="1">
      <alignment horizontal="left" vertical="top" wrapText="1"/>
      <protection locked="0"/>
    </xf>
    <xf numFmtId="167" fontId="8" fillId="0" borderId="1" xfId="0" applyNumberFormat="1" applyFont="1" applyFill="1" applyBorder="1"/>
    <xf numFmtId="2" fontId="8" fillId="0" borderId="0" xfId="0" applyNumberFormat="1" applyFont="1" applyFill="1"/>
    <xf numFmtId="0" fontId="30" fillId="0" borderId="2" xfId="3" applyFont="1" applyFill="1" applyBorder="1" applyAlignment="1">
      <alignment horizontal="center" vertical="center"/>
    </xf>
    <xf numFmtId="0" fontId="30" fillId="0" borderId="3" xfId="3" applyFont="1" applyFill="1" applyBorder="1" applyAlignment="1">
      <alignment horizontal="center" vertical="center"/>
    </xf>
    <xf numFmtId="0" fontId="30" fillId="0" borderId="4" xfId="3" applyFont="1" applyFill="1" applyBorder="1" applyAlignment="1">
      <alignment horizontal="center" vertical="center"/>
    </xf>
    <xf numFmtId="0" fontId="34" fillId="0" borderId="0" xfId="3" applyFont="1" applyFill="1" applyAlignment="1">
      <alignment horizontal="left" vertical="top" wrapText="1" indent="1"/>
    </xf>
    <xf numFmtId="0" fontId="34" fillId="0" borderId="9" xfId="3" applyFont="1" applyFill="1" applyBorder="1" applyAlignment="1">
      <alignment horizontal="left" vertical="top" wrapText="1" indent="1"/>
    </xf>
    <xf numFmtId="0" fontId="19" fillId="0" borderId="13" xfId="3" applyFont="1" applyFill="1" applyBorder="1" applyAlignment="1">
      <alignment horizontal="center" vertical="center"/>
    </xf>
    <xf numFmtId="0" fontId="19" fillId="0" borderId="16" xfId="3" applyFont="1" applyFill="1" applyBorder="1" applyAlignment="1">
      <alignment horizontal="center" vertical="center"/>
    </xf>
    <xf numFmtId="0" fontId="19" fillId="0" borderId="14" xfId="3" applyFont="1" applyFill="1" applyBorder="1" applyAlignment="1">
      <alignment horizontal="center" vertical="center"/>
    </xf>
    <xf numFmtId="0" fontId="19" fillId="0" borderId="17" xfId="3" applyFont="1" applyFill="1" applyBorder="1" applyAlignment="1">
      <alignment horizontal="center" vertical="center"/>
    </xf>
    <xf numFmtId="0" fontId="19" fillId="0" borderId="14" xfId="3" applyFont="1" applyFill="1" applyBorder="1" applyAlignment="1">
      <alignment horizontal="center" vertical="center" textRotation="90"/>
    </xf>
    <xf numFmtId="0" fontId="19" fillId="0" borderId="17" xfId="3" applyFont="1" applyFill="1" applyBorder="1" applyAlignment="1">
      <alignment horizontal="center" vertical="center" textRotation="90"/>
    </xf>
    <xf numFmtId="0" fontId="19" fillId="0" borderId="14" xfId="3" applyFont="1" applyFill="1" applyBorder="1" applyAlignment="1">
      <alignment horizontal="center" vertical="center" textRotation="90" wrapText="1"/>
    </xf>
    <xf numFmtId="0" fontId="19" fillId="0" borderId="17" xfId="3" applyFont="1" applyFill="1" applyBorder="1" applyAlignment="1">
      <alignment horizontal="center" vertical="center" textRotation="90" wrapText="1"/>
    </xf>
    <xf numFmtId="2" fontId="19" fillId="0" borderId="14" xfId="3" applyNumberFormat="1" applyFont="1" applyFill="1" applyBorder="1" applyAlignment="1">
      <alignment horizontal="center" vertical="center"/>
    </xf>
    <xf numFmtId="0" fontId="19" fillId="0" borderId="15" xfId="3" applyFont="1" applyFill="1" applyBorder="1" applyAlignment="1">
      <alignment horizontal="center" vertical="center"/>
    </xf>
    <xf numFmtId="0" fontId="19" fillId="0" borderId="18" xfId="3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50" fillId="0" borderId="0" xfId="0" applyFont="1" applyFill="1" applyAlignment="1">
      <alignment horizontal="center"/>
    </xf>
    <xf numFmtId="0" fontId="12" fillId="0" borderId="1" xfId="0" applyFont="1" applyFill="1" applyBorder="1" applyAlignment="1" applyProtection="1">
      <alignment horizontal="left" vertical="center"/>
      <protection locked="0"/>
    </xf>
  </cellXfs>
  <cellStyles count="8">
    <cellStyle name="Millares" xfId="1" builtinId="3"/>
    <cellStyle name="Millares 2" xfId="5" xr:uid="{11271BA9-DC64-4699-BE26-DD7063C7CBD8}"/>
    <cellStyle name="Normal" xfId="0" builtinId="0"/>
    <cellStyle name="Normal 2" xfId="3" xr:uid="{00000000-0005-0000-0000-000002000000}"/>
    <cellStyle name="Normal 2 2" xfId="6" xr:uid="{E0A1D076-5E12-4299-B0F3-C04F7575DD8B}"/>
    <cellStyle name="Normal 3" xfId="4" xr:uid="{00000000-0005-0000-0000-000003000000}"/>
    <cellStyle name="Normal 4" xfId="7" xr:uid="{72219938-3F37-4BF9-9E7B-FA4DFF8A0AC5}"/>
    <cellStyle name="Normal 4 2" xfId="2" xr:uid="{00000000-0005-0000-0000-000004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36865" name="CommandButton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D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E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251460</xdr:colOff>
          <xdr:row>14</xdr:row>
          <xdr:rowOff>60960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trado"/>
  <dimension ref="A1:W190"/>
  <sheetViews>
    <sheetView view="pageBreakPreview" topLeftCell="A4" zoomScaleNormal="85" zoomScaleSheetLayoutView="100" workbookViewId="0">
      <selection activeCell="D30" sqref="D30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46.44140625" style="214" customWidth="1"/>
    <col min="5" max="5" width="3.33203125" style="215" bestFit="1" customWidth="1"/>
    <col min="6" max="6" width="4.3320312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33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44551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31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1.4" customHeight="1" x14ac:dyDescent="0.3">
      <c r="C16" s="180"/>
      <c r="D16" s="272"/>
      <c r="E16" s="273"/>
      <c r="F16" s="273"/>
      <c r="G16" s="182"/>
      <c r="H16" s="182"/>
      <c r="I16" s="182"/>
      <c r="J16" s="183"/>
      <c r="K16" s="274"/>
      <c r="L16" s="274"/>
      <c r="M16" s="182"/>
      <c r="N16" s="182"/>
      <c r="O16" s="183"/>
      <c r="P16" s="275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185">
        <v>1</v>
      </c>
      <c r="D18" s="278" t="s">
        <v>31</v>
      </c>
      <c r="E18" s="279"/>
      <c r="F18" s="280"/>
      <c r="G18" s="281"/>
      <c r="H18" s="281"/>
      <c r="I18" s="186"/>
      <c r="J18" s="282"/>
      <c r="K18" s="186"/>
      <c r="L18" s="186"/>
      <c r="M18" s="186"/>
      <c r="N18" s="186"/>
      <c r="O18" s="186"/>
      <c r="P18" s="186"/>
    </row>
    <row r="19" spans="1:16" s="110" customFormat="1" x14ac:dyDescent="0.2">
      <c r="A19" s="107">
        <v>1</v>
      </c>
      <c r="B19" s="108"/>
      <c r="C19" s="145" t="s">
        <v>441</v>
      </c>
      <c r="D19" s="133" t="s">
        <v>17</v>
      </c>
      <c r="E19" s="50"/>
      <c r="F19" s="78"/>
      <c r="G19" s="53"/>
      <c r="H19" s="53"/>
      <c r="I19" s="53"/>
      <c r="J19" s="54"/>
      <c r="K19" s="55"/>
      <c r="L19" s="55"/>
      <c r="M19" s="55"/>
      <c r="N19" s="55"/>
      <c r="O19" s="55"/>
      <c r="P19" s="55"/>
    </row>
    <row r="20" spans="1:16" s="130" customFormat="1" x14ac:dyDescent="0.2">
      <c r="A20" s="123">
        <v>1</v>
      </c>
      <c r="B20" s="124"/>
      <c r="C20" s="147" t="s">
        <v>404</v>
      </c>
      <c r="D20" s="135" t="s">
        <v>22</v>
      </c>
      <c r="E20" s="127"/>
      <c r="F20" s="51"/>
      <c r="G20" s="52"/>
      <c r="H20" s="52"/>
      <c r="I20" s="284"/>
      <c r="J20" s="128"/>
      <c r="K20" s="129"/>
      <c r="L20" s="129"/>
      <c r="M20" s="129"/>
      <c r="N20" s="129"/>
      <c r="O20" s="129"/>
      <c r="P20" s="129"/>
    </row>
    <row r="21" spans="1:16" s="110" customFormat="1" x14ac:dyDescent="0.2">
      <c r="A21" s="107">
        <v>2</v>
      </c>
      <c r="B21" s="108"/>
      <c r="C21" s="136" t="s">
        <v>405</v>
      </c>
      <c r="D21" s="136" t="s">
        <v>23</v>
      </c>
      <c r="E21" s="101"/>
      <c r="F21" s="51"/>
      <c r="G21" s="52"/>
      <c r="H21" s="52"/>
      <c r="I21" s="109"/>
      <c r="J21" s="99"/>
      <c r="K21" s="100"/>
      <c r="L21" s="100"/>
      <c r="M21" s="100"/>
      <c r="N21" s="100"/>
      <c r="O21" s="100"/>
      <c r="P21" s="100"/>
    </row>
    <row r="22" spans="1:16" x14ac:dyDescent="0.3">
      <c r="A22" s="104">
        <v>3</v>
      </c>
      <c r="C22" s="136" t="s">
        <v>414</v>
      </c>
      <c r="D22" s="144" t="s">
        <v>152</v>
      </c>
      <c r="E22" s="50" t="s">
        <v>13</v>
      </c>
      <c r="F22" s="51"/>
      <c r="G22" s="52"/>
      <c r="H22" s="52"/>
      <c r="I22" s="53"/>
      <c r="J22" s="54"/>
      <c r="K22" s="55"/>
      <c r="L22" s="55"/>
      <c r="M22" s="55"/>
      <c r="N22" s="55"/>
      <c r="O22" s="55"/>
      <c r="P22" s="55">
        <f>SUM(L22:L28)</f>
        <v>27.05</v>
      </c>
    </row>
    <row r="23" spans="1:16" x14ac:dyDescent="0.3">
      <c r="C23" s="56"/>
      <c r="D23" s="57" t="s">
        <v>60</v>
      </c>
      <c r="E23" s="58"/>
      <c r="F23" s="62"/>
      <c r="G23" s="60"/>
      <c r="H23" s="60"/>
      <c r="I23" s="60"/>
      <c r="J23" s="62"/>
      <c r="K23" s="61"/>
      <c r="L23" s="61"/>
      <c r="M23" s="61"/>
      <c r="N23" s="61"/>
      <c r="O23" s="61"/>
      <c r="P23" s="61"/>
    </row>
    <row r="24" spans="1:16" x14ac:dyDescent="0.3">
      <c r="C24" s="63"/>
      <c r="D24" s="64" t="s">
        <v>62</v>
      </c>
      <c r="E24" s="65" t="s">
        <v>13</v>
      </c>
      <c r="F24" s="69">
        <v>1</v>
      </c>
      <c r="G24" s="67" t="s">
        <v>114</v>
      </c>
      <c r="H24" s="67">
        <v>20.7</v>
      </c>
      <c r="I24" s="111"/>
      <c r="J24" s="69">
        <v>1</v>
      </c>
      <c r="K24" s="68"/>
      <c r="L24" s="68">
        <f>IF(F24="","",PRODUCT(F24:J24))</f>
        <v>20.7</v>
      </c>
      <c r="M24" s="68"/>
      <c r="N24" s="68"/>
      <c r="O24" s="68"/>
      <c r="P24" s="68"/>
    </row>
    <row r="25" spans="1:16" x14ac:dyDescent="0.3">
      <c r="C25" s="63"/>
      <c r="D25" s="64"/>
      <c r="E25" s="65" t="s">
        <v>13</v>
      </c>
      <c r="F25" s="69">
        <v>1</v>
      </c>
      <c r="G25" s="67" t="s">
        <v>114</v>
      </c>
      <c r="H25" s="67">
        <v>0.95</v>
      </c>
      <c r="I25" s="111"/>
      <c r="J25" s="69">
        <v>1</v>
      </c>
      <c r="K25" s="68"/>
      <c r="L25" s="68">
        <f>IF(F25="","",PRODUCT(F25:J25))</f>
        <v>0.95</v>
      </c>
      <c r="M25" s="68"/>
      <c r="N25" s="68"/>
      <c r="O25" s="68"/>
      <c r="P25" s="68"/>
    </row>
    <row r="26" spans="1:16" x14ac:dyDescent="0.3">
      <c r="C26" s="63"/>
      <c r="D26" s="64"/>
      <c r="E26" s="65" t="s">
        <v>13</v>
      </c>
      <c r="F26" s="69">
        <v>1</v>
      </c>
      <c r="G26" s="67" t="s">
        <v>114</v>
      </c>
      <c r="H26" s="67">
        <v>0.6</v>
      </c>
      <c r="I26" s="111"/>
      <c r="J26" s="69">
        <v>1</v>
      </c>
      <c r="K26" s="68"/>
      <c r="L26" s="68">
        <f>IF(F26="","",PRODUCT(F26:J26))</f>
        <v>0.6</v>
      </c>
      <c r="M26" s="68"/>
      <c r="N26" s="68"/>
      <c r="O26" s="68"/>
      <c r="P26" s="68"/>
    </row>
    <row r="27" spans="1:16" x14ac:dyDescent="0.3">
      <c r="C27" s="63"/>
      <c r="D27" s="64"/>
      <c r="E27" s="65" t="s">
        <v>13</v>
      </c>
      <c r="F27" s="69">
        <v>2</v>
      </c>
      <c r="G27" s="67" t="s">
        <v>114</v>
      </c>
      <c r="H27" s="67">
        <v>2.4</v>
      </c>
      <c r="I27" s="111"/>
      <c r="J27" s="69">
        <v>1</v>
      </c>
      <c r="K27" s="68"/>
      <c r="L27" s="68">
        <f>IF(F27="","",PRODUCT(F27:J27))</f>
        <v>4.8</v>
      </c>
      <c r="M27" s="68"/>
      <c r="N27" s="68"/>
      <c r="O27" s="68"/>
      <c r="P27" s="68"/>
    </row>
    <row r="28" spans="1:16" x14ac:dyDescent="0.3">
      <c r="C28" s="63"/>
      <c r="D28" s="64"/>
      <c r="E28" s="65"/>
      <c r="F28" s="69"/>
      <c r="G28" s="67"/>
      <c r="H28" s="67"/>
      <c r="I28" s="111"/>
      <c r="J28" s="69"/>
      <c r="K28" s="68"/>
      <c r="L28" s="68"/>
      <c r="M28" s="68"/>
      <c r="N28" s="68"/>
      <c r="O28" s="68"/>
      <c r="P28" s="68"/>
    </row>
    <row r="29" spans="1:16" x14ac:dyDescent="0.3">
      <c r="C29" s="97" t="s">
        <v>423</v>
      </c>
      <c r="D29" s="97" t="s">
        <v>28</v>
      </c>
      <c r="E29" s="101"/>
      <c r="F29" s="51"/>
      <c r="G29" s="52"/>
      <c r="H29" s="52"/>
      <c r="I29" s="109"/>
      <c r="J29" s="99"/>
      <c r="K29" s="100"/>
      <c r="L29" s="100"/>
      <c r="M29" s="100"/>
      <c r="N29" s="100"/>
      <c r="O29" s="100"/>
      <c r="P29" s="100"/>
    </row>
    <row r="30" spans="1:16" x14ac:dyDescent="0.3">
      <c r="C30" s="48" t="s">
        <v>24</v>
      </c>
      <c r="D30" s="49" t="s">
        <v>158</v>
      </c>
      <c r="E30" s="50" t="s">
        <v>14</v>
      </c>
      <c r="F30" s="51"/>
      <c r="G30" s="52"/>
      <c r="H30" s="52"/>
      <c r="I30" s="53"/>
      <c r="J30" s="54"/>
      <c r="K30" s="55"/>
      <c r="L30" s="55"/>
      <c r="M30" s="55"/>
      <c r="N30" s="55"/>
      <c r="O30" s="55"/>
      <c r="P30" s="55">
        <f>SUM(O30:O34)</f>
        <v>2</v>
      </c>
    </row>
    <row r="31" spans="1:16" ht="20.399999999999999" x14ac:dyDescent="0.3">
      <c r="A31" s="104">
        <v>3</v>
      </c>
      <c r="C31" s="48"/>
      <c r="D31" s="83" t="s">
        <v>166</v>
      </c>
      <c r="E31" s="50"/>
      <c r="F31" s="154"/>
      <c r="G31" s="52"/>
      <c r="H31" s="52"/>
      <c r="I31" s="52"/>
      <c r="J31" s="155"/>
      <c r="K31" s="138"/>
      <c r="L31" s="138"/>
      <c r="M31" s="138"/>
      <c r="N31" s="138"/>
      <c r="O31" s="138"/>
      <c r="P31" s="55"/>
    </row>
    <row r="32" spans="1:16" x14ac:dyDescent="0.3">
      <c r="C32" s="48"/>
      <c r="D32" s="79" t="s">
        <v>107</v>
      </c>
      <c r="E32" s="73"/>
      <c r="F32" s="82"/>
      <c r="G32" s="52"/>
      <c r="H32" s="52"/>
      <c r="I32" s="52"/>
      <c r="J32" s="62"/>
      <c r="K32" s="61"/>
      <c r="L32" s="61"/>
      <c r="M32" s="61"/>
      <c r="N32" s="61"/>
      <c r="O32" s="61"/>
      <c r="P32" s="55"/>
    </row>
    <row r="33" spans="1:17" x14ac:dyDescent="0.3">
      <c r="C33" s="48"/>
      <c r="D33" s="80" t="s">
        <v>167</v>
      </c>
      <c r="E33" s="65" t="s">
        <v>14</v>
      </c>
      <c r="F33" s="69">
        <v>2</v>
      </c>
      <c r="G33" s="67"/>
      <c r="H33" s="67"/>
      <c r="I33" s="67"/>
      <c r="J33" s="66">
        <v>1</v>
      </c>
      <c r="K33" s="68"/>
      <c r="L33" s="68"/>
      <c r="M33" s="68"/>
      <c r="N33" s="68"/>
      <c r="O33" s="68">
        <f t="shared" ref="O33" si="0">IF(F33="","",PRODUCT(F33:J33))</f>
        <v>2</v>
      </c>
      <c r="P33" s="55"/>
    </row>
    <row r="34" spans="1:17" x14ac:dyDescent="0.3">
      <c r="C34" s="48"/>
      <c r="D34" s="80"/>
      <c r="E34" s="65"/>
      <c r="F34" s="69"/>
      <c r="G34" s="67"/>
      <c r="H34" s="67"/>
      <c r="I34" s="67"/>
      <c r="J34" s="66"/>
      <c r="K34" s="68"/>
      <c r="L34" s="68"/>
      <c r="M34" s="68"/>
      <c r="N34" s="68"/>
      <c r="O34" s="68"/>
      <c r="P34" s="55"/>
    </row>
    <row r="35" spans="1:17" x14ac:dyDescent="0.3">
      <c r="C35" s="97" t="s">
        <v>426</v>
      </c>
      <c r="D35" s="97" t="s">
        <v>29</v>
      </c>
      <c r="E35" s="101"/>
      <c r="F35" s="51"/>
      <c r="G35" s="52"/>
      <c r="H35" s="52"/>
      <c r="I35" s="109"/>
      <c r="J35" s="99"/>
      <c r="K35" s="100"/>
      <c r="L35" s="100"/>
      <c r="M35" s="100"/>
      <c r="N35" s="100"/>
      <c r="O35" s="100"/>
      <c r="P35" s="100"/>
    </row>
    <row r="36" spans="1:17" x14ac:dyDescent="0.3">
      <c r="C36" s="48" t="s">
        <v>427</v>
      </c>
      <c r="D36" s="49" t="s">
        <v>160</v>
      </c>
      <c r="E36" s="50" t="s">
        <v>13</v>
      </c>
      <c r="F36" s="51"/>
      <c r="G36" s="52"/>
      <c r="H36" s="52"/>
      <c r="I36" s="53"/>
      <c r="J36" s="54"/>
      <c r="K36" s="55"/>
      <c r="L36" s="55"/>
      <c r="M36" s="55"/>
      <c r="N36" s="55"/>
      <c r="O36" s="55"/>
      <c r="P36" s="55">
        <f>SUM(K36:K48)</f>
        <v>149.80000000000001</v>
      </c>
    </row>
    <row r="37" spans="1:17" s="110" customFormat="1" x14ac:dyDescent="0.2">
      <c r="A37" s="285"/>
      <c r="B37" s="124"/>
      <c r="C37" s="63"/>
      <c r="D37" s="80" t="s">
        <v>111</v>
      </c>
      <c r="E37" s="65" t="s">
        <v>13</v>
      </c>
      <c r="F37" s="69">
        <v>7</v>
      </c>
      <c r="G37" s="67">
        <f>(2*2.15)+0.15</f>
        <v>4.45</v>
      </c>
      <c r="H37" s="67"/>
      <c r="I37" s="67"/>
      <c r="J37" s="69">
        <v>1</v>
      </c>
      <c r="K37" s="68">
        <f t="shared" ref="K37:K40" si="1">PRODUCT(F37:J37)</f>
        <v>31.150000000000002</v>
      </c>
      <c r="L37" s="68"/>
      <c r="M37" s="68"/>
      <c r="N37" s="68"/>
      <c r="O37" s="68"/>
      <c r="P37" s="68"/>
      <c r="Q37" s="130"/>
    </row>
    <row r="38" spans="1:17" s="110" customFormat="1" x14ac:dyDescent="0.2">
      <c r="A38" s="285"/>
      <c r="B38" s="124"/>
      <c r="C38" s="178"/>
      <c r="D38" s="80"/>
      <c r="E38" s="65" t="s">
        <v>13</v>
      </c>
      <c r="F38" s="69">
        <v>2</v>
      </c>
      <c r="G38" s="67">
        <f>(2*1.8)+0.15</f>
        <v>3.75</v>
      </c>
      <c r="H38" s="67"/>
      <c r="I38" s="67"/>
      <c r="J38" s="69">
        <v>1</v>
      </c>
      <c r="K38" s="68">
        <f t="shared" si="1"/>
        <v>7.5</v>
      </c>
      <c r="L38" s="68"/>
      <c r="M38" s="179"/>
      <c r="N38" s="179"/>
      <c r="O38" s="179"/>
      <c r="P38" s="68"/>
      <c r="Q38" s="130"/>
    </row>
    <row r="39" spans="1:17" s="110" customFormat="1" x14ac:dyDescent="0.2">
      <c r="A39" s="285"/>
      <c r="B39" s="124"/>
      <c r="C39" s="178"/>
      <c r="D39" s="80"/>
      <c r="E39" s="65" t="s">
        <v>13</v>
      </c>
      <c r="F39" s="69">
        <v>1</v>
      </c>
      <c r="G39" s="67">
        <f>2*3</f>
        <v>6</v>
      </c>
      <c r="H39" s="67"/>
      <c r="I39" s="67"/>
      <c r="J39" s="69">
        <v>1</v>
      </c>
      <c r="K39" s="68">
        <f t="shared" si="1"/>
        <v>6</v>
      </c>
      <c r="L39" s="68"/>
      <c r="M39" s="179"/>
      <c r="N39" s="179"/>
      <c r="O39" s="179"/>
      <c r="P39" s="68"/>
      <c r="Q39" s="130"/>
    </row>
    <row r="40" spans="1:17" s="150" customFormat="1" x14ac:dyDescent="0.2">
      <c r="A40" s="184"/>
      <c r="B40" s="149"/>
      <c r="C40" s="48"/>
      <c r="D40" s="80" t="s">
        <v>112</v>
      </c>
      <c r="E40" s="65" t="s">
        <v>13</v>
      </c>
      <c r="F40" s="69">
        <v>2</v>
      </c>
      <c r="G40" s="67">
        <f>(2*2.17)+0.15</f>
        <v>4.49</v>
      </c>
      <c r="H40" s="67"/>
      <c r="I40" s="67"/>
      <c r="J40" s="69">
        <v>1</v>
      </c>
      <c r="K40" s="68">
        <f t="shared" si="1"/>
        <v>8.98</v>
      </c>
      <c r="L40" s="68"/>
      <c r="M40" s="61"/>
      <c r="N40" s="61"/>
      <c r="O40" s="61"/>
      <c r="P40" s="122"/>
    </row>
    <row r="41" spans="1:17" s="150" customFormat="1" x14ac:dyDescent="0.2">
      <c r="A41" s="184"/>
      <c r="B41" s="149"/>
      <c r="C41" s="63"/>
      <c r="D41" s="80"/>
      <c r="E41" s="65" t="s">
        <v>13</v>
      </c>
      <c r="F41" s="69">
        <v>4</v>
      </c>
      <c r="G41" s="67">
        <f>(2*1.27)+0.15</f>
        <v>2.69</v>
      </c>
      <c r="H41" s="67"/>
      <c r="I41" s="67"/>
      <c r="J41" s="69">
        <v>1</v>
      </c>
      <c r="K41" s="68">
        <f>PRODUCT(F41:J41)</f>
        <v>10.76</v>
      </c>
      <c r="L41" s="68"/>
      <c r="M41" s="68"/>
      <c r="N41" s="68"/>
      <c r="O41" s="68"/>
      <c r="P41" s="68"/>
    </row>
    <row r="42" spans="1:17" s="150" customFormat="1" x14ac:dyDescent="0.2">
      <c r="A42" s="184"/>
      <c r="B42" s="149"/>
      <c r="C42" s="63"/>
      <c r="D42" s="80"/>
      <c r="E42" s="65" t="s">
        <v>13</v>
      </c>
      <c r="F42" s="69">
        <v>1</v>
      </c>
      <c r="G42" s="67">
        <f>2.77+2.73+3.45</f>
        <v>8.9499999999999993</v>
      </c>
      <c r="H42" s="67"/>
      <c r="I42" s="67"/>
      <c r="J42" s="69">
        <v>1</v>
      </c>
      <c r="K42" s="68">
        <f t="shared" ref="K42:K44" si="2">PRODUCT(F42:J42)</f>
        <v>8.9499999999999993</v>
      </c>
      <c r="L42" s="68"/>
      <c r="M42" s="68"/>
      <c r="N42" s="68"/>
      <c r="O42" s="68"/>
      <c r="P42" s="68"/>
    </row>
    <row r="43" spans="1:17" s="150" customFormat="1" x14ac:dyDescent="0.2">
      <c r="A43" s="184"/>
      <c r="B43" s="149"/>
      <c r="C43" s="180"/>
      <c r="D43" s="80"/>
      <c r="E43" s="65" t="s">
        <v>13</v>
      </c>
      <c r="F43" s="69">
        <v>1</v>
      </c>
      <c r="G43" s="67">
        <f>1.63+2.12</f>
        <v>3.75</v>
      </c>
      <c r="H43" s="67"/>
      <c r="I43" s="67"/>
      <c r="J43" s="69">
        <v>1</v>
      </c>
      <c r="K43" s="68">
        <f t="shared" si="2"/>
        <v>3.75</v>
      </c>
      <c r="L43" s="181"/>
      <c r="M43" s="182"/>
      <c r="N43" s="182"/>
      <c r="O43" s="183"/>
      <c r="P43" s="55"/>
    </row>
    <row r="44" spans="1:17" s="150" customFormat="1" x14ac:dyDescent="0.2">
      <c r="A44" s="184"/>
      <c r="B44" s="149"/>
      <c r="C44" s="48"/>
      <c r="D44" s="80" t="s">
        <v>107</v>
      </c>
      <c r="E44" s="65" t="s">
        <v>13</v>
      </c>
      <c r="F44" s="69">
        <v>4</v>
      </c>
      <c r="G44" s="67">
        <f>(2*2.1)+0.15</f>
        <v>4.3500000000000005</v>
      </c>
      <c r="H44" s="67"/>
      <c r="I44" s="67"/>
      <c r="J44" s="69">
        <v>1</v>
      </c>
      <c r="K44" s="68">
        <f t="shared" si="2"/>
        <v>17.400000000000002</v>
      </c>
      <c r="L44" s="68"/>
      <c r="M44" s="61"/>
      <c r="N44" s="61"/>
      <c r="O44" s="61"/>
      <c r="P44" s="122"/>
    </row>
    <row r="45" spans="1:17" s="150" customFormat="1" x14ac:dyDescent="0.2">
      <c r="A45" s="184"/>
      <c r="B45" s="149"/>
      <c r="C45" s="63"/>
      <c r="D45" s="80"/>
      <c r="E45" s="65" t="s">
        <v>13</v>
      </c>
      <c r="F45" s="69">
        <v>4</v>
      </c>
      <c r="G45" s="67">
        <f>(2*1.27)+0.15</f>
        <v>2.69</v>
      </c>
      <c r="H45" s="67"/>
      <c r="I45" s="67"/>
      <c r="J45" s="69">
        <v>1</v>
      </c>
      <c r="K45" s="68">
        <f>PRODUCT(F45:J45)</f>
        <v>10.76</v>
      </c>
      <c r="L45" s="68"/>
      <c r="M45" s="68"/>
      <c r="N45" s="68"/>
      <c r="O45" s="68"/>
      <c r="P45" s="68"/>
    </row>
    <row r="46" spans="1:17" s="150" customFormat="1" x14ac:dyDescent="0.2">
      <c r="A46" s="184"/>
      <c r="B46" s="149"/>
      <c r="C46" s="63"/>
      <c r="D46" s="80"/>
      <c r="E46" s="65" t="s">
        <v>13</v>
      </c>
      <c r="F46" s="69">
        <v>2</v>
      </c>
      <c r="G46" s="67">
        <f>(2*1.2)+0.15</f>
        <v>2.5499999999999998</v>
      </c>
      <c r="H46" s="67"/>
      <c r="I46" s="67"/>
      <c r="J46" s="69">
        <v>1</v>
      </c>
      <c r="K46" s="68">
        <f t="shared" ref="K46:K48" si="3">PRODUCT(F46:J46)</f>
        <v>5.0999999999999996</v>
      </c>
      <c r="L46" s="68"/>
      <c r="M46" s="68"/>
      <c r="N46" s="68"/>
      <c r="O46" s="68"/>
      <c r="P46" s="68"/>
    </row>
    <row r="47" spans="1:17" s="150" customFormat="1" x14ac:dyDescent="0.2">
      <c r="A47" s="184"/>
      <c r="B47" s="149"/>
      <c r="C47" s="180"/>
      <c r="D47" s="80"/>
      <c r="E47" s="65" t="s">
        <v>13</v>
      </c>
      <c r="F47" s="69">
        <v>1</v>
      </c>
      <c r="G47" s="67">
        <f>10+10.45</f>
        <v>20.45</v>
      </c>
      <c r="H47" s="67"/>
      <c r="I47" s="67"/>
      <c r="J47" s="69">
        <v>1</v>
      </c>
      <c r="K47" s="68">
        <f t="shared" si="3"/>
        <v>20.45</v>
      </c>
      <c r="L47" s="181"/>
      <c r="M47" s="182"/>
      <c r="N47" s="182"/>
      <c r="O47" s="183"/>
      <c r="P47" s="55"/>
    </row>
    <row r="48" spans="1:17" s="150" customFormat="1" x14ac:dyDescent="0.2">
      <c r="A48" s="184"/>
      <c r="B48" s="149"/>
      <c r="C48" s="180"/>
      <c r="D48" s="80" t="s">
        <v>189</v>
      </c>
      <c r="E48" s="65" t="s">
        <v>13</v>
      </c>
      <c r="F48" s="69">
        <v>5</v>
      </c>
      <c r="G48" s="67">
        <v>3.8</v>
      </c>
      <c r="H48" s="67"/>
      <c r="I48" s="67"/>
      <c r="J48" s="69">
        <v>1</v>
      </c>
      <c r="K48" s="68">
        <f t="shared" si="3"/>
        <v>19</v>
      </c>
      <c r="L48" s="181"/>
      <c r="M48" s="182"/>
      <c r="N48" s="182"/>
      <c r="O48" s="183"/>
      <c r="P48" s="55"/>
    </row>
    <row r="49" spans="1:16" x14ac:dyDescent="0.3">
      <c r="C49" s="97" t="s">
        <v>428</v>
      </c>
      <c r="D49" s="98" t="s">
        <v>16</v>
      </c>
      <c r="E49" s="88"/>
      <c r="F49" s="51"/>
      <c r="G49" s="52"/>
      <c r="H49" s="52"/>
      <c r="I49" s="52"/>
      <c r="J49" s="59"/>
      <c r="K49" s="60"/>
      <c r="L49" s="60"/>
      <c r="M49" s="100"/>
      <c r="N49" s="100"/>
      <c r="O49" s="100"/>
      <c r="P49" s="100"/>
    </row>
    <row r="50" spans="1:16" ht="12" customHeight="1" x14ac:dyDescent="0.3">
      <c r="A50" s="104">
        <v>3</v>
      </c>
      <c r="C50" s="48" t="s">
        <v>430</v>
      </c>
      <c r="D50" s="77" t="s">
        <v>372</v>
      </c>
      <c r="E50" s="88" t="s">
        <v>13</v>
      </c>
      <c r="F50" s="51"/>
      <c r="G50" s="52"/>
      <c r="H50" s="52"/>
      <c r="I50" s="52"/>
      <c r="J50" s="59"/>
      <c r="K50" s="60"/>
      <c r="L50" s="60" t="str">
        <f>IF(F50="","",PRODUCT(F50:J50))</f>
        <v/>
      </c>
      <c r="M50" s="55"/>
      <c r="N50" s="55"/>
      <c r="O50" s="55"/>
      <c r="P50" s="55">
        <f>SUM(K50:K95)</f>
        <v>274.13</v>
      </c>
    </row>
    <row r="51" spans="1:16" ht="12" customHeight="1" x14ac:dyDescent="0.3">
      <c r="C51" s="48"/>
      <c r="D51" s="75" t="s">
        <v>145</v>
      </c>
      <c r="E51" s="73"/>
      <c r="F51" s="82"/>
      <c r="G51" s="52"/>
      <c r="H51" s="52"/>
      <c r="I51" s="52"/>
      <c r="J51" s="62"/>
      <c r="K51" s="61"/>
      <c r="L51" s="68" t="str">
        <f>IF(F51="","",PRODUCT(F51:J51))</f>
        <v/>
      </c>
      <c r="M51" s="55"/>
      <c r="N51" s="55"/>
      <c r="O51" s="55"/>
      <c r="P51" s="55"/>
    </row>
    <row r="52" spans="1:16" x14ac:dyDescent="0.3">
      <c r="A52" s="104">
        <v>3</v>
      </c>
      <c r="C52" s="48"/>
      <c r="D52" s="81" t="s">
        <v>115</v>
      </c>
      <c r="E52" s="88"/>
      <c r="F52" s="51"/>
      <c r="G52" s="52"/>
      <c r="H52" s="52"/>
      <c r="I52" s="52"/>
      <c r="J52" s="59"/>
      <c r="K52" s="60"/>
      <c r="L52" s="68" t="str">
        <f>IF(F52="","",PRODUCT(F52:J52))</f>
        <v/>
      </c>
      <c r="M52" s="55"/>
      <c r="N52" s="55"/>
      <c r="O52" s="55"/>
      <c r="P52" s="55"/>
    </row>
    <row r="53" spans="1:16" x14ac:dyDescent="0.3">
      <c r="C53" s="48"/>
      <c r="D53" s="80" t="s">
        <v>168</v>
      </c>
      <c r="E53" s="90" t="s">
        <v>13</v>
      </c>
      <c r="F53" s="66">
        <v>17</v>
      </c>
      <c r="G53" s="67">
        <v>2.1</v>
      </c>
      <c r="H53" s="67"/>
      <c r="I53" s="67"/>
      <c r="J53" s="66">
        <v>1</v>
      </c>
      <c r="K53" s="67">
        <f>F53*J53*G53</f>
        <v>35.700000000000003</v>
      </c>
      <c r="L53" s="68"/>
      <c r="M53" s="55"/>
      <c r="N53" s="55"/>
      <c r="O53" s="55"/>
      <c r="P53" s="55"/>
    </row>
    <row r="54" spans="1:16" x14ac:dyDescent="0.3">
      <c r="C54" s="48"/>
      <c r="D54" s="80"/>
      <c r="E54" s="90" t="s">
        <v>13</v>
      </c>
      <c r="F54" s="66">
        <v>38</v>
      </c>
      <c r="G54" s="67">
        <v>1.8</v>
      </c>
      <c r="H54" s="67"/>
      <c r="I54" s="67"/>
      <c r="J54" s="66">
        <v>1</v>
      </c>
      <c r="K54" s="67">
        <f>F54*J54*G54</f>
        <v>68.400000000000006</v>
      </c>
      <c r="L54" s="68"/>
      <c r="M54" s="55"/>
      <c r="N54" s="55"/>
      <c r="O54" s="55"/>
      <c r="P54" s="55"/>
    </row>
    <row r="55" spans="1:16" x14ac:dyDescent="0.3">
      <c r="C55" s="48"/>
      <c r="D55" s="164" t="s">
        <v>169</v>
      </c>
      <c r="E55" s="165" t="s">
        <v>13</v>
      </c>
      <c r="F55" s="166">
        <v>1</v>
      </c>
      <c r="G55" s="111">
        <f>4.1+0.85+3.35+0.85</f>
        <v>9.1499999999999986</v>
      </c>
      <c r="H55" s="111"/>
      <c r="I55" s="111"/>
      <c r="J55" s="166">
        <v>1</v>
      </c>
      <c r="K55" s="111">
        <f>F55*J55*G55</f>
        <v>9.1499999999999986</v>
      </c>
      <c r="L55" s="68"/>
      <c r="M55" s="55"/>
      <c r="N55" s="55"/>
      <c r="O55" s="55"/>
      <c r="P55" s="55"/>
    </row>
    <row r="56" spans="1:16" x14ac:dyDescent="0.3">
      <c r="C56" s="48"/>
      <c r="D56" s="80" t="s">
        <v>170</v>
      </c>
      <c r="E56" s="90" t="s">
        <v>13</v>
      </c>
      <c r="F56" s="66">
        <v>4</v>
      </c>
      <c r="G56" s="67">
        <v>1.2</v>
      </c>
      <c r="H56" s="67"/>
      <c r="I56" s="67"/>
      <c r="J56" s="66">
        <v>1</v>
      </c>
      <c r="K56" s="67">
        <f>F56*J56*G56</f>
        <v>4.8</v>
      </c>
      <c r="L56" s="68"/>
      <c r="M56" s="55"/>
      <c r="N56" s="55"/>
      <c r="O56" s="55"/>
      <c r="P56" s="55"/>
    </row>
    <row r="57" spans="1:16" x14ac:dyDescent="0.3">
      <c r="C57" s="48"/>
      <c r="D57" s="81" t="s">
        <v>139</v>
      </c>
      <c r="E57" s="73"/>
      <c r="F57" s="82"/>
      <c r="G57" s="52"/>
      <c r="H57" s="52"/>
      <c r="I57" s="52"/>
      <c r="J57" s="62"/>
      <c r="K57" s="61"/>
      <c r="L57" s="68"/>
      <c r="M57" s="55"/>
      <c r="N57" s="55"/>
      <c r="O57" s="55"/>
      <c r="P57" s="55"/>
    </row>
    <row r="58" spans="1:16" x14ac:dyDescent="0.3">
      <c r="C58" s="48"/>
      <c r="D58" s="80" t="s">
        <v>169</v>
      </c>
      <c r="E58" s="90" t="s">
        <v>13</v>
      </c>
      <c r="F58" s="66">
        <v>1</v>
      </c>
      <c r="G58" s="67">
        <f>6.5+5.3+0.95+0.6</f>
        <v>13.35</v>
      </c>
      <c r="H58" s="67"/>
      <c r="I58" s="67"/>
      <c r="J58" s="66">
        <v>1</v>
      </c>
      <c r="K58" s="67">
        <f>F58*J58*G58</f>
        <v>13.35</v>
      </c>
      <c r="L58" s="68"/>
      <c r="M58" s="55"/>
      <c r="N58" s="55"/>
      <c r="O58" s="55"/>
      <c r="P58" s="55"/>
    </row>
    <row r="59" spans="1:16" x14ac:dyDescent="0.3">
      <c r="C59" s="48"/>
      <c r="D59" s="80" t="s">
        <v>170</v>
      </c>
      <c r="E59" s="90" t="s">
        <v>13</v>
      </c>
      <c r="F59" s="66">
        <v>10</v>
      </c>
      <c r="G59" s="67">
        <v>1.2</v>
      </c>
      <c r="H59" s="67"/>
      <c r="I59" s="67"/>
      <c r="J59" s="66">
        <v>1</v>
      </c>
      <c r="K59" s="67">
        <f>F59*J59*G59</f>
        <v>12</v>
      </c>
      <c r="L59" s="68"/>
      <c r="M59" s="55"/>
      <c r="N59" s="55"/>
      <c r="O59" s="55"/>
      <c r="P59" s="55"/>
    </row>
    <row r="60" spans="1:16" x14ac:dyDescent="0.3">
      <c r="C60" s="48"/>
      <c r="D60" s="80" t="s">
        <v>171</v>
      </c>
      <c r="E60" s="90" t="s">
        <v>13</v>
      </c>
      <c r="F60" s="66">
        <v>1</v>
      </c>
      <c r="G60" s="67">
        <v>1.8</v>
      </c>
      <c r="H60" s="67"/>
      <c r="I60" s="67"/>
      <c r="J60" s="66">
        <v>1</v>
      </c>
      <c r="K60" s="67">
        <f>F60*J60*G60</f>
        <v>1.8</v>
      </c>
      <c r="L60" s="68"/>
      <c r="M60" s="55"/>
      <c r="N60" s="55"/>
      <c r="O60" s="55"/>
      <c r="P60" s="55"/>
    </row>
    <row r="61" spans="1:16" x14ac:dyDescent="0.3">
      <c r="C61" s="48"/>
      <c r="D61" s="80" t="s">
        <v>172</v>
      </c>
      <c r="E61" s="90" t="s">
        <v>13</v>
      </c>
      <c r="F61" s="66">
        <v>1</v>
      </c>
      <c r="G61" s="67">
        <v>1.2</v>
      </c>
      <c r="H61" s="67"/>
      <c r="I61" s="67"/>
      <c r="J61" s="66">
        <v>1</v>
      </c>
      <c r="K61" s="67">
        <f>F61*J61*G61</f>
        <v>1.2</v>
      </c>
      <c r="L61" s="68"/>
      <c r="M61" s="55"/>
      <c r="N61" s="55"/>
      <c r="O61" s="55"/>
      <c r="P61" s="55"/>
    </row>
    <row r="62" spans="1:16" x14ac:dyDescent="0.3">
      <c r="C62" s="48"/>
      <c r="D62" s="81" t="s">
        <v>138</v>
      </c>
      <c r="E62" s="73"/>
      <c r="F62" s="82"/>
      <c r="G62" s="52"/>
      <c r="H62" s="52"/>
      <c r="I62" s="52"/>
      <c r="J62" s="62"/>
      <c r="K62" s="61"/>
      <c r="L62" s="68"/>
      <c r="M62" s="55"/>
      <c r="N62" s="55"/>
      <c r="O62" s="55"/>
      <c r="P62" s="55"/>
    </row>
    <row r="63" spans="1:16" x14ac:dyDescent="0.3">
      <c r="C63" s="48"/>
      <c r="D63" s="80" t="s">
        <v>169</v>
      </c>
      <c r="E63" s="90" t="s">
        <v>13</v>
      </c>
      <c r="F63" s="66">
        <v>1</v>
      </c>
      <c r="G63" s="67">
        <f>6.4+0.8+3.07+0.95+0.6</f>
        <v>11.819999999999999</v>
      </c>
      <c r="H63" s="67"/>
      <c r="I63" s="67"/>
      <c r="J63" s="66">
        <v>1</v>
      </c>
      <c r="K63" s="67">
        <f>F63*J63*G63</f>
        <v>11.819999999999999</v>
      </c>
      <c r="L63" s="68"/>
      <c r="M63" s="55"/>
      <c r="N63" s="55"/>
      <c r="O63" s="55"/>
      <c r="P63" s="55"/>
    </row>
    <row r="64" spans="1:16" x14ac:dyDescent="0.3">
      <c r="C64" s="48"/>
      <c r="D64" s="80" t="s">
        <v>170</v>
      </c>
      <c r="E64" s="90" t="s">
        <v>13</v>
      </c>
      <c r="F64" s="66">
        <v>10</v>
      </c>
      <c r="G64" s="67">
        <v>1.2</v>
      </c>
      <c r="H64" s="67"/>
      <c r="I64" s="67"/>
      <c r="J64" s="66">
        <v>1</v>
      </c>
      <c r="K64" s="67">
        <f>F64*J64*G64</f>
        <v>12</v>
      </c>
      <c r="L64" s="68"/>
      <c r="M64" s="55"/>
      <c r="N64" s="55"/>
      <c r="O64" s="55"/>
      <c r="P64" s="55"/>
    </row>
    <row r="65" spans="3:16" x14ac:dyDescent="0.3">
      <c r="C65" s="48"/>
      <c r="D65" s="80" t="s">
        <v>171</v>
      </c>
      <c r="E65" s="90" t="s">
        <v>13</v>
      </c>
      <c r="F65" s="66">
        <v>2</v>
      </c>
      <c r="G65" s="67">
        <v>2.1</v>
      </c>
      <c r="H65" s="67"/>
      <c r="I65" s="67"/>
      <c r="J65" s="66">
        <v>1</v>
      </c>
      <c r="K65" s="67">
        <f>F65*J65*G65</f>
        <v>4.2</v>
      </c>
      <c r="L65" s="68"/>
      <c r="M65" s="55"/>
      <c r="N65" s="55"/>
      <c r="O65" s="55"/>
      <c r="P65" s="55"/>
    </row>
    <row r="66" spans="3:16" x14ac:dyDescent="0.3">
      <c r="C66" s="48"/>
      <c r="D66" s="75"/>
      <c r="E66" s="73"/>
      <c r="F66" s="82"/>
      <c r="G66" s="52"/>
      <c r="H66" s="52"/>
      <c r="I66" s="52"/>
      <c r="J66" s="62"/>
      <c r="K66" s="61"/>
      <c r="L66" s="68"/>
      <c r="M66" s="55"/>
      <c r="N66" s="55"/>
      <c r="O66" s="55"/>
      <c r="P66" s="55"/>
    </row>
    <row r="67" spans="3:16" x14ac:dyDescent="0.3">
      <c r="C67" s="48"/>
      <c r="D67" s="75" t="s">
        <v>127</v>
      </c>
      <c r="E67" s="73"/>
      <c r="F67" s="82"/>
      <c r="G67" s="52"/>
      <c r="H67" s="52"/>
      <c r="I67" s="52"/>
      <c r="J67" s="62"/>
      <c r="K67" s="61"/>
      <c r="L67" s="68"/>
      <c r="M67" s="55"/>
      <c r="N67" s="55"/>
      <c r="O67" s="55"/>
      <c r="P67" s="55"/>
    </row>
    <row r="68" spans="3:16" x14ac:dyDescent="0.3">
      <c r="C68" s="48"/>
      <c r="D68" s="81" t="s">
        <v>139</v>
      </c>
      <c r="E68" s="73"/>
      <c r="F68" s="82"/>
      <c r="G68" s="52"/>
      <c r="H68" s="52"/>
      <c r="I68" s="52"/>
      <c r="J68" s="62"/>
      <c r="K68" s="61"/>
      <c r="L68" s="68"/>
      <c r="M68" s="55"/>
      <c r="N68" s="55"/>
      <c r="O68" s="55"/>
      <c r="P68" s="55"/>
    </row>
    <row r="69" spans="3:16" x14ac:dyDescent="0.3">
      <c r="C69" s="48"/>
      <c r="D69" s="80" t="s">
        <v>173</v>
      </c>
      <c r="E69" s="90" t="s">
        <v>13</v>
      </c>
      <c r="F69" s="66">
        <v>1</v>
      </c>
      <c r="G69" s="67">
        <v>13.1</v>
      </c>
      <c r="H69" s="67"/>
      <c r="I69" s="67"/>
      <c r="J69" s="66">
        <v>1</v>
      </c>
      <c r="K69" s="67">
        <f>F69*J69*G69</f>
        <v>13.1</v>
      </c>
      <c r="L69" s="68"/>
      <c r="M69" s="55"/>
      <c r="N69" s="55"/>
      <c r="O69" s="55"/>
      <c r="P69" s="55"/>
    </row>
    <row r="70" spans="3:16" x14ac:dyDescent="0.3">
      <c r="C70" s="48"/>
      <c r="D70" s="80" t="s">
        <v>174</v>
      </c>
      <c r="E70" s="90" t="s">
        <v>13</v>
      </c>
      <c r="F70" s="66">
        <v>1</v>
      </c>
      <c r="G70" s="67">
        <v>3.4499999999999997</v>
      </c>
      <c r="H70" s="67"/>
      <c r="I70" s="67"/>
      <c r="J70" s="66">
        <v>1</v>
      </c>
      <c r="K70" s="67">
        <f t="shared" ref="K70:K74" si="4">F70*J70*G70</f>
        <v>3.4499999999999997</v>
      </c>
      <c r="L70" s="68"/>
      <c r="M70" s="55"/>
      <c r="N70" s="55"/>
      <c r="O70" s="55"/>
      <c r="P70" s="55"/>
    </row>
    <row r="71" spans="3:16" x14ac:dyDescent="0.3">
      <c r="C71" s="48"/>
      <c r="D71" s="80" t="s">
        <v>175</v>
      </c>
      <c r="E71" s="90" t="s">
        <v>13</v>
      </c>
      <c r="F71" s="66">
        <v>1</v>
      </c>
      <c r="G71" s="67">
        <v>2.8</v>
      </c>
      <c r="H71" s="67"/>
      <c r="I71" s="67"/>
      <c r="J71" s="66">
        <v>1</v>
      </c>
      <c r="K71" s="67">
        <f t="shared" si="4"/>
        <v>2.8</v>
      </c>
      <c r="L71" s="68"/>
      <c r="M71" s="55"/>
      <c r="N71" s="55"/>
      <c r="O71" s="55"/>
      <c r="P71" s="55"/>
    </row>
    <row r="72" spans="3:16" x14ac:dyDescent="0.3">
      <c r="C72" s="48"/>
      <c r="D72" s="80" t="s">
        <v>176</v>
      </c>
      <c r="E72" s="90" t="s">
        <v>13</v>
      </c>
      <c r="F72" s="66">
        <v>1</v>
      </c>
      <c r="G72" s="67">
        <v>2.8</v>
      </c>
      <c r="H72" s="67"/>
      <c r="I72" s="67"/>
      <c r="J72" s="66">
        <v>1</v>
      </c>
      <c r="K72" s="67">
        <f t="shared" si="4"/>
        <v>2.8</v>
      </c>
      <c r="L72" s="68"/>
      <c r="M72" s="55"/>
      <c r="N72" s="55"/>
      <c r="O72" s="55"/>
      <c r="P72" s="55"/>
    </row>
    <row r="73" spans="3:16" x14ac:dyDescent="0.3">
      <c r="C73" s="48"/>
      <c r="D73" s="80" t="s">
        <v>177</v>
      </c>
      <c r="E73" s="90" t="s">
        <v>13</v>
      </c>
      <c r="F73" s="66">
        <v>1</v>
      </c>
      <c r="G73" s="67">
        <v>5.9</v>
      </c>
      <c r="H73" s="67"/>
      <c r="I73" s="67"/>
      <c r="J73" s="66">
        <v>1</v>
      </c>
      <c r="K73" s="67">
        <f t="shared" si="4"/>
        <v>5.9</v>
      </c>
      <c r="L73" s="68"/>
      <c r="M73" s="55"/>
      <c r="N73" s="55"/>
      <c r="O73" s="55"/>
      <c r="P73" s="55"/>
    </row>
    <row r="74" spans="3:16" x14ac:dyDescent="0.3">
      <c r="C74" s="48"/>
      <c r="D74" s="80" t="s">
        <v>178</v>
      </c>
      <c r="E74" s="90" t="s">
        <v>13</v>
      </c>
      <c r="F74" s="66">
        <v>1</v>
      </c>
      <c r="G74" s="67">
        <v>15.400000000000002</v>
      </c>
      <c r="H74" s="67"/>
      <c r="I74" s="67"/>
      <c r="J74" s="66">
        <v>1</v>
      </c>
      <c r="K74" s="67">
        <f t="shared" si="4"/>
        <v>15.400000000000002</v>
      </c>
      <c r="L74" s="68"/>
      <c r="M74" s="55"/>
      <c r="N74" s="55"/>
      <c r="O74" s="55"/>
      <c r="P74" s="55"/>
    </row>
    <row r="75" spans="3:16" x14ac:dyDescent="0.3">
      <c r="C75" s="48"/>
      <c r="D75" s="80" t="s">
        <v>179</v>
      </c>
      <c r="E75" s="90" t="s">
        <v>13</v>
      </c>
      <c r="F75" s="66">
        <v>15</v>
      </c>
      <c r="G75" s="67"/>
      <c r="H75" s="67"/>
      <c r="I75" s="67">
        <v>0.1</v>
      </c>
      <c r="J75" s="66">
        <v>1</v>
      </c>
      <c r="K75" s="67">
        <f>F75*J75*I75</f>
        <v>1.5</v>
      </c>
      <c r="L75" s="68"/>
      <c r="M75" s="55"/>
      <c r="N75" s="55"/>
      <c r="O75" s="55"/>
      <c r="P75" s="55"/>
    </row>
    <row r="76" spans="3:16" x14ac:dyDescent="0.3">
      <c r="C76" s="48"/>
      <c r="D76" s="81" t="s">
        <v>138</v>
      </c>
      <c r="E76" s="73"/>
      <c r="F76" s="82"/>
      <c r="G76" s="52"/>
      <c r="H76" s="52"/>
      <c r="I76" s="52"/>
      <c r="J76" s="62"/>
      <c r="K76" s="61"/>
      <c r="L76" s="68"/>
      <c r="M76" s="55"/>
      <c r="N76" s="55"/>
      <c r="O76" s="55"/>
      <c r="P76" s="55"/>
    </row>
    <row r="77" spans="3:16" x14ac:dyDescent="0.3">
      <c r="C77" s="48"/>
      <c r="D77" s="80" t="s">
        <v>180</v>
      </c>
      <c r="E77" s="90" t="s">
        <v>13</v>
      </c>
      <c r="F77" s="66">
        <v>1</v>
      </c>
      <c r="G77" s="67">
        <v>21.060000000000002</v>
      </c>
      <c r="H77" s="67"/>
      <c r="I77" s="67"/>
      <c r="J77" s="66">
        <v>1</v>
      </c>
      <c r="K77" s="67">
        <f>F77*J77*G77</f>
        <v>21.060000000000002</v>
      </c>
      <c r="L77" s="68"/>
      <c r="M77" s="55"/>
      <c r="N77" s="55"/>
      <c r="O77" s="55"/>
      <c r="P77" s="55"/>
    </row>
    <row r="78" spans="3:16" x14ac:dyDescent="0.3">
      <c r="C78" s="48"/>
      <c r="D78" s="80" t="s">
        <v>181</v>
      </c>
      <c r="E78" s="90" t="s">
        <v>13</v>
      </c>
      <c r="F78" s="66">
        <v>1</v>
      </c>
      <c r="G78" s="67">
        <v>16.599999999999998</v>
      </c>
      <c r="H78" s="67"/>
      <c r="I78" s="67"/>
      <c r="J78" s="66">
        <v>1</v>
      </c>
      <c r="K78" s="67">
        <f>F78*J78*G78</f>
        <v>16.599999999999998</v>
      </c>
      <c r="L78" s="68"/>
      <c r="M78" s="55"/>
      <c r="N78" s="55"/>
      <c r="O78" s="55"/>
      <c r="P78" s="55"/>
    </row>
    <row r="79" spans="3:16" x14ac:dyDescent="0.3">
      <c r="C79" s="48"/>
      <c r="D79" s="80" t="s">
        <v>179</v>
      </c>
      <c r="E79" s="90" t="s">
        <v>13</v>
      </c>
      <c r="F79" s="66">
        <v>14</v>
      </c>
      <c r="G79" s="67"/>
      <c r="H79" s="67"/>
      <c r="I79" s="67">
        <v>0.1</v>
      </c>
      <c r="J79" s="66">
        <v>1</v>
      </c>
      <c r="K79" s="67">
        <f>F79*J79*I79</f>
        <v>1.4000000000000001</v>
      </c>
      <c r="L79" s="68"/>
      <c r="M79" s="55"/>
      <c r="N79" s="55"/>
      <c r="O79" s="55"/>
      <c r="P79" s="55"/>
    </row>
    <row r="80" spans="3:16" x14ac:dyDescent="0.3">
      <c r="C80" s="48"/>
      <c r="D80" s="75"/>
      <c r="E80" s="73"/>
      <c r="F80" s="82"/>
      <c r="G80" s="52"/>
      <c r="H80" s="52"/>
      <c r="I80" s="52"/>
      <c r="J80" s="62"/>
      <c r="K80" s="61"/>
      <c r="L80" s="68"/>
      <c r="M80" s="55"/>
      <c r="N80" s="55"/>
      <c r="O80" s="55"/>
      <c r="P80" s="55"/>
    </row>
    <row r="81" spans="1:16" x14ac:dyDescent="0.3">
      <c r="C81" s="48"/>
      <c r="D81" s="75" t="s">
        <v>182</v>
      </c>
      <c r="E81" s="73"/>
      <c r="F81" s="82"/>
      <c r="G81" s="52"/>
      <c r="H81" s="52"/>
      <c r="I81" s="52"/>
      <c r="J81" s="62"/>
      <c r="K81" s="61"/>
      <c r="L81" s="68"/>
      <c r="M81" s="55"/>
      <c r="N81" s="55"/>
      <c r="O81" s="55"/>
      <c r="P81" s="55"/>
    </row>
    <row r="82" spans="1:16" x14ac:dyDescent="0.3">
      <c r="C82" s="48"/>
      <c r="D82" s="81" t="s">
        <v>115</v>
      </c>
      <c r="E82" s="88"/>
      <c r="F82" s="51"/>
      <c r="G82" s="52"/>
      <c r="H82" s="52"/>
      <c r="I82" s="52"/>
      <c r="J82" s="59"/>
      <c r="K82" s="60"/>
      <c r="L82" s="68"/>
      <c r="M82" s="55"/>
      <c r="N82" s="55"/>
      <c r="O82" s="55"/>
      <c r="P82" s="55"/>
    </row>
    <row r="83" spans="1:16" x14ac:dyDescent="0.3">
      <c r="C83" s="48"/>
      <c r="D83" s="80" t="s">
        <v>183</v>
      </c>
      <c r="E83" s="90" t="s">
        <v>13</v>
      </c>
      <c r="F83" s="66">
        <v>1</v>
      </c>
      <c r="G83" s="67">
        <v>3.6</v>
      </c>
      <c r="H83" s="67"/>
      <c r="I83" s="67"/>
      <c r="J83" s="66">
        <v>1</v>
      </c>
      <c r="K83" s="67">
        <f t="shared" ref="K83:K86" si="5">F83*J83*G83</f>
        <v>3.6</v>
      </c>
      <c r="L83" s="68"/>
      <c r="M83" s="55"/>
      <c r="N83" s="55"/>
      <c r="O83" s="55"/>
      <c r="P83" s="55"/>
    </row>
    <row r="84" spans="1:16" x14ac:dyDescent="0.3">
      <c r="C84" s="48"/>
      <c r="D84" s="81"/>
      <c r="E84" s="90" t="s">
        <v>13</v>
      </c>
      <c r="F84" s="66">
        <v>2</v>
      </c>
      <c r="G84" s="67">
        <v>0.6</v>
      </c>
      <c r="H84" s="67"/>
      <c r="I84" s="67"/>
      <c r="J84" s="66">
        <v>1</v>
      </c>
      <c r="K84" s="67">
        <f t="shared" si="5"/>
        <v>1.2</v>
      </c>
      <c r="L84" s="68"/>
      <c r="M84" s="55"/>
      <c r="N84" s="55"/>
      <c r="O84" s="55"/>
      <c r="P84" s="55"/>
    </row>
    <row r="85" spans="1:16" x14ac:dyDescent="0.3">
      <c r="C85" s="48"/>
      <c r="D85" s="80" t="s">
        <v>184</v>
      </c>
      <c r="E85" s="90" t="s">
        <v>13</v>
      </c>
      <c r="F85" s="66">
        <v>2</v>
      </c>
      <c r="G85" s="67">
        <v>0.85</v>
      </c>
      <c r="H85" s="67"/>
      <c r="I85" s="67"/>
      <c r="J85" s="66">
        <v>1</v>
      </c>
      <c r="K85" s="67">
        <f t="shared" si="5"/>
        <v>1.7</v>
      </c>
      <c r="L85" s="68"/>
      <c r="M85" s="55"/>
      <c r="N85" s="55"/>
      <c r="O85" s="55"/>
      <c r="P85" s="55"/>
    </row>
    <row r="86" spans="1:16" x14ac:dyDescent="0.3">
      <c r="C86" s="48"/>
      <c r="D86" s="80"/>
      <c r="E86" s="90" t="s">
        <v>13</v>
      </c>
      <c r="F86" s="66">
        <v>4</v>
      </c>
      <c r="G86" s="67">
        <v>0.75</v>
      </c>
      <c r="H86" s="67"/>
      <c r="I86" s="67"/>
      <c r="J86" s="66">
        <v>1</v>
      </c>
      <c r="K86" s="67">
        <f t="shared" si="5"/>
        <v>3</v>
      </c>
      <c r="L86" s="68"/>
      <c r="M86" s="55"/>
      <c r="N86" s="55"/>
      <c r="O86" s="55"/>
      <c r="P86" s="55"/>
    </row>
    <row r="87" spans="1:16" x14ac:dyDescent="0.3">
      <c r="C87" s="48"/>
      <c r="D87" s="75"/>
      <c r="E87" s="73"/>
      <c r="F87" s="82"/>
      <c r="G87" s="52"/>
      <c r="H87" s="52"/>
      <c r="I87" s="52"/>
      <c r="J87" s="62"/>
      <c r="K87" s="61"/>
      <c r="L87" s="68"/>
      <c r="M87" s="55"/>
      <c r="N87" s="55"/>
      <c r="O87" s="55"/>
      <c r="P87" s="55"/>
    </row>
    <row r="88" spans="1:16" x14ac:dyDescent="0.3">
      <c r="C88" s="48"/>
      <c r="D88" s="75" t="s">
        <v>144</v>
      </c>
      <c r="E88" s="73"/>
      <c r="F88" s="82"/>
      <c r="G88" s="52"/>
      <c r="H88" s="52"/>
      <c r="I88" s="52"/>
      <c r="J88" s="62"/>
      <c r="K88" s="61"/>
      <c r="L88" s="68"/>
      <c r="M88" s="55"/>
      <c r="N88" s="55"/>
      <c r="O88" s="55"/>
      <c r="P88" s="55"/>
    </row>
    <row r="89" spans="1:16" x14ac:dyDescent="0.3">
      <c r="C89" s="87"/>
      <c r="D89" s="81" t="s">
        <v>115</v>
      </c>
      <c r="E89" s="88"/>
      <c r="F89" s="51"/>
      <c r="G89" s="52"/>
      <c r="H89" s="52"/>
      <c r="I89" s="52"/>
      <c r="J89" s="59"/>
      <c r="K89" s="60"/>
      <c r="L89" s="61"/>
      <c r="M89" s="61"/>
      <c r="N89" s="61"/>
      <c r="O89" s="61"/>
      <c r="P89" s="61"/>
    </row>
    <row r="90" spans="1:16" x14ac:dyDescent="0.3">
      <c r="A90" s="104">
        <v>3</v>
      </c>
      <c r="C90" s="97"/>
      <c r="D90" s="80" t="s">
        <v>183</v>
      </c>
      <c r="E90" s="90" t="s">
        <v>13</v>
      </c>
      <c r="F90" s="66">
        <v>2</v>
      </c>
      <c r="G90" s="67">
        <v>0.6</v>
      </c>
      <c r="H90" s="67"/>
      <c r="I90" s="67"/>
      <c r="J90" s="66">
        <v>2</v>
      </c>
      <c r="K90" s="67">
        <f t="shared" ref="K90:K91" si="6">F90*J90*G90</f>
        <v>2.4</v>
      </c>
      <c r="L90" s="61"/>
      <c r="M90" s="61"/>
      <c r="N90" s="61"/>
      <c r="O90" s="61"/>
      <c r="P90" s="61"/>
    </row>
    <row r="91" spans="1:16" x14ac:dyDescent="0.3">
      <c r="C91" s="286"/>
      <c r="D91" s="81"/>
      <c r="E91" s="90" t="s">
        <v>13</v>
      </c>
      <c r="F91" s="66">
        <v>2</v>
      </c>
      <c r="G91" s="67">
        <v>0.9</v>
      </c>
      <c r="H91" s="67"/>
      <c r="I91" s="67"/>
      <c r="J91" s="66">
        <v>1</v>
      </c>
      <c r="K91" s="67">
        <f t="shared" si="6"/>
        <v>1.8</v>
      </c>
      <c r="L91" s="61"/>
      <c r="M91" s="61"/>
      <c r="N91" s="61"/>
      <c r="O91" s="61"/>
      <c r="P91" s="287"/>
    </row>
    <row r="92" spans="1:16" x14ac:dyDescent="0.3">
      <c r="C92" s="56"/>
      <c r="D92" s="81" t="s">
        <v>139</v>
      </c>
      <c r="E92" s="73"/>
      <c r="F92" s="82"/>
      <c r="G92" s="52"/>
      <c r="H92" s="52"/>
      <c r="I92" s="52"/>
      <c r="J92" s="62"/>
      <c r="K92" s="61"/>
      <c r="L92" s="68"/>
      <c r="M92" s="68"/>
      <c r="N92" s="68"/>
      <c r="O92" s="68"/>
      <c r="P92" s="68"/>
    </row>
    <row r="93" spans="1:16" x14ac:dyDescent="0.3">
      <c r="C93" s="56"/>
      <c r="D93" s="80" t="s">
        <v>174</v>
      </c>
      <c r="E93" s="90" t="s">
        <v>13</v>
      </c>
      <c r="F93" s="66">
        <v>2</v>
      </c>
      <c r="G93" s="67">
        <v>0.95</v>
      </c>
      <c r="H93" s="67"/>
      <c r="I93" s="67"/>
      <c r="J93" s="66">
        <v>1</v>
      </c>
      <c r="K93" s="67">
        <f t="shared" ref="K93" si="7">F93*J93*G93</f>
        <v>1.9</v>
      </c>
      <c r="L93" s="68"/>
      <c r="M93" s="68"/>
      <c r="N93" s="68"/>
      <c r="O93" s="68"/>
      <c r="P93" s="68"/>
    </row>
    <row r="94" spans="1:16" x14ac:dyDescent="0.3">
      <c r="C94" s="63"/>
      <c r="D94" s="80" t="s">
        <v>179</v>
      </c>
      <c r="E94" s="90" t="s">
        <v>13</v>
      </c>
      <c r="F94" s="66">
        <v>1</v>
      </c>
      <c r="G94" s="67"/>
      <c r="H94" s="67"/>
      <c r="I94" s="67">
        <v>0.1</v>
      </c>
      <c r="J94" s="66">
        <v>1</v>
      </c>
      <c r="K94" s="67">
        <f>F94*J94*I94</f>
        <v>0.1</v>
      </c>
      <c r="L94" s="68"/>
      <c r="M94" s="68"/>
      <c r="N94" s="68"/>
      <c r="O94" s="68"/>
      <c r="P94" s="68"/>
    </row>
    <row r="95" spans="1:16" x14ac:dyDescent="0.3">
      <c r="C95" s="63"/>
      <c r="D95" s="80"/>
      <c r="E95" s="90"/>
      <c r="F95" s="66"/>
      <c r="G95" s="67"/>
      <c r="H95" s="67"/>
      <c r="I95" s="67"/>
      <c r="J95" s="66"/>
      <c r="K95" s="67"/>
      <c r="L95" s="68"/>
      <c r="M95" s="68"/>
      <c r="N95" s="68"/>
      <c r="O95" s="68"/>
      <c r="P95" s="68"/>
    </row>
    <row r="96" spans="1:16" x14ac:dyDescent="0.3">
      <c r="C96" s="56" t="s">
        <v>442</v>
      </c>
      <c r="D96" s="95" t="s">
        <v>161</v>
      </c>
      <c r="E96" s="65" t="s">
        <v>12</v>
      </c>
      <c r="F96" s="66"/>
      <c r="G96" s="67"/>
      <c r="H96" s="67"/>
      <c r="I96" s="68"/>
      <c r="J96" s="69"/>
      <c r="K96" s="68"/>
      <c r="L96" s="68"/>
      <c r="M96" s="68"/>
      <c r="N96" s="68"/>
      <c r="O96" s="68"/>
      <c r="P96" s="55">
        <f>SUM(O96:O98)</f>
        <v>1</v>
      </c>
    </row>
    <row r="97" spans="3:16" x14ac:dyDescent="0.3">
      <c r="C97" s="56"/>
      <c r="D97" s="64" t="s">
        <v>161</v>
      </c>
      <c r="E97" s="65" t="s">
        <v>14</v>
      </c>
      <c r="F97" s="69">
        <v>1</v>
      </c>
      <c r="G97" s="67">
        <v>1</v>
      </c>
      <c r="H97" s="67"/>
      <c r="I97" s="67"/>
      <c r="J97" s="69"/>
      <c r="K97" s="68"/>
      <c r="L97" s="68"/>
      <c r="M97" s="68"/>
      <c r="N97" s="68"/>
      <c r="O97" s="68">
        <v>1</v>
      </c>
      <c r="P97" s="55"/>
    </row>
    <row r="98" spans="3:16" x14ac:dyDescent="0.3">
      <c r="C98" s="63"/>
      <c r="D98" s="64"/>
      <c r="E98" s="65"/>
      <c r="F98" s="69"/>
      <c r="G98" s="67"/>
      <c r="H98" s="67"/>
      <c r="I98" s="67"/>
      <c r="J98" s="69"/>
      <c r="K98" s="68"/>
      <c r="L98" s="68"/>
      <c r="M98" s="68"/>
      <c r="N98" s="68"/>
      <c r="O98" s="68"/>
      <c r="P98" s="68"/>
    </row>
    <row r="99" spans="3:16" x14ac:dyDescent="0.3">
      <c r="C99" s="288"/>
      <c r="D99" s="289"/>
      <c r="E99" s="290"/>
      <c r="F99" s="291"/>
      <c r="G99" s="176"/>
      <c r="H99" s="176"/>
      <c r="I99" s="176"/>
      <c r="J99" s="291"/>
      <c r="K99" s="177"/>
      <c r="L99" s="177"/>
      <c r="M99" s="177"/>
      <c r="N99" s="177"/>
      <c r="O99" s="177"/>
      <c r="P99" s="177"/>
    </row>
    <row r="100" spans="3:16" x14ac:dyDescent="0.3">
      <c r="C100" s="288"/>
      <c r="D100" s="289"/>
      <c r="E100" s="290"/>
      <c r="F100" s="175"/>
      <c r="G100" s="176"/>
      <c r="H100" s="176"/>
      <c r="I100" s="177"/>
      <c r="J100" s="291"/>
      <c r="K100" s="177"/>
      <c r="L100" s="177"/>
      <c r="M100" s="177"/>
      <c r="N100" s="177"/>
      <c r="O100" s="177"/>
      <c r="P100" s="177"/>
    </row>
    <row r="101" spans="3:16" x14ac:dyDescent="0.3">
      <c r="C101" s="288"/>
      <c r="D101" s="289"/>
      <c r="E101" s="290"/>
      <c r="F101" s="175"/>
      <c r="G101" s="176"/>
      <c r="H101" s="176"/>
      <c r="I101" s="177"/>
      <c r="J101" s="291"/>
      <c r="K101" s="177"/>
      <c r="L101" s="177"/>
      <c r="M101" s="177"/>
      <c r="N101" s="177"/>
      <c r="O101" s="177"/>
      <c r="P101" s="177"/>
    </row>
    <row r="102" spans="3:16" x14ac:dyDescent="0.3">
      <c r="C102" s="288"/>
      <c r="D102" s="289"/>
      <c r="E102" s="290"/>
      <c r="F102" s="175"/>
      <c r="G102" s="176"/>
      <c r="H102" s="176"/>
      <c r="I102" s="177"/>
      <c r="J102" s="291"/>
      <c r="K102" s="177"/>
      <c r="L102" s="177"/>
      <c r="M102" s="177"/>
      <c r="N102" s="177"/>
      <c r="O102" s="177"/>
      <c r="P102" s="177"/>
    </row>
    <row r="103" spans="3:16" x14ac:dyDescent="0.3">
      <c r="C103" s="288"/>
      <c r="D103" s="289"/>
      <c r="E103" s="290"/>
      <c r="F103" s="175"/>
      <c r="G103" s="176"/>
      <c r="H103" s="176"/>
      <c r="I103" s="177"/>
      <c r="J103" s="291"/>
      <c r="K103" s="177"/>
      <c r="L103" s="177"/>
      <c r="M103" s="177"/>
      <c r="N103" s="177"/>
      <c r="O103" s="177"/>
      <c r="P103" s="177"/>
    </row>
    <row r="104" spans="3:16" x14ac:dyDescent="0.3">
      <c r="C104" s="288"/>
      <c r="D104" s="289"/>
      <c r="E104" s="290"/>
      <c r="F104" s="175"/>
      <c r="G104" s="176"/>
      <c r="H104" s="176"/>
      <c r="I104" s="177"/>
      <c r="J104" s="291"/>
      <c r="K104" s="177"/>
      <c r="L104" s="177"/>
      <c r="M104" s="177"/>
      <c r="N104" s="177"/>
      <c r="O104" s="177"/>
      <c r="P104" s="177"/>
    </row>
    <row r="105" spans="3:16" x14ac:dyDescent="0.3">
      <c r="C105" s="288"/>
      <c r="D105" s="289"/>
      <c r="E105" s="290"/>
      <c r="F105" s="175"/>
      <c r="G105" s="176"/>
      <c r="H105" s="176"/>
      <c r="I105" s="177"/>
      <c r="J105" s="291"/>
      <c r="K105" s="177"/>
      <c r="L105" s="177"/>
      <c r="M105" s="177"/>
      <c r="N105" s="177"/>
      <c r="O105" s="177"/>
      <c r="P105" s="177"/>
    </row>
    <row r="106" spans="3:16" x14ac:dyDescent="0.3">
      <c r="C106" s="288"/>
      <c r="D106" s="289"/>
      <c r="E106" s="290"/>
      <c r="F106" s="175"/>
      <c r="G106" s="176"/>
      <c r="H106" s="176"/>
      <c r="I106" s="177"/>
      <c r="J106" s="291"/>
      <c r="K106" s="177"/>
      <c r="L106" s="177"/>
      <c r="M106" s="177"/>
      <c r="N106" s="177"/>
      <c r="O106" s="177"/>
      <c r="P106" s="177"/>
    </row>
    <row r="107" spans="3:16" x14ac:dyDescent="0.3">
      <c r="C107" s="288"/>
      <c r="D107" s="289"/>
      <c r="E107" s="290"/>
      <c r="F107" s="175"/>
      <c r="G107" s="176"/>
      <c r="H107" s="176"/>
      <c r="I107" s="177"/>
      <c r="J107" s="291"/>
      <c r="K107" s="177"/>
      <c r="L107" s="177"/>
      <c r="M107" s="177"/>
      <c r="N107" s="177"/>
      <c r="O107" s="177"/>
      <c r="P107" s="177"/>
    </row>
    <row r="108" spans="3:16" x14ac:dyDescent="0.3">
      <c r="C108" s="288"/>
      <c r="D108" s="289"/>
      <c r="E108" s="290"/>
      <c r="F108" s="175"/>
      <c r="G108" s="176"/>
      <c r="H108" s="176"/>
      <c r="I108" s="177"/>
      <c r="J108" s="291"/>
      <c r="K108" s="177"/>
      <c r="L108" s="177"/>
      <c r="M108" s="177"/>
      <c r="N108" s="177"/>
      <c r="O108" s="177"/>
      <c r="P108" s="177"/>
    </row>
    <row r="109" spans="3:16" x14ac:dyDescent="0.3">
      <c r="C109" s="288"/>
      <c r="D109" s="289"/>
      <c r="E109" s="290"/>
      <c r="F109" s="175"/>
      <c r="G109" s="176"/>
      <c r="H109" s="176"/>
      <c r="I109" s="177"/>
      <c r="J109" s="291"/>
      <c r="K109" s="177"/>
      <c r="L109" s="177"/>
      <c r="M109" s="177"/>
      <c r="N109" s="177"/>
      <c r="O109" s="177"/>
      <c r="P109" s="177"/>
    </row>
    <row r="110" spans="3:16" x14ac:dyDescent="0.3">
      <c r="C110" s="288"/>
      <c r="D110" s="289"/>
      <c r="E110" s="290"/>
      <c r="F110" s="175"/>
      <c r="G110" s="176"/>
      <c r="H110" s="176"/>
      <c r="I110" s="177"/>
      <c r="J110" s="291"/>
      <c r="K110" s="177"/>
      <c r="L110" s="177"/>
      <c r="M110" s="177"/>
      <c r="N110" s="177"/>
      <c r="O110" s="177"/>
      <c r="P110" s="177"/>
    </row>
    <row r="111" spans="3:16" x14ac:dyDescent="0.3">
      <c r="C111" s="288"/>
      <c r="D111" s="289"/>
      <c r="E111" s="290"/>
      <c r="F111" s="175"/>
      <c r="G111" s="176"/>
      <c r="H111" s="176"/>
      <c r="I111" s="177"/>
      <c r="J111" s="291"/>
      <c r="K111" s="177"/>
      <c r="L111" s="177"/>
      <c r="M111" s="177"/>
      <c r="N111" s="177"/>
      <c r="O111" s="177"/>
      <c r="P111" s="177"/>
    </row>
    <row r="112" spans="3:16" x14ac:dyDescent="0.3">
      <c r="C112" s="288"/>
      <c r="D112" s="289"/>
      <c r="E112" s="290"/>
      <c r="F112" s="175"/>
      <c r="G112" s="176"/>
      <c r="H112" s="176"/>
      <c r="I112" s="177"/>
      <c r="J112" s="291"/>
      <c r="K112" s="177"/>
      <c r="L112" s="177"/>
      <c r="M112" s="177"/>
      <c r="N112" s="177"/>
      <c r="O112" s="177"/>
      <c r="P112" s="177"/>
    </row>
    <row r="113" spans="3:16" x14ac:dyDescent="0.3">
      <c r="C113" s="288"/>
      <c r="D113" s="289"/>
      <c r="E113" s="290"/>
      <c r="F113" s="175"/>
      <c r="G113" s="176"/>
      <c r="H113" s="176"/>
      <c r="I113" s="177"/>
      <c r="J113" s="291"/>
      <c r="K113" s="177"/>
      <c r="L113" s="177"/>
      <c r="M113" s="177"/>
      <c r="N113" s="177"/>
      <c r="O113" s="177"/>
      <c r="P113" s="177"/>
    </row>
    <row r="114" spans="3:16" x14ac:dyDescent="0.3">
      <c r="C114" s="288"/>
      <c r="D114" s="289"/>
      <c r="E114" s="290"/>
      <c r="F114" s="175"/>
      <c r="G114" s="176"/>
      <c r="H114" s="176"/>
      <c r="I114" s="177"/>
      <c r="J114" s="291"/>
      <c r="K114" s="177"/>
      <c r="L114" s="177"/>
      <c r="M114" s="177"/>
      <c r="N114" s="177"/>
      <c r="O114" s="177"/>
      <c r="P114" s="177"/>
    </row>
    <row r="115" spans="3:16" x14ac:dyDescent="0.3">
      <c r="C115" s="288"/>
      <c r="D115" s="289"/>
      <c r="E115" s="290"/>
      <c r="F115" s="175"/>
      <c r="G115" s="176"/>
      <c r="H115" s="176"/>
      <c r="I115" s="177"/>
      <c r="J115" s="291"/>
      <c r="K115" s="177"/>
      <c r="L115" s="177"/>
      <c r="M115" s="177"/>
      <c r="N115" s="177"/>
      <c r="O115" s="177"/>
      <c r="P115" s="177"/>
    </row>
    <row r="116" spans="3:16" x14ac:dyDescent="0.3">
      <c r="C116" s="288"/>
      <c r="D116" s="289"/>
      <c r="E116" s="290"/>
      <c r="F116" s="175"/>
      <c r="G116" s="176"/>
      <c r="H116" s="176"/>
      <c r="I116" s="177"/>
      <c r="J116" s="291"/>
      <c r="K116" s="177"/>
      <c r="L116" s="177"/>
      <c r="M116" s="177"/>
      <c r="N116" s="177"/>
      <c r="O116" s="177"/>
      <c r="P116" s="177"/>
    </row>
    <row r="117" spans="3:16" x14ac:dyDescent="0.3">
      <c r="C117" s="288"/>
      <c r="D117" s="289"/>
      <c r="E117" s="290"/>
      <c r="F117" s="175"/>
      <c r="G117" s="176"/>
      <c r="H117" s="176"/>
      <c r="I117" s="177"/>
      <c r="J117" s="291"/>
      <c r="K117" s="177"/>
      <c r="L117" s="177"/>
      <c r="M117" s="177"/>
      <c r="N117" s="177"/>
      <c r="O117" s="177"/>
      <c r="P117" s="177"/>
    </row>
    <row r="118" spans="3:16" x14ac:dyDescent="0.3">
      <c r="C118" s="288"/>
      <c r="D118" s="289"/>
      <c r="E118" s="290"/>
      <c r="F118" s="175"/>
      <c r="G118" s="176"/>
      <c r="H118" s="176"/>
      <c r="I118" s="177"/>
      <c r="J118" s="291"/>
      <c r="K118" s="177"/>
      <c r="L118" s="177"/>
      <c r="M118" s="177"/>
      <c r="N118" s="177"/>
      <c r="O118" s="177"/>
      <c r="P118" s="177"/>
    </row>
    <row r="119" spans="3:16" x14ac:dyDescent="0.3">
      <c r="C119" s="288"/>
      <c r="D119" s="289"/>
      <c r="E119" s="290"/>
      <c r="F119" s="175"/>
      <c r="G119" s="176"/>
      <c r="H119" s="176"/>
      <c r="I119" s="177"/>
      <c r="J119" s="291"/>
      <c r="K119" s="177"/>
      <c r="L119" s="177"/>
      <c r="M119" s="177"/>
      <c r="N119" s="177"/>
      <c r="O119" s="177"/>
      <c r="P119" s="177"/>
    </row>
    <row r="120" spans="3:16" x14ac:dyDescent="0.3">
      <c r="C120" s="288"/>
      <c r="D120" s="289"/>
      <c r="E120" s="290"/>
      <c r="F120" s="175"/>
      <c r="G120" s="176"/>
      <c r="H120" s="176"/>
      <c r="I120" s="177"/>
      <c r="J120" s="291"/>
      <c r="K120" s="177"/>
      <c r="L120" s="177"/>
      <c r="M120" s="177"/>
      <c r="N120" s="177"/>
      <c r="O120" s="177"/>
      <c r="P120" s="177"/>
    </row>
    <row r="121" spans="3:16" x14ac:dyDescent="0.3">
      <c r="C121" s="288"/>
      <c r="D121" s="289"/>
      <c r="E121" s="290"/>
      <c r="F121" s="175"/>
      <c r="G121" s="176"/>
      <c r="H121" s="176"/>
      <c r="I121" s="177"/>
      <c r="J121" s="291"/>
      <c r="K121" s="177"/>
      <c r="L121" s="177"/>
      <c r="M121" s="177"/>
      <c r="N121" s="177"/>
      <c r="O121" s="177"/>
      <c r="P121" s="177"/>
    </row>
    <row r="122" spans="3:16" x14ac:dyDescent="0.3">
      <c r="C122" s="292"/>
      <c r="D122" s="293"/>
      <c r="E122" s="294"/>
      <c r="F122" s="295"/>
      <c r="G122" s="296"/>
      <c r="H122" s="296"/>
      <c r="I122" s="297"/>
      <c r="J122" s="298"/>
      <c r="K122" s="297"/>
      <c r="L122" s="297"/>
      <c r="M122" s="297"/>
      <c r="N122" s="297"/>
      <c r="O122" s="297"/>
      <c r="P122" s="297"/>
    </row>
    <row r="123" spans="3:16" x14ac:dyDescent="0.3">
      <c r="C123" s="288"/>
      <c r="D123" s="289"/>
      <c r="E123" s="290"/>
      <c r="F123" s="175"/>
      <c r="G123" s="176"/>
      <c r="H123" s="176"/>
      <c r="I123" s="177"/>
      <c r="J123" s="291"/>
      <c r="K123" s="177"/>
      <c r="L123" s="177"/>
      <c r="M123" s="177"/>
      <c r="N123" s="177"/>
      <c r="O123" s="177"/>
      <c r="P123" s="177"/>
    </row>
    <row r="124" spans="3:16" x14ac:dyDescent="0.3">
      <c r="C124" s="288"/>
      <c r="D124" s="289"/>
      <c r="E124" s="290"/>
      <c r="F124" s="175"/>
      <c r="G124" s="176"/>
      <c r="H124" s="176"/>
      <c r="I124" s="177"/>
      <c r="J124" s="291"/>
      <c r="K124" s="177"/>
      <c r="L124" s="177"/>
      <c r="M124" s="177"/>
      <c r="N124" s="177"/>
      <c r="O124" s="177"/>
      <c r="P124" s="177"/>
    </row>
    <row r="125" spans="3:16" x14ac:dyDescent="0.3">
      <c r="C125" s="288"/>
      <c r="D125" s="289"/>
      <c r="E125" s="290"/>
      <c r="F125" s="175"/>
      <c r="G125" s="176"/>
      <c r="H125" s="176"/>
      <c r="I125" s="177"/>
      <c r="J125" s="291"/>
      <c r="K125" s="177"/>
      <c r="L125" s="177"/>
      <c r="M125" s="177"/>
      <c r="N125" s="177"/>
      <c r="O125" s="177"/>
      <c r="P125" s="177"/>
    </row>
    <row r="126" spans="3:16" x14ac:dyDescent="0.3">
      <c r="C126" s="288"/>
      <c r="D126" s="289"/>
      <c r="E126" s="290"/>
      <c r="F126" s="175"/>
      <c r="G126" s="176"/>
      <c r="H126" s="176"/>
      <c r="I126" s="177"/>
      <c r="J126" s="291"/>
      <c r="K126" s="177"/>
      <c r="L126" s="177"/>
      <c r="M126" s="177"/>
      <c r="N126" s="177"/>
      <c r="O126" s="177"/>
      <c r="P126" s="177"/>
    </row>
    <row r="127" spans="3:16" x14ac:dyDescent="0.3">
      <c r="C127" s="288"/>
      <c r="D127" s="289"/>
      <c r="E127" s="290"/>
      <c r="F127" s="175"/>
      <c r="G127" s="176"/>
      <c r="H127" s="176"/>
      <c r="I127" s="177"/>
      <c r="J127" s="291"/>
      <c r="K127" s="177"/>
      <c r="L127" s="177"/>
      <c r="M127" s="177"/>
      <c r="N127" s="177"/>
      <c r="O127" s="177"/>
      <c r="P127" s="177"/>
    </row>
    <row r="128" spans="3:16" x14ac:dyDescent="0.3">
      <c r="C128" s="288"/>
      <c r="D128" s="289"/>
      <c r="E128" s="290"/>
      <c r="F128" s="175"/>
      <c r="G128" s="176"/>
      <c r="H128" s="176"/>
      <c r="I128" s="177"/>
      <c r="J128" s="291"/>
      <c r="K128" s="177"/>
      <c r="L128" s="177"/>
      <c r="M128" s="177"/>
      <c r="N128" s="177"/>
      <c r="O128" s="177"/>
      <c r="P128" s="177"/>
    </row>
    <row r="129" spans="3:16" x14ac:dyDescent="0.3">
      <c r="C129" s="288"/>
      <c r="D129" s="289"/>
      <c r="E129" s="290"/>
      <c r="F129" s="175"/>
      <c r="G129" s="176"/>
      <c r="H129" s="176"/>
      <c r="I129" s="177"/>
      <c r="J129" s="291"/>
      <c r="K129" s="177"/>
      <c r="L129" s="177"/>
      <c r="M129" s="177"/>
      <c r="N129" s="177"/>
      <c r="O129" s="177"/>
      <c r="P129" s="177"/>
    </row>
    <row r="130" spans="3:16" x14ac:dyDescent="0.3">
      <c r="C130" s="288"/>
      <c r="D130" s="289"/>
      <c r="E130" s="290"/>
      <c r="F130" s="175"/>
      <c r="G130" s="176"/>
      <c r="H130" s="176"/>
      <c r="I130" s="177"/>
      <c r="J130" s="291"/>
      <c r="K130" s="177"/>
      <c r="L130" s="177"/>
      <c r="M130" s="177"/>
      <c r="N130" s="177"/>
      <c r="O130" s="177"/>
      <c r="P130" s="177"/>
    </row>
    <row r="131" spans="3:16" x14ac:dyDescent="0.3">
      <c r="C131" s="288"/>
      <c r="D131" s="289"/>
      <c r="E131" s="290"/>
      <c r="F131" s="175"/>
      <c r="G131" s="176"/>
      <c r="H131" s="176"/>
      <c r="I131" s="177"/>
      <c r="J131" s="291"/>
      <c r="K131" s="177"/>
      <c r="L131" s="177"/>
      <c r="M131" s="177"/>
      <c r="N131" s="177"/>
      <c r="O131" s="177"/>
      <c r="P131" s="177"/>
    </row>
    <row r="132" spans="3:16" x14ac:dyDescent="0.3">
      <c r="C132" s="288"/>
      <c r="D132" s="289"/>
      <c r="E132" s="290"/>
      <c r="F132" s="175"/>
      <c r="G132" s="176"/>
      <c r="H132" s="176"/>
      <c r="I132" s="177"/>
      <c r="J132" s="291"/>
      <c r="K132" s="177"/>
      <c r="L132" s="177"/>
      <c r="M132" s="177"/>
      <c r="N132" s="177"/>
      <c r="O132" s="177"/>
      <c r="P132" s="177"/>
    </row>
    <row r="133" spans="3:16" x14ac:dyDescent="0.3">
      <c r="C133" s="288"/>
      <c r="D133" s="289"/>
      <c r="E133" s="290"/>
      <c r="F133" s="175"/>
      <c r="G133" s="176"/>
      <c r="H133" s="176"/>
      <c r="I133" s="177"/>
      <c r="J133" s="291"/>
      <c r="K133" s="177"/>
      <c r="L133" s="177"/>
      <c r="M133" s="177"/>
      <c r="N133" s="177"/>
      <c r="O133" s="177"/>
      <c r="P133" s="177"/>
    </row>
    <row r="134" spans="3:16" x14ac:dyDescent="0.3">
      <c r="C134" s="288"/>
      <c r="D134" s="289"/>
      <c r="E134" s="290"/>
      <c r="F134" s="175"/>
      <c r="G134" s="176"/>
      <c r="H134" s="176"/>
      <c r="I134" s="177"/>
      <c r="J134" s="291"/>
      <c r="K134" s="177"/>
      <c r="L134" s="177"/>
      <c r="M134" s="177"/>
      <c r="N134" s="177"/>
      <c r="O134" s="177"/>
      <c r="P134" s="177"/>
    </row>
    <row r="135" spans="3:16" x14ac:dyDescent="0.3">
      <c r="C135" s="288"/>
      <c r="D135" s="289"/>
      <c r="E135" s="290"/>
      <c r="F135" s="175"/>
      <c r="G135" s="176"/>
      <c r="H135" s="176"/>
      <c r="I135" s="177"/>
      <c r="J135" s="291"/>
      <c r="K135" s="177"/>
      <c r="L135" s="177"/>
      <c r="M135" s="177"/>
      <c r="N135" s="177"/>
      <c r="O135" s="177"/>
      <c r="P135" s="177"/>
    </row>
    <row r="136" spans="3:16" x14ac:dyDescent="0.3">
      <c r="C136" s="292"/>
      <c r="D136" s="293"/>
      <c r="E136" s="294"/>
      <c r="F136" s="295"/>
      <c r="G136" s="296"/>
      <c r="H136" s="296"/>
      <c r="I136" s="297"/>
      <c r="J136" s="298"/>
      <c r="K136" s="297"/>
      <c r="L136" s="297"/>
      <c r="M136" s="297"/>
      <c r="N136" s="297"/>
      <c r="O136" s="297"/>
      <c r="P136" s="297"/>
    </row>
    <row r="137" spans="3:16" x14ac:dyDescent="0.3">
      <c r="C137" s="288"/>
      <c r="D137" s="289"/>
      <c r="E137" s="290"/>
      <c r="F137" s="175"/>
      <c r="G137" s="176"/>
      <c r="H137" s="176"/>
      <c r="I137" s="177"/>
      <c r="J137" s="291"/>
      <c r="K137" s="177"/>
      <c r="L137" s="177"/>
      <c r="M137" s="177"/>
      <c r="N137" s="177"/>
      <c r="O137" s="177"/>
      <c r="P137" s="177"/>
    </row>
    <row r="138" spans="3:16" x14ac:dyDescent="0.3">
      <c r="C138" s="288"/>
      <c r="D138" s="289"/>
      <c r="E138" s="290"/>
      <c r="F138" s="175"/>
      <c r="G138" s="176"/>
      <c r="H138" s="176"/>
      <c r="I138" s="177"/>
      <c r="J138" s="291"/>
      <c r="K138" s="177"/>
      <c r="L138" s="177"/>
      <c r="M138" s="177"/>
      <c r="N138" s="177"/>
      <c r="O138" s="177"/>
      <c r="P138" s="177"/>
    </row>
    <row r="139" spans="3:16" x14ac:dyDescent="0.3">
      <c r="C139" s="288"/>
      <c r="D139" s="289"/>
      <c r="E139" s="290"/>
      <c r="F139" s="175"/>
      <c r="G139" s="176"/>
      <c r="H139" s="176"/>
      <c r="I139" s="177"/>
      <c r="J139" s="291"/>
      <c r="K139" s="177"/>
      <c r="L139" s="177"/>
      <c r="M139" s="177"/>
      <c r="N139" s="177"/>
      <c r="O139" s="177"/>
      <c r="P139" s="177"/>
    </row>
    <row r="140" spans="3:16" x14ac:dyDescent="0.3">
      <c r="C140" s="288"/>
      <c r="D140" s="289"/>
      <c r="E140" s="290"/>
      <c r="F140" s="175"/>
      <c r="G140" s="176"/>
      <c r="H140" s="176"/>
      <c r="I140" s="177"/>
      <c r="J140" s="291"/>
      <c r="K140" s="177"/>
      <c r="L140" s="177"/>
      <c r="M140" s="177"/>
      <c r="N140" s="177"/>
      <c r="O140" s="177"/>
      <c r="P140" s="177"/>
    </row>
    <row r="141" spans="3:16" x14ac:dyDescent="0.3">
      <c r="C141" s="288"/>
      <c r="D141" s="289"/>
      <c r="E141" s="290"/>
      <c r="F141" s="175"/>
      <c r="G141" s="176"/>
      <c r="H141" s="176"/>
      <c r="I141" s="177"/>
      <c r="J141" s="291"/>
      <c r="K141" s="177"/>
      <c r="L141" s="177"/>
      <c r="M141" s="177"/>
      <c r="N141" s="177"/>
      <c r="O141" s="177"/>
      <c r="P141" s="177"/>
    </row>
    <row r="142" spans="3:16" x14ac:dyDescent="0.3">
      <c r="C142" s="288"/>
      <c r="D142" s="289"/>
      <c r="E142" s="290"/>
      <c r="F142" s="175"/>
      <c r="G142" s="176"/>
      <c r="H142" s="176"/>
      <c r="I142" s="177"/>
      <c r="J142" s="291"/>
      <c r="K142" s="177"/>
      <c r="L142" s="177"/>
      <c r="M142" s="177"/>
      <c r="N142" s="177"/>
      <c r="O142" s="177"/>
      <c r="P142" s="177"/>
    </row>
    <row r="143" spans="3:16" x14ac:dyDescent="0.3">
      <c r="C143" s="288"/>
      <c r="D143" s="289"/>
      <c r="E143" s="290"/>
      <c r="F143" s="175"/>
      <c r="G143" s="176"/>
      <c r="H143" s="176"/>
      <c r="I143" s="177"/>
      <c r="J143" s="291"/>
      <c r="K143" s="177"/>
      <c r="L143" s="177"/>
      <c r="M143" s="177"/>
      <c r="N143" s="177"/>
      <c r="O143" s="177"/>
      <c r="P143" s="177"/>
    </row>
    <row r="144" spans="3:16" x14ac:dyDescent="0.3">
      <c r="C144" s="288"/>
      <c r="D144" s="289"/>
      <c r="E144" s="290"/>
      <c r="F144" s="175"/>
      <c r="G144" s="176"/>
      <c r="H144" s="176"/>
      <c r="I144" s="177"/>
      <c r="J144" s="291"/>
      <c r="K144" s="177"/>
      <c r="L144" s="177"/>
      <c r="M144" s="177"/>
      <c r="N144" s="177"/>
      <c r="O144" s="177"/>
      <c r="P144" s="177"/>
    </row>
    <row r="145" spans="3:16" x14ac:dyDescent="0.3">
      <c r="C145" s="288"/>
      <c r="D145" s="289"/>
      <c r="E145" s="290"/>
      <c r="F145" s="175"/>
      <c r="G145" s="176"/>
      <c r="H145" s="176"/>
      <c r="I145" s="177"/>
      <c r="J145" s="291"/>
      <c r="K145" s="177"/>
      <c r="L145" s="177"/>
      <c r="M145" s="177"/>
      <c r="N145" s="177"/>
      <c r="O145" s="177"/>
      <c r="P145" s="177"/>
    </row>
    <row r="146" spans="3:16" x14ac:dyDescent="0.3">
      <c r="C146" s="288"/>
      <c r="D146" s="289"/>
      <c r="E146" s="290"/>
      <c r="F146" s="175"/>
      <c r="G146" s="176"/>
      <c r="H146" s="176"/>
      <c r="I146" s="177"/>
      <c r="J146" s="291"/>
      <c r="K146" s="177"/>
      <c r="L146" s="177"/>
      <c r="M146" s="177"/>
      <c r="N146" s="177"/>
      <c r="O146" s="177"/>
      <c r="P146" s="177"/>
    </row>
    <row r="147" spans="3:16" x14ac:dyDescent="0.3">
      <c r="C147" s="288"/>
      <c r="D147" s="289"/>
      <c r="E147" s="290"/>
      <c r="F147" s="175"/>
      <c r="G147" s="176"/>
      <c r="H147" s="176"/>
      <c r="I147" s="177"/>
      <c r="J147" s="291"/>
      <c r="K147" s="177"/>
      <c r="L147" s="177"/>
      <c r="M147" s="177"/>
      <c r="N147" s="177"/>
      <c r="O147" s="177"/>
      <c r="P147" s="177"/>
    </row>
    <row r="148" spans="3:16" x14ac:dyDescent="0.3">
      <c r="C148" s="288"/>
      <c r="D148" s="289"/>
      <c r="E148" s="290"/>
      <c r="F148" s="175"/>
      <c r="G148" s="176"/>
      <c r="H148" s="176"/>
      <c r="I148" s="177"/>
      <c r="J148" s="291"/>
      <c r="K148" s="177"/>
      <c r="L148" s="177"/>
      <c r="M148" s="177"/>
      <c r="N148" s="177"/>
      <c r="O148" s="177"/>
      <c r="P148" s="177"/>
    </row>
    <row r="149" spans="3:16" x14ac:dyDescent="0.3">
      <c r="C149" s="288"/>
      <c r="D149" s="289"/>
      <c r="E149" s="290"/>
      <c r="F149" s="175"/>
      <c r="G149" s="176"/>
      <c r="H149" s="176"/>
      <c r="I149" s="177"/>
      <c r="J149" s="291"/>
      <c r="K149" s="177"/>
      <c r="L149" s="177"/>
      <c r="M149" s="177"/>
      <c r="N149" s="177"/>
      <c r="O149" s="177"/>
      <c r="P149" s="177"/>
    </row>
    <row r="150" spans="3:16" x14ac:dyDescent="0.3">
      <c r="C150" s="288"/>
      <c r="D150" s="289"/>
      <c r="E150" s="290"/>
      <c r="F150" s="175"/>
      <c r="G150" s="176"/>
      <c r="H150" s="176"/>
      <c r="I150" s="177"/>
      <c r="J150" s="291"/>
      <c r="K150" s="177"/>
      <c r="L150" s="177"/>
      <c r="M150" s="177"/>
      <c r="N150" s="177"/>
      <c r="O150" s="177"/>
      <c r="P150" s="177"/>
    </row>
    <row r="151" spans="3:16" x14ac:dyDescent="0.3">
      <c r="C151" s="288"/>
      <c r="D151" s="289"/>
      <c r="E151" s="290"/>
      <c r="F151" s="175"/>
      <c r="G151" s="176"/>
      <c r="H151" s="176"/>
      <c r="I151" s="177"/>
      <c r="J151" s="291"/>
      <c r="K151" s="177"/>
      <c r="L151" s="177"/>
      <c r="M151" s="177"/>
      <c r="N151" s="177"/>
      <c r="O151" s="177"/>
      <c r="P151" s="177"/>
    </row>
    <row r="152" spans="3:16" x14ac:dyDescent="0.3">
      <c r="C152" s="288"/>
      <c r="D152" s="289"/>
      <c r="E152" s="290"/>
      <c r="F152" s="175"/>
      <c r="G152" s="176"/>
      <c r="H152" s="176"/>
      <c r="I152" s="177"/>
      <c r="J152" s="291"/>
      <c r="K152" s="177"/>
      <c r="L152" s="177"/>
      <c r="M152" s="177"/>
      <c r="N152" s="177"/>
      <c r="O152" s="177"/>
      <c r="P152" s="177"/>
    </row>
    <row r="153" spans="3:16" x14ac:dyDescent="0.3">
      <c r="C153" s="288"/>
      <c r="D153" s="289"/>
      <c r="E153" s="290"/>
      <c r="F153" s="175"/>
      <c r="G153" s="176"/>
      <c r="H153" s="176"/>
      <c r="I153" s="177"/>
      <c r="J153" s="291"/>
      <c r="K153" s="177"/>
      <c r="L153" s="177"/>
      <c r="M153" s="177"/>
      <c r="N153" s="177"/>
      <c r="O153" s="177"/>
      <c r="P153" s="177"/>
    </row>
    <row r="154" spans="3:16" x14ac:dyDescent="0.3">
      <c r="C154" s="288"/>
      <c r="D154" s="289"/>
      <c r="E154" s="290"/>
      <c r="F154" s="175"/>
      <c r="G154" s="176"/>
      <c r="H154" s="176"/>
      <c r="I154" s="177"/>
      <c r="J154" s="291"/>
      <c r="K154" s="177"/>
      <c r="L154" s="177"/>
      <c r="M154" s="177"/>
      <c r="N154" s="177"/>
      <c r="O154" s="177"/>
      <c r="P154" s="177"/>
    </row>
    <row r="155" spans="3:16" x14ac:dyDescent="0.3">
      <c r="C155" s="288"/>
      <c r="D155" s="289"/>
      <c r="E155" s="290"/>
      <c r="F155" s="175"/>
      <c r="G155" s="176"/>
      <c r="H155" s="176"/>
      <c r="I155" s="177"/>
      <c r="J155" s="291"/>
      <c r="K155" s="177"/>
      <c r="L155" s="177"/>
      <c r="M155" s="177"/>
      <c r="N155" s="177"/>
      <c r="O155" s="177"/>
      <c r="P155" s="177"/>
    </row>
    <row r="156" spans="3:16" x14ac:dyDescent="0.3">
      <c r="C156" s="288"/>
      <c r="D156" s="289"/>
      <c r="E156" s="290"/>
      <c r="F156" s="175"/>
      <c r="G156" s="176"/>
      <c r="H156" s="176"/>
      <c r="I156" s="177"/>
      <c r="J156" s="291"/>
      <c r="K156" s="177"/>
      <c r="L156" s="177"/>
      <c r="M156" s="177"/>
      <c r="N156" s="177"/>
      <c r="O156" s="177"/>
      <c r="P156" s="177"/>
    </row>
    <row r="157" spans="3:16" x14ac:dyDescent="0.3">
      <c r="C157" s="288"/>
      <c r="D157" s="289"/>
      <c r="E157" s="290"/>
      <c r="F157" s="175"/>
      <c r="G157" s="176"/>
      <c r="H157" s="176"/>
      <c r="I157" s="177"/>
      <c r="J157" s="291"/>
      <c r="K157" s="177"/>
      <c r="L157" s="177"/>
      <c r="M157" s="177"/>
      <c r="N157" s="177"/>
      <c r="O157" s="177"/>
      <c r="P157" s="177"/>
    </row>
    <row r="158" spans="3:16" x14ac:dyDescent="0.3">
      <c r="C158" s="288"/>
      <c r="D158" s="289"/>
      <c r="E158" s="290"/>
      <c r="F158" s="175"/>
      <c r="G158" s="176"/>
      <c r="H158" s="176"/>
      <c r="I158" s="177"/>
      <c r="J158" s="291"/>
      <c r="K158" s="177"/>
      <c r="L158" s="177"/>
      <c r="M158" s="177"/>
      <c r="N158" s="177"/>
      <c r="O158" s="177"/>
      <c r="P158" s="177"/>
    </row>
    <row r="159" spans="3:16" x14ac:dyDescent="0.3">
      <c r="C159" s="288"/>
      <c r="D159" s="289"/>
      <c r="E159" s="290"/>
      <c r="F159" s="175"/>
      <c r="G159" s="176"/>
      <c r="H159" s="176"/>
      <c r="I159" s="177"/>
      <c r="J159" s="291"/>
      <c r="K159" s="177"/>
      <c r="L159" s="177"/>
      <c r="M159" s="177"/>
      <c r="N159" s="177"/>
      <c r="O159" s="177"/>
      <c r="P159" s="177"/>
    </row>
    <row r="160" spans="3:16" x14ac:dyDescent="0.3">
      <c r="C160" s="288"/>
      <c r="D160" s="289"/>
      <c r="E160" s="290"/>
      <c r="F160" s="175"/>
      <c r="G160" s="176"/>
      <c r="H160" s="176"/>
      <c r="I160" s="177"/>
      <c r="J160" s="291"/>
      <c r="K160" s="177"/>
      <c r="L160" s="177"/>
      <c r="M160" s="177"/>
      <c r="N160" s="177"/>
      <c r="O160" s="177"/>
      <c r="P160" s="177"/>
    </row>
    <row r="161" spans="3:16" x14ac:dyDescent="0.3">
      <c r="C161" s="288"/>
      <c r="D161" s="289"/>
      <c r="E161" s="290"/>
      <c r="F161" s="175"/>
      <c r="G161" s="176"/>
      <c r="H161" s="176"/>
      <c r="I161" s="177"/>
      <c r="J161" s="291"/>
      <c r="K161" s="177"/>
      <c r="L161" s="177"/>
      <c r="M161" s="177"/>
      <c r="N161" s="177"/>
      <c r="O161" s="177"/>
      <c r="P161" s="177"/>
    </row>
    <row r="162" spans="3:16" x14ac:dyDescent="0.3">
      <c r="C162" s="288"/>
      <c r="D162" s="289"/>
      <c r="E162" s="290"/>
      <c r="F162" s="175"/>
      <c r="G162" s="176"/>
      <c r="H162" s="176"/>
      <c r="I162" s="177"/>
      <c r="J162" s="291"/>
      <c r="K162" s="177"/>
      <c r="L162" s="177"/>
      <c r="M162" s="177"/>
      <c r="N162" s="177"/>
      <c r="O162" s="177"/>
      <c r="P162" s="177"/>
    </row>
    <row r="163" spans="3:16" x14ac:dyDescent="0.3">
      <c r="C163" s="288"/>
      <c r="D163" s="289"/>
      <c r="E163" s="290"/>
      <c r="F163" s="175"/>
      <c r="G163" s="176"/>
      <c r="H163" s="176"/>
      <c r="I163" s="177"/>
      <c r="J163" s="291"/>
      <c r="K163" s="177"/>
      <c r="L163" s="177"/>
      <c r="M163" s="177"/>
      <c r="N163" s="177"/>
      <c r="O163" s="177"/>
      <c r="P163" s="177"/>
    </row>
    <row r="164" spans="3:16" x14ac:dyDescent="0.3">
      <c r="C164" s="288"/>
      <c r="D164" s="289"/>
      <c r="E164" s="290"/>
      <c r="F164" s="175"/>
      <c r="G164" s="176"/>
      <c r="H164" s="176"/>
      <c r="I164" s="177"/>
      <c r="J164" s="291"/>
      <c r="K164" s="177"/>
      <c r="L164" s="177"/>
      <c r="M164" s="177"/>
      <c r="N164" s="177"/>
      <c r="O164" s="177"/>
      <c r="P164" s="177"/>
    </row>
    <row r="165" spans="3:16" x14ac:dyDescent="0.3">
      <c r="C165" s="288"/>
      <c r="D165" s="289"/>
      <c r="E165" s="290"/>
      <c r="F165" s="175"/>
      <c r="G165" s="176"/>
      <c r="H165" s="176"/>
      <c r="I165" s="177"/>
      <c r="J165" s="291"/>
      <c r="K165" s="177"/>
      <c r="L165" s="177"/>
      <c r="M165" s="177"/>
      <c r="N165" s="177"/>
      <c r="O165" s="177"/>
      <c r="P165" s="177"/>
    </row>
    <row r="166" spans="3:16" x14ac:dyDescent="0.3">
      <c r="C166" s="288"/>
      <c r="D166" s="289"/>
      <c r="E166" s="290"/>
      <c r="F166" s="175"/>
      <c r="G166" s="176"/>
      <c r="H166" s="176"/>
      <c r="I166" s="177"/>
      <c r="J166" s="291"/>
      <c r="K166" s="177"/>
      <c r="L166" s="177"/>
      <c r="M166" s="177"/>
      <c r="N166" s="177"/>
      <c r="O166" s="177"/>
      <c r="P166" s="177"/>
    </row>
    <row r="167" spans="3:16" x14ac:dyDescent="0.3">
      <c r="C167" s="288"/>
      <c r="D167" s="289"/>
      <c r="E167" s="290"/>
      <c r="F167" s="175"/>
      <c r="G167" s="176"/>
      <c r="H167" s="176"/>
      <c r="I167" s="177"/>
      <c r="J167" s="291"/>
      <c r="K167" s="177"/>
      <c r="L167" s="177"/>
      <c r="M167" s="177"/>
      <c r="N167" s="177"/>
      <c r="O167" s="177"/>
      <c r="P167" s="177"/>
    </row>
    <row r="168" spans="3:16" x14ac:dyDescent="0.3">
      <c r="C168" s="288"/>
      <c r="D168" s="289"/>
      <c r="E168" s="290"/>
      <c r="F168" s="175"/>
      <c r="G168" s="176"/>
      <c r="H168" s="176"/>
      <c r="I168" s="177"/>
      <c r="J168" s="291"/>
      <c r="K168" s="177"/>
      <c r="L168" s="177"/>
      <c r="M168" s="177"/>
      <c r="N168" s="177"/>
      <c r="O168" s="177"/>
      <c r="P168" s="177"/>
    </row>
    <row r="169" spans="3:16" x14ac:dyDescent="0.3">
      <c r="C169" s="288"/>
      <c r="D169" s="289"/>
      <c r="E169" s="290"/>
      <c r="F169" s="175"/>
      <c r="G169" s="176"/>
      <c r="H169" s="176"/>
      <c r="I169" s="177"/>
      <c r="J169" s="291"/>
      <c r="K169" s="177"/>
      <c r="L169" s="177"/>
      <c r="M169" s="177"/>
      <c r="N169" s="177"/>
      <c r="O169" s="177"/>
      <c r="P169" s="177"/>
    </row>
    <row r="170" spans="3:16" x14ac:dyDescent="0.3">
      <c r="C170" s="288"/>
      <c r="D170" s="289"/>
      <c r="E170" s="290"/>
      <c r="F170" s="175"/>
      <c r="G170" s="176"/>
      <c r="H170" s="176"/>
      <c r="I170" s="177"/>
      <c r="J170" s="291"/>
      <c r="K170" s="177"/>
      <c r="L170" s="177"/>
      <c r="M170" s="177"/>
      <c r="N170" s="177"/>
      <c r="O170" s="177"/>
      <c r="P170" s="177"/>
    </row>
    <row r="171" spans="3:16" x14ac:dyDescent="0.3">
      <c r="C171" s="288"/>
      <c r="D171" s="289"/>
      <c r="E171" s="290"/>
      <c r="F171" s="175"/>
      <c r="G171" s="176"/>
      <c r="H171" s="176"/>
      <c r="I171" s="177"/>
      <c r="J171" s="291"/>
      <c r="K171" s="177"/>
      <c r="L171" s="177"/>
      <c r="M171" s="177"/>
      <c r="N171" s="177"/>
      <c r="O171" s="177"/>
      <c r="P171" s="177"/>
    </row>
    <row r="172" spans="3:16" x14ac:dyDescent="0.3">
      <c r="C172" s="288"/>
      <c r="D172" s="289"/>
      <c r="E172" s="290"/>
      <c r="F172" s="175"/>
      <c r="G172" s="176"/>
      <c r="H172" s="176"/>
      <c r="I172" s="177"/>
      <c r="J172" s="291"/>
      <c r="K172" s="177"/>
      <c r="L172" s="177"/>
      <c r="M172" s="177"/>
      <c r="N172" s="177"/>
      <c r="O172" s="177"/>
      <c r="P172" s="177"/>
    </row>
    <row r="173" spans="3:16" x14ac:dyDescent="0.3">
      <c r="C173" s="288"/>
      <c r="D173" s="289"/>
      <c r="E173" s="290"/>
      <c r="F173" s="175"/>
      <c r="G173" s="176"/>
      <c r="H173" s="176"/>
      <c r="I173" s="177"/>
      <c r="J173" s="291"/>
      <c r="K173" s="177"/>
      <c r="L173" s="177"/>
      <c r="M173" s="177"/>
      <c r="N173" s="177"/>
      <c r="O173" s="177"/>
      <c r="P173" s="177"/>
    </row>
    <row r="174" spans="3:16" x14ac:dyDescent="0.3">
      <c r="C174" s="292"/>
      <c r="D174" s="293"/>
      <c r="E174" s="294"/>
      <c r="F174" s="295"/>
      <c r="G174" s="296"/>
      <c r="H174" s="296"/>
      <c r="I174" s="297"/>
      <c r="J174" s="298"/>
      <c r="K174" s="297"/>
      <c r="L174" s="297"/>
      <c r="M174" s="297"/>
      <c r="N174" s="297"/>
      <c r="O174" s="297"/>
      <c r="P174" s="297"/>
    </row>
    <row r="175" spans="3:16" x14ac:dyDescent="0.3">
      <c r="C175" s="288"/>
      <c r="D175" s="289"/>
      <c r="E175" s="290"/>
      <c r="F175" s="175"/>
      <c r="G175" s="176"/>
      <c r="H175" s="176"/>
      <c r="I175" s="177"/>
      <c r="J175" s="291"/>
      <c r="K175" s="177"/>
      <c r="L175" s="177"/>
      <c r="M175" s="177"/>
      <c r="N175" s="177"/>
      <c r="O175" s="177"/>
      <c r="P175" s="177"/>
    </row>
    <row r="176" spans="3:16" x14ac:dyDescent="0.3">
      <c r="C176" s="288"/>
      <c r="D176" s="289"/>
      <c r="E176" s="290"/>
      <c r="F176" s="175"/>
      <c r="G176" s="176"/>
      <c r="H176" s="176"/>
      <c r="I176" s="177"/>
      <c r="J176" s="291"/>
      <c r="K176" s="177"/>
      <c r="L176" s="177"/>
      <c r="M176" s="177"/>
      <c r="N176" s="177"/>
      <c r="O176" s="177"/>
      <c r="P176" s="177"/>
    </row>
    <row r="177" spans="3:16" x14ac:dyDescent="0.3">
      <c r="C177" s="288"/>
      <c r="D177" s="289"/>
      <c r="E177" s="290"/>
      <c r="F177" s="175"/>
      <c r="G177" s="176"/>
      <c r="H177" s="176"/>
      <c r="I177" s="177"/>
      <c r="J177" s="291"/>
      <c r="K177" s="177"/>
      <c r="L177" s="177"/>
      <c r="M177" s="177"/>
      <c r="N177" s="177"/>
      <c r="O177" s="177"/>
      <c r="P177" s="177"/>
    </row>
    <row r="178" spans="3:16" x14ac:dyDescent="0.3">
      <c r="C178" s="288"/>
      <c r="D178" s="289"/>
      <c r="E178" s="290"/>
      <c r="F178" s="175"/>
      <c r="G178" s="176"/>
      <c r="H178" s="176"/>
      <c r="I178" s="177"/>
      <c r="J178" s="291"/>
      <c r="K178" s="177"/>
      <c r="L178" s="177"/>
      <c r="M178" s="177"/>
      <c r="N178" s="177"/>
      <c r="O178" s="177"/>
      <c r="P178" s="177"/>
    </row>
    <row r="179" spans="3:16" x14ac:dyDescent="0.3">
      <c r="C179" s="288"/>
      <c r="D179" s="289"/>
      <c r="E179" s="290"/>
      <c r="F179" s="175"/>
      <c r="G179" s="176"/>
      <c r="H179" s="176"/>
      <c r="I179" s="177"/>
      <c r="J179" s="291"/>
      <c r="K179" s="177"/>
      <c r="L179" s="177"/>
      <c r="M179" s="177"/>
      <c r="N179" s="177"/>
      <c r="O179" s="177"/>
      <c r="P179" s="177"/>
    </row>
    <row r="180" spans="3:16" x14ac:dyDescent="0.3">
      <c r="C180" s="288"/>
      <c r="D180" s="289"/>
      <c r="E180" s="290"/>
      <c r="F180" s="175"/>
      <c r="G180" s="176"/>
      <c r="H180" s="176"/>
      <c r="I180" s="177"/>
      <c r="J180" s="291"/>
      <c r="K180" s="177"/>
      <c r="L180" s="177"/>
      <c r="M180" s="177"/>
      <c r="N180" s="177"/>
      <c r="O180" s="177"/>
      <c r="P180" s="177"/>
    </row>
    <row r="181" spans="3:16" x14ac:dyDescent="0.3">
      <c r="C181" s="288"/>
      <c r="D181" s="289"/>
      <c r="E181" s="290"/>
      <c r="F181" s="175"/>
      <c r="G181" s="176"/>
      <c r="H181" s="176"/>
      <c r="I181" s="177"/>
      <c r="J181" s="291"/>
      <c r="K181" s="177"/>
      <c r="L181" s="177"/>
      <c r="M181" s="177"/>
      <c r="N181" s="177"/>
      <c r="O181" s="177"/>
      <c r="P181" s="177"/>
    </row>
    <row r="182" spans="3:16" x14ac:dyDescent="0.3">
      <c r="C182" s="288"/>
      <c r="D182" s="289"/>
      <c r="E182" s="290"/>
      <c r="F182" s="175"/>
      <c r="G182" s="176"/>
      <c r="H182" s="176"/>
      <c r="I182" s="177"/>
      <c r="J182" s="291"/>
      <c r="K182" s="177"/>
      <c r="L182" s="177"/>
      <c r="M182" s="177"/>
      <c r="N182" s="177"/>
      <c r="O182" s="177"/>
      <c r="P182" s="177"/>
    </row>
    <row r="183" spans="3:16" x14ac:dyDescent="0.3">
      <c r="C183" s="288"/>
      <c r="D183" s="289"/>
      <c r="E183" s="290"/>
      <c r="F183" s="175"/>
      <c r="G183" s="176"/>
      <c r="H183" s="176"/>
      <c r="I183" s="177"/>
      <c r="J183" s="291"/>
      <c r="K183" s="177"/>
      <c r="L183" s="177"/>
      <c r="M183" s="177"/>
      <c r="N183" s="177"/>
      <c r="O183" s="177"/>
      <c r="P183" s="177"/>
    </row>
    <row r="184" spans="3:16" x14ac:dyDescent="0.3">
      <c r="C184" s="288"/>
      <c r="D184" s="289"/>
      <c r="E184" s="290"/>
      <c r="F184" s="175"/>
      <c r="G184" s="176"/>
      <c r="H184" s="176"/>
      <c r="I184" s="177"/>
      <c r="J184" s="291"/>
      <c r="K184" s="177"/>
      <c r="L184" s="177"/>
      <c r="M184" s="177"/>
      <c r="N184" s="177"/>
      <c r="O184" s="177"/>
      <c r="P184" s="177"/>
    </row>
    <row r="185" spans="3:16" x14ac:dyDescent="0.3">
      <c r="C185" s="288"/>
      <c r="D185" s="289"/>
      <c r="E185" s="290"/>
      <c r="F185" s="175"/>
      <c r="G185" s="176"/>
      <c r="H185" s="176"/>
      <c r="I185" s="177"/>
      <c r="J185" s="291"/>
      <c r="K185" s="177"/>
      <c r="L185" s="177"/>
      <c r="M185" s="177"/>
      <c r="N185" s="177"/>
      <c r="O185" s="177"/>
      <c r="P185" s="177"/>
    </row>
    <row r="186" spans="3:16" x14ac:dyDescent="0.3">
      <c r="C186" s="288"/>
      <c r="D186" s="289"/>
      <c r="E186" s="290"/>
      <c r="F186" s="175"/>
      <c r="G186" s="176"/>
      <c r="H186" s="176"/>
      <c r="I186" s="177"/>
      <c r="J186" s="291"/>
      <c r="K186" s="177"/>
      <c r="L186" s="177"/>
      <c r="M186" s="177"/>
      <c r="N186" s="177"/>
      <c r="O186" s="177"/>
      <c r="P186" s="177"/>
    </row>
    <row r="187" spans="3:16" x14ac:dyDescent="0.3">
      <c r="C187" s="288"/>
      <c r="D187" s="289"/>
      <c r="E187" s="290"/>
      <c r="F187" s="175"/>
      <c r="G187" s="176"/>
      <c r="H187" s="176"/>
      <c r="I187" s="177"/>
      <c r="J187" s="291"/>
      <c r="K187" s="177"/>
      <c r="L187" s="177"/>
      <c r="M187" s="177"/>
      <c r="N187" s="177"/>
      <c r="O187" s="177"/>
      <c r="P187" s="177"/>
    </row>
    <row r="188" spans="3:16" x14ac:dyDescent="0.3">
      <c r="C188" s="292"/>
      <c r="D188" s="293"/>
      <c r="E188" s="294"/>
      <c r="F188" s="295"/>
      <c r="G188" s="296"/>
      <c r="H188" s="296"/>
      <c r="I188" s="297"/>
      <c r="J188" s="298"/>
      <c r="K188" s="297"/>
      <c r="L188" s="297"/>
      <c r="M188" s="297"/>
      <c r="N188" s="297"/>
      <c r="O188" s="297"/>
      <c r="P188" s="297"/>
    </row>
    <row r="189" spans="3:16" x14ac:dyDescent="0.3">
      <c r="C189" s="288"/>
      <c r="D189" s="289"/>
      <c r="E189" s="290"/>
      <c r="F189" s="175"/>
      <c r="G189" s="176"/>
      <c r="H189" s="176"/>
      <c r="I189" s="177"/>
      <c r="J189" s="291"/>
      <c r="K189" s="177"/>
      <c r="L189" s="177"/>
      <c r="M189" s="177"/>
      <c r="N189" s="177"/>
      <c r="O189" s="177"/>
      <c r="P189" s="177"/>
    </row>
    <row r="190" spans="3:16" x14ac:dyDescent="0.3">
      <c r="C190" s="288"/>
      <c r="D190" s="289"/>
      <c r="E190" s="290"/>
      <c r="F190" s="175"/>
      <c r="G190" s="176"/>
      <c r="H190" s="176"/>
      <c r="I190" s="177"/>
      <c r="J190" s="291"/>
      <c r="K190" s="177"/>
      <c r="L190" s="177"/>
      <c r="M190" s="177"/>
      <c r="N190" s="177"/>
      <c r="O190" s="177"/>
      <c r="P190" s="177"/>
    </row>
  </sheetData>
  <autoFilter ref="C16:P52" xr:uid="{00000000-0009-0000-0000-000000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honeticPr fontId="49" type="noConversion"/>
  <pageMargins left="0.39370078740157483" right="0" top="0.39370078740157483" bottom="0.78740157480314965" header="0.19685039370078741" footer="0.39370078740157483"/>
  <pageSetup paperSize="9" scale="66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etrado1" filterMode="1"/>
  <dimension ref="A1:W172"/>
  <sheetViews>
    <sheetView view="pageBreakPreview" zoomScaleNormal="85" zoomScaleSheetLayoutView="100" workbookViewId="0">
      <selection activeCell="F32" sqref="E32:F33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53.5546875" style="214" customWidth="1"/>
    <col min="5" max="5" width="4.88671875" style="215" customWidth="1"/>
    <col min="6" max="6" width="3.88671875" style="215" customWidth="1"/>
    <col min="7" max="7" width="6.5546875" style="216" customWidth="1"/>
    <col min="8" max="8" width="6.88671875" style="216" customWidth="1"/>
    <col min="9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33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30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2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307">
        <v>1</v>
      </c>
      <c r="D18" s="278" t="s">
        <v>30</v>
      </c>
      <c r="E18" s="308"/>
      <c r="F18" s="309"/>
      <c r="G18" s="310"/>
      <c r="H18" s="310"/>
      <c r="I18" s="310"/>
      <c r="J18" s="282"/>
      <c r="K18" s="186"/>
      <c r="L18" s="186"/>
      <c r="M18" s="186"/>
      <c r="N18" s="186"/>
      <c r="O18" s="186"/>
      <c r="P18" s="186"/>
    </row>
    <row r="19" spans="1:16" s="110" customFormat="1" x14ac:dyDescent="0.2">
      <c r="A19" s="107">
        <v>1</v>
      </c>
      <c r="B19" s="108"/>
      <c r="C19" s="145" t="s">
        <v>441</v>
      </c>
      <c r="D19" s="133" t="s">
        <v>17</v>
      </c>
      <c r="E19" s="50"/>
      <c r="F19" s="78"/>
      <c r="G19" s="53"/>
      <c r="H19" s="53"/>
      <c r="I19" s="53"/>
      <c r="J19" s="54"/>
      <c r="K19" s="55"/>
      <c r="L19" s="55"/>
      <c r="M19" s="55"/>
      <c r="N19" s="55"/>
      <c r="O19" s="55"/>
      <c r="P19" s="55"/>
    </row>
    <row r="20" spans="1:16" s="137" customFormat="1" x14ac:dyDescent="0.3">
      <c r="A20" s="137">
        <v>2</v>
      </c>
      <c r="C20" s="146" t="s">
        <v>406</v>
      </c>
      <c r="D20" s="135" t="s">
        <v>445</v>
      </c>
      <c r="E20" s="113"/>
      <c r="F20" s="114"/>
      <c r="G20" s="115"/>
      <c r="H20" s="115"/>
      <c r="I20" s="115"/>
      <c r="J20" s="116"/>
      <c r="K20" s="117"/>
      <c r="L20" s="117"/>
      <c r="M20" s="117"/>
      <c r="N20" s="117"/>
      <c r="O20" s="117"/>
      <c r="P20" s="117"/>
    </row>
    <row r="21" spans="1:16" s="137" customFormat="1" x14ac:dyDescent="0.3">
      <c r="A21" s="137">
        <v>3</v>
      </c>
      <c r="C21" s="118" t="s">
        <v>405</v>
      </c>
      <c r="D21" s="77" t="s">
        <v>23</v>
      </c>
      <c r="E21" s="119"/>
      <c r="F21" s="120"/>
      <c r="G21" s="115"/>
      <c r="H21" s="115"/>
      <c r="I21" s="115"/>
      <c r="J21" s="121"/>
      <c r="K21" s="122"/>
      <c r="L21" s="122"/>
      <c r="M21" s="122"/>
      <c r="N21" s="122"/>
      <c r="O21" s="122"/>
      <c r="P21" s="55"/>
    </row>
    <row r="22" spans="1:16" s="137" customFormat="1" x14ac:dyDescent="0.3">
      <c r="C22" s="143" t="s">
        <v>414</v>
      </c>
      <c r="D22" s="144" t="s">
        <v>152</v>
      </c>
      <c r="E22" s="50" t="s">
        <v>13</v>
      </c>
      <c r="F22" s="78"/>
      <c r="G22" s="52"/>
      <c r="H22" s="52"/>
      <c r="I22" s="52"/>
      <c r="J22" s="54"/>
      <c r="K22" s="55"/>
      <c r="L22" s="55"/>
      <c r="M22" s="55"/>
      <c r="N22" s="55"/>
      <c r="O22" s="55"/>
      <c r="P22" s="55">
        <f>SUM(L22:L27)</f>
        <v>51.95</v>
      </c>
    </row>
    <row r="23" spans="1:16" ht="10.199999999999999" customHeight="1" x14ac:dyDescent="0.3">
      <c r="C23" s="311"/>
      <c r="D23" s="57" t="s">
        <v>60</v>
      </c>
      <c r="E23" s="58"/>
      <c r="F23" s="62"/>
      <c r="G23" s="60"/>
      <c r="H23" s="60"/>
      <c r="I23" s="60"/>
      <c r="J23" s="62"/>
      <c r="K23" s="61"/>
      <c r="L23" s="61"/>
      <c r="M23" s="61"/>
      <c r="N23" s="61"/>
      <c r="O23" s="61"/>
      <c r="P23" s="61"/>
    </row>
    <row r="24" spans="1:16" ht="10.95" customHeight="1" x14ac:dyDescent="0.3">
      <c r="C24" s="63"/>
      <c r="D24" s="64" t="s">
        <v>62</v>
      </c>
      <c r="E24" s="65" t="s">
        <v>13</v>
      </c>
      <c r="F24" s="69">
        <v>1</v>
      </c>
      <c r="G24" s="67" t="s">
        <v>114</v>
      </c>
      <c r="H24" s="67">
        <v>40.299999999999997</v>
      </c>
      <c r="I24" s="111"/>
      <c r="J24" s="69">
        <v>1</v>
      </c>
      <c r="K24" s="68"/>
      <c r="L24" s="68">
        <f>IF(F24="","",PRODUCT(F24:J24))</f>
        <v>40.299999999999997</v>
      </c>
      <c r="M24" s="68"/>
      <c r="N24" s="68"/>
      <c r="O24" s="68"/>
      <c r="P24" s="68"/>
    </row>
    <row r="25" spans="1:16" ht="12" customHeight="1" x14ac:dyDescent="0.3">
      <c r="C25" s="63"/>
      <c r="D25" s="64"/>
      <c r="E25" s="65" t="s">
        <v>13</v>
      </c>
      <c r="F25" s="69">
        <v>2</v>
      </c>
      <c r="G25" s="67" t="s">
        <v>114</v>
      </c>
      <c r="H25" s="67">
        <v>0.6</v>
      </c>
      <c r="I25" s="111"/>
      <c r="J25" s="69">
        <v>1</v>
      </c>
      <c r="K25" s="68"/>
      <c r="L25" s="68">
        <f>IF(F25="","",PRODUCT(F25:J25))</f>
        <v>1.2</v>
      </c>
      <c r="M25" s="68"/>
      <c r="N25" s="68"/>
      <c r="O25" s="68"/>
      <c r="P25" s="68"/>
    </row>
    <row r="26" spans="1:16" ht="12" customHeight="1" x14ac:dyDescent="0.3">
      <c r="C26" s="63"/>
      <c r="D26" s="64"/>
      <c r="E26" s="65" t="s">
        <v>13</v>
      </c>
      <c r="F26" s="69">
        <v>11</v>
      </c>
      <c r="G26" s="67" t="s">
        <v>114</v>
      </c>
      <c r="H26" s="67">
        <v>0.95</v>
      </c>
      <c r="I26" s="111"/>
      <c r="J26" s="69">
        <v>1</v>
      </c>
      <c r="K26" s="68"/>
      <c r="L26" s="68">
        <f>IF(F26="","",PRODUCT(F26:J26))</f>
        <v>10.45</v>
      </c>
      <c r="M26" s="68"/>
      <c r="N26" s="68"/>
      <c r="O26" s="68"/>
      <c r="P26" s="68"/>
    </row>
    <row r="27" spans="1:16" ht="12" customHeight="1" x14ac:dyDescent="0.3">
      <c r="C27" s="63"/>
      <c r="D27" s="80"/>
      <c r="E27" s="65"/>
      <c r="F27" s="69"/>
      <c r="G27" s="67"/>
      <c r="H27" s="67"/>
      <c r="I27" s="67"/>
      <c r="J27" s="69"/>
      <c r="K27" s="68"/>
      <c r="L27" s="68"/>
      <c r="M27" s="68"/>
      <c r="N27" s="68"/>
      <c r="O27" s="68"/>
      <c r="P27" s="68"/>
    </row>
    <row r="28" spans="1:16" s="137" customFormat="1" x14ac:dyDescent="0.3">
      <c r="A28" s="137">
        <v>3</v>
      </c>
      <c r="C28" s="134" t="s">
        <v>423</v>
      </c>
      <c r="D28" s="135" t="s">
        <v>28</v>
      </c>
      <c r="E28" s="119"/>
      <c r="F28" s="120"/>
      <c r="G28" s="115"/>
      <c r="H28" s="115"/>
      <c r="I28" s="115"/>
      <c r="J28" s="121"/>
      <c r="K28" s="122"/>
      <c r="L28" s="122"/>
      <c r="M28" s="122"/>
      <c r="N28" s="122"/>
      <c r="O28" s="122"/>
      <c r="P28" s="55"/>
    </row>
    <row r="29" spans="1:16" s="137" customFormat="1" x14ac:dyDescent="0.3">
      <c r="A29" s="137">
        <v>3</v>
      </c>
      <c r="C29" s="118" t="s">
        <v>425</v>
      </c>
      <c r="D29" s="77" t="s">
        <v>159</v>
      </c>
      <c r="E29" s="119" t="s">
        <v>14</v>
      </c>
      <c r="F29" s="120"/>
      <c r="G29" s="115"/>
      <c r="H29" s="115"/>
      <c r="I29" s="115"/>
      <c r="J29" s="121"/>
      <c r="K29" s="122"/>
      <c r="L29" s="122"/>
      <c r="M29" s="122"/>
      <c r="N29" s="122"/>
      <c r="O29" s="122"/>
      <c r="P29" s="122">
        <f>SUM(O29:O37)</f>
        <v>9</v>
      </c>
    </row>
    <row r="30" spans="1:16" ht="9" customHeight="1" x14ac:dyDescent="0.3">
      <c r="C30" s="131"/>
      <c r="D30" s="83" t="s">
        <v>166</v>
      </c>
      <c r="E30" s="50"/>
      <c r="F30" s="154"/>
      <c r="G30" s="52"/>
      <c r="H30" s="52"/>
      <c r="I30" s="52"/>
      <c r="J30" s="155"/>
      <c r="K30" s="138"/>
      <c r="L30" s="138"/>
      <c r="M30" s="138"/>
      <c r="N30" s="138"/>
      <c r="O30" s="138"/>
      <c r="P30" s="132"/>
    </row>
    <row r="31" spans="1:16" ht="10.95" customHeight="1" x14ac:dyDescent="0.3">
      <c r="C31" s="72"/>
      <c r="D31" s="79" t="s">
        <v>111</v>
      </c>
      <c r="E31" s="73"/>
      <c r="F31" s="82"/>
      <c r="G31" s="52"/>
      <c r="H31" s="52"/>
      <c r="I31" s="52"/>
      <c r="J31" s="62"/>
      <c r="K31" s="61"/>
      <c r="L31" s="61"/>
      <c r="M31" s="61"/>
      <c r="N31" s="61"/>
      <c r="O31" s="61"/>
      <c r="P31" s="61"/>
    </row>
    <row r="32" spans="1:16" ht="12" customHeight="1" x14ac:dyDescent="0.3">
      <c r="C32" s="63"/>
      <c r="D32" s="80" t="s">
        <v>185</v>
      </c>
      <c r="E32" s="65" t="s">
        <v>14</v>
      </c>
      <c r="F32" s="69">
        <v>3</v>
      </c>
      <c r="G32" s="67"/>
      <c r="H32" s="67"/>
      <c r="I32" s="67"/>
      <c r="J32" s="66">
        <v>1</v>
      </c>
      <c r="K32" s="68"/>
      <c r="L32" s="68"/>
      <c r="M32" s="68"/>
      <c r="N32" s="68"/>
      <c r="O32" s="68">
        <f t="shared" ref="O32" si="0">IF(F32="","",PRODUCT(F32:J32))</f>
        <v>3</v>
      </c>
      <c r="P32" s="68"/>
    </row>
    <row r="33" spans="1:16" ht="12" customHeight="1" x14ac:dyDescent="0.3">
      <c r="C33" s="63"/>
      <c r="D33" s="79" t="s">
        <v>112</v>
      </c>
      <c r="E33" s="73"/>
      <c r="F33" s="82"/>
      <c r="G33" s="52"/>
      <c r="H33" s="52"/>
      <c r="I33" s="52"/>
      <c r="J33" s="59"/>
      <c r="K33" s="61"/>
      <c r="L33" s="61"/>
      <c r="M33" s="61"/>
      <c r="N33" s="61"/>
      <c r="O33" s="61"/>
      <c r="P33" s="68"/>
    </row>
    <row r="34" spans="1:16" ht="11.25" customHeight="1" x14ac:dyDescent="0.3">
      <c r="C34" s="63"/>
      <c r="D34" s="80" t="s">
        <v>185</v>
      </c>
      <c r="E34" s="65" t="s">
        <v>14</v>
      </c>
      <c r="F34" s="69">
        <v>3</v>
      </c>
      <c r="G34" s="67"/>
      <c r="H34" s="67"/>
      <c r="I34" s="67"/>
      <c r="J34" s="66">
        <v>1</v>
      </c>
      <c r="K34" s="68"/>
      <c r="L34" s="68"/>
      <c r="M34" s="68"/>
      <c r="N34" s="68"/>
      <c r="O34" s="68">
        <f t="shared" ref="O34" si="1">IF(F34="","",PRODUCT(F34:J34))</f>
        <v>3</v>
      </c>
      <c r="P34" s="68"/>
    </row>
    <row r="35" spans="1:16" ht="11.25" customHeight="1" x14ac:dyDescent="0.3">
      <c r="C35" s="63"/>
      <c r="D35" s="79" t="s">
        <v>107</v>
      </c>
      <c r="E35" s="73"/>
      <c r="F35" s="82"/>
      <c r="G35" s="52"/>
      <c r="H35" s="52"/>
      <c r="I35" s="52"/>
      <c r="J35" s="59"/>
      <c r="K35" s="61"/>
      <c r="L35" s="61"/>
      <c r="M35" s="61"/>
      <c r="N35" s="61"/>
      <c r="O35" s="61"/>
      <c r="P35" s="68"/>
    </row>
    <row r="36" spans="1:16" ht="11.4" customHeight="1" x14ac:dyDescent="0.3">
      <c r="C36" s="63"/>
      <c r="D36" s="80" t="s">
        <v>185</v>
      </c>
      <c r="E36" s="65" t="s">
        <v>14</v>
      </c>
      <c r="F36" s="69">
        <v>3</v>
      </c>
      <c r="G36" s="67"/>
      <c r="H36" s="67"/>
      <c r="I36" s="67"/>
      <c r="J36" s="66">
        <v>1</v>
      </c>
      <c r="K36" s="68"/>
      <c r="L36" s="68"/>
      <c r="M36" s="68"/>
      <c r="N36" s="68"/>
      <c r="O36" s="68">
        <f t="shared" ref="O36" si="2">IF(F36="","",PRODUCT(F36:J36))</f>
        <v>3</v>
      </c>
      <c r="P36" s="68"/>
    </row>
    <row r="37" spans="1:16" ht="11.25" customHeight="1" x14ac:dyDescent="0.3">
      <c r="C37" s="63"/>
      <c r="D37" s="84"/>
      <c r="E37" s="65"/>
      <c r="F37" s="85"/>
      <c r="G37" s="86"/>
      <c r="H37" s="86"/>
      <c r="I37" s="67"/>
      <c r="J37" s="69"/>
      <c r="K37" s="68"/>
      <c r="L37" s="68"/>
      <c r="M37" s="68"/>
      <c r="N37" s="68"/>
      <c r="O37" s="68"/>
      <c r="P37" s="68"/>
    </row>
    <row r="38" spans="1:16" x14ac:dyDescent="0.3">
      <c r="C38" s="97" t="s">
        <v>426</v>
      </c>
      <c r="D38" s="97" t="s">
        <v>29</v>
      </c>
      <c r="E38" s="101"/>
      <c r="F38" s="51"/>
      <c r="G38" s="52"/>
      <c r="H38" s="52"/>
      <c r="I38" s="109"/>
      <c r="J38" s="99"/>
      <c r="K38" s="100"/>
      <c r="L38" s="100"/>
      <c r="M38" s="100"/>
      <c r="N38" s="100"/>
      <c r="O38" s="100"/>
      <c r="P38" s="100"/>
    </row>
    <row r="39" spans="1:16" x14ac:dyDescent="0.3">
      <c r="C39" s="48" t="s">
        <v>443</v>
      </c>
      <c r="D39" s="49" t="s">
        <v>160</v>
      </c>
      <c r="E39" s="50" t="s">
        <v>13</v>
      </c>
      <c r="F39" s="51"/>
      <c r="G39" s="52"/>
      <c r="H39" s="52"/>
      <c r="I39" s="53"/>
      <c r="J39" s="54"/>
      <c r="K39" s="55"/>
      <c r="L39" s="55"/>
      <c r="M39" s="55"/>
      <c r="N39" s="55"/>
      <c r="O39" s="55"/>
      <c r="P39" s="55">
        <f>SUM(K39:K43)</f>
        <v>119.61000000000001</v>
      </c>
    </row>
    <row r="40" spans="1:16" s="150" customFormat="1" x14ac:dyDescent="0.2">
      <c r="A40" s="184"/>
      <c r="B40" s="149"/>
      <c r="C40" s="180"/>
      <c r="D40" s="80" t="s">
        <v>111</v>
      </c>
      <c r="E40" s="65" t="s">
        <v>13</v>
      </c>
      <c r="F40" s="69">
        <v>9</v>
      </c>
      <c r="G40" s="67">
        <f>(2*2.15)+0.15</f>
        <v>4.45</v>
      </c>
      <c r="H40" s="67"/>
      <c r="I40" s="67"/>
      <c r="J40" s="69">
        <v>1</v>
      </c>
      <c r="K40" s="68">
        <f t="shared" ref="K40:K42" si="3">PRODUCT(F40:J40)</f>
        <v>40.050000000000004</v>
      </c>
      <c r="L40" s="181"/>
      <c r="M40" s="182"/>
      <c r="N40" s="182"/>
      <c r="O40" s="183"/>
      <c r="P40" s="55"/>
    </row>
    <row r="41" spans="1:16" s="150" customFormat="1" x14ac:dyDescent="0.2">
      <c r="A41" s="184"/>
      <c r="B41" s="149"/>
      <c r="C41" s="180"/>
      <c r="D41" s="80" t="s">
        <v>112</v>
      </c>
      <c r="E41" s="65" t="s">
        <v>13</v>
      </c>
      <c r="F41" s="69">
        <v>9</v>
      </c>
      <c r="G41" s="67">
        <f>(2*2.17)+0.15</f>
        <v>4.49</v>
      </c>
      <c r="H41" s="67"/>
      <c r="I41" s="67"/>
      <c r="J41" s="69">
        <v>1</v>
      </c>
      <c r="K41" s="68">
        <f t="shared" si="3"/>
        <v>40.410000000000004</v>
      </c>
      <c r="L41" s="181"/>
      <c r="M41" s="182"/>
      <c r="N41" s="182"/>
      <c r="O41" s="183"/>
      <c r="P41" s="55"/>
    </row>
    <row r="42" spans="1:16" s="150" customFormat="1" x14ac:dyDescent="0.2">
      <c r="A42" s="184"/>
      <c r="B42" s="149"/>
      <c r="C42" s="56"/>
      <c r="D42" s="80" t="s">
        <v>107</v>
      </c>
      <c r="E42" s="65" t="s">
        <v>13</v>
      </c>
      <c r="F42" s="69">
        <v>9</v>
      </c>
      <c r="G42" s="67">
        <f>(2*2.1)+0.15</f>
        <v>4.3500000000000005</v>
      </c>
      <c r="H42" s="67"/>
      <c r="I42" s="67"/>
      <c r="J42" s="69">
        <v>1</v>
      </c>
      <c r="K42" s="68">
        <f t="shared" si="3"/>
        <v>39.150000000000006</v>
      </c>
      <c r="L42" s="181"/>
      <c r="M42" s="61"/>
      <c r="N42" s="61"/>
      <c r="O42" s="61"/>
      <c r="P42" s="55"/>
    </row>
    <row r="43" spans="1:16" x14ac:dyDescent="0.3">
      <c r="C43" s="173"/>
      <c r="D43" s="188"/>
      <c r="E43" s="189"/>
      <c r="F43" s="92"/>
      <c r="G43" s="86"/>
      <c r="H43" s="86"/>
      <c r="I43" s="190"/>
      <c r="J43" s="166"/>
      <c r="K43" s="111"/>
      <c r="L43" s="111"/>
      <c r="M43" s="111"/>
      <c r="N43" s="111"/>
      <c r="O43" s="111"/>
      <c r="P43" s="111"/>
    </row>
    <row r="44" spans="1:16" x14ac:dyDescent="0.3">
      <c r="C44" s="97" t="s">
        <v>428</v>
      </c>
      <c r="D44" s="98" t="s">
        <v>16</v>
      </c>
      <c r="E44" s="88"/>
      <c r="F44" s="51"/>
      <c r="G44" s="52"/>
      <c r="H44" s="52"/>
      <c r="I44" s="52"/>
      <c r="J44" s="59"/>
      <c r="K44" s="60"/>
      <c r="L44" s="60"/>
      <c r="M44" s="100"/>
      <c r="N44" s="100"/>
      <c r="O44" s="100"/>
      <c r="P44" s="100"/>
    </row>
    <row r="45" spans="1:16" ht="12" customHeight="1" x14ac:dyDescent="0.3">
      <c r="A45" s="104">
        <v>3</v>
      </c>
      <c r="C45" s="48" t="s">
        <v>430</v>
      </c>
      <c r="D45" s="77" t="s">
        <v>372</v>
      </c>
      <c r="E45" s="88" t="s">
        <v>13</v>
      </c>
      <c r="F45" s="51"/>
      <c r="G45" s="52"/>
      <c r="H45" s="52"/>
      <c r="I45" s="52"/>
      <c r="J45" s="59"/>
      <c r="K45" s="60"/>
      <c r="L45" s="60" t="str">
        <f>IF(F45="","",PRODUCT(F45:J45))</f>
        <v/>
      </c>
      <c r="M45" s="55"/>
      <c r="N45" s="55"/>
      <c r="O45" s="55"/>
      <c r="P45" s="55">
        <f>SUM(K45:K67)</f>
        <v>665.31999999999994</v>
      </c>
    </row>
    <row r="46" spans="1:16" ht="10.199999999999999" customHeight="1" x14ac:dyDescent="0.3">
      <c r="C46" s="131"/>
      <c r="D46" s="75" t="s">
        <v>145</v>
      </c>
      <c r="E46" s="73"/>
      <c r="F46" s="82"/>
      <c r="G46" s="52"/>
      <c r="H46" s="52"/>
      <c r="I46" s="52"/>
      <c r="J46" s="62"/>
      <c r="K46" s="61"/>
      <c r="L46" s="132"/>
      <c r="M46" s="132"/>
      <c r="N46" s="132"/>
      <c r="O46" s="132"/>
      <c r="P46" s="132"/>
    </row>
    <row r="47" spans="1:16" ht="9.6" customHeight="1" x14ac:dyDescent="0.3">
      <c r="C47" s="63"/>
      <c r="D47" s="81" t="s">
        <v>115</v>
      </c>
      <c r="E47" s="73"/>
      <c r="F47" s="82"/>
      <c r="G47" s="52"/>
      <c r="H47" s="52"/>
      <c r="I47" s="52"/>
      <c r="J47" s="62"/>
      <c r="K47" s="61"/>
      <c r="L47" s="68"/>
      <c r="M47" s="68"/>
      <c r="N47" s="68"/>
      <c r="O47" s="68"/>
      <c r="P47" s="68"/>
    </row>
    <row r="48" spans="1:16" ht="9" customHeight="1" x14ac:dyDescent="0.3">
      <c r="C48" s="63"/>
      <c r="D48" s="80" t="s">
        <v>169</v>
      </c>
      <c r="E48" s="90" t="s">
        <v>13</v>
      </c>
      <c r="F48" s="66">
        <v>1</v>
      </c>
      <c r="G48" s="67">
        <f>8.8+9.2+9.2+0.7+0.85*2+1.2*11</f>
        <v>42.8</v>
      </c>
      <c r="H48" s="67"/>
      <c r="I48" s="67"/>
      <c r="J48" s="66">
        <v>1</v>
      </c>
      <c r="K48" s="67">
        <f>F48*J48*G48</f>
        <v>42.8</v>
      </c>
      <c r="L48" s="68"/>
      <c r="M48" s="68"/>
      <c r="N48" s="68"/>
      <c r="O48" s="68"/>
      <c r="P48" s="68"/>
    </row>
    <row r="49" spans="1:16" ht="11.4" customHeight="1" x14ac:dyDescent="0.3">
      <c r="C49" s="63"/>
      <c r="D49" s="80" t="s">
        <v>170</v>
      </c>
      <c r="E49" s="90" t="s">
        <v>13</v>
      </c>
      <c r="F49" s="66">
        <f>12+2*2+4*11</f>
        <v>60</v>
      </c>
      <c r="G49" s="67">
        <v>1.2</v>
      </c>
      <c r="H49" s="67"/>
      <c r="I49" s="67"/>
      <c r="J49" s="66">
        <v>1</v>
      </c>
      <c r="K49" s="67">
        <f>F49*J49*G49</f>
        <v>72</v>
      </c>
      <c r="L49" s="68"/>
      <c r="M49" s="68"/>
      <c r="N49" s="68"/>
      <c r="O49" s="68"/>
      <c r="P49" s="68"/>
    </row>
    <row r="50" spans="1:16" ht="12" customHeight="1" x14ac:dyDescent="0.3">
      <c r="C50" s="63"/>
      <c r="D50" s="81" t="s">
        <v>139</v>
      </c>
      <c r="E50" s="73"/>
      <c r="F50" s="82"/>
      <c r="G50" s="52"/>
      <c r="H50" s="52"/>
      <c r="I50" s="52"/>
      <c r="J50" s="62"/>
      <c r="K50" s="61"/>
      <c r="L50" s="68"/>
      <c r="M50" s="68"/>
      <c r="N50" s="68"/>
      <c r="O50" s="68"/>
      <c r="P50" s="68"/>
    </row>
    <row r="51" spans="1:16" s="137" customFormat="1" x14ac:dyDescent="0.3">
      <c r="A51" s="137">
        <v>3</v>
      </c>
      <c r="C51" s="118"/>
      <c r="D51" s="80" t="s">
        <v>169</v>
      </c>
      <c r="E51" s="90" t="s">
        <v>13</v>
      </c>
      <c r="F51" s="66">
        <v>1</v>
      </c>
      <c r="G51" s="67">
        <f>8.8+9.2+9.2+0.7+0.6*2+0.95*11</f>
        <v>39.549999999999997</v>
      </c>
      <c r="H51" s="67"/>
      <c r="I51" s="67"/>
      <c r="J51" s="66">
        <v>1</v>
      </c>
      <c r="K51" s="67">
        <f>F51*J51*G51</f>
        <v>39.549999999999997</v>
      </c>
      <c r="L51" s="122"/>
      <c r="M51" s="122"/>
      <c r="N51" s="122"/>
      <c r="O51" s="122"/>
      <c r="P51" s="122"/>
    </row>
    <row r="52" spans="1:16" ht="9" customHeight="1" x14ac:dyDescent="0.3">
      <c r="C52" s="131"/>
      <c r="D52" s="80" t="s">
        <v>170</v>
      </c>
      <c r="E52" s="90" t="s">
        <v>13</v>
      </c>
      <c r="F52" s="66">
        <f>12+2*2+4*11</f>
        <v>60</v>
      </c>
      <c r="G52" s="67">
        <v>1.2</v>
      </c>
      <c r="H52" s="67"/>
      <c r="I52" s="67"/>
      <c r="J52" s="66">
        <v>1</v>
      </c>
      <c r="K52" s="67">
        <f>F52*J52*G52</f>
        <v>72</v>
      </c>
      <c r="L52" s="132"/>
      <c r="M52" s="132"/>
      <c r="N52" s="132"/>
      <c r="O52" s="132"/>
      <c r="P52" s="132"/>
    </row>
    <row r="53" spans="1:16" ht="9.6" customHeight="1" x14ac:dyDescent="0.3">
      <c r="C53" s="63"/>
      <c r="D53" s="81" t="s">
        <v>138</v>
      </c>
      <c r="E53" s="73"/>
      <c r="F53" s="82"/>
      <c r="G53" s="52"/>
      <c r="H53" s="52"/>
      <c r="I53" s="52"/>
      <c r="J53" s="62"/>
      <c r="K53" s="61"/>
      <c r="L53" s="68"/>
      <c r="M53" s="68"/>
      <c r="N53" s="68"/>
      <c r="O53" s="68"/>
      <c r="P53" s="68"/>
    </row>
    <row r="54" spans="1:16" ht="9.6" customHeight="1" x14ac:dyDescent="0.3">
      <c r="C54" s="63"/>
      <c r="D54" s="80" t="s">
        <v>169</v>
      </c>
      <c r="E54" s="90" t="s">
        <v>13</v>
      </c>
      <c r="F54" s="66">
        <v>1</v>
      </c>
      <c r="G54" s="67">
        <f>8.8+9.2+9.2+0.7+0.6*2+0.95*11</f>
        <v>39.549999999999997</v>
      </c>
      <c r="H54" s="67"/>
      <c r="I54" s="67"/>
      <c r="J54" s="66">
        <v>1</v>
      </c>
      <c r="K54" s="67">
        <f>F54*J54*G54</f>
        <v>39.549999999999997</v>
      </c>
      <c r="L54" s="68"/>
      <c r="M54" s="68"/>
      <c r="N54" s="68"/>
      <c r="O54" s="68"/>
      <c r="P54" s="68"/>
    </row>
    <row r="55" spans="1:16" s="137" customFormat="1" x14ac:dyDescent="0.3">
      <c r="A55" s="137">
        <v>2</v>
      </c>
      <c r="C55" s="112"/>
      <c r="D55" s="80" t="s">
        <v>170</v>
      </c>
      <c r="E55" s="90" t="s">
        <v>13</v>
      </c>
      <c r="F55" s="66">
        <f>12+2*2+4*11</f>
        <v>60</v>
      </c>
      <c r="G55" s="67">
        <v>1.2</v>
      </c>
      <c r="H55" s="67"/>
      <c r="I55" s="67"/>
      <c r="J55" s="66">
        <v>1</v>
      </c>
      <c r="K55" s="67">
        <f>F55*J55*G55</f>
        <v>72</v>
      </c>
      <c r="L55" s="117"/>
      <c r="M55" s="117"/>
      <c r="N55" s="117"/>
      <c r="O55" s="117"/>
      <c r="P55" s="117"/>
    </row>
    <row r="56" spans="1:16" s="137" customFormat="1" x14ac:dyDescent="0.3">
      <c r="A56" s="137">
        <v>3</v>
      </c>
      <c r="C56" s="140"/>
      <c r="D56" s="75"/>
      <c r="E56" s="73"/>
      <c r="F56" s="82"/>
      <c r="G56" s="52"/>
      <c r="H56" s="52"/>
      <c r="I56" s="52"/>
      <c r="J56" s="62"/>
      <c r="K56" s="61"/>
      <c r="L56" s="139"/>
      <c r="M56" s="139"/>
      <c r="N56" s="139"/>
      <c r="O56" s="139"/>
      <c r="P56" s="139"/>
    </row>
    <row r="57" spans="1:16" s="137" customFormat="1" x14ac:dyDescent="0.3">
      <c r="A57" s="137">
        <v>4</v>
      </c>
      <c r="C57" s="118"/>
      <c r="D57" s="75" t="s">
        <v>127</v>
      </c>
      <c r="E57" s="73"/>
      <c r="F57" s="82"/>
      <c r="G57" s="52"/>
      <c r="H57" s="52"/>
      <c r="I57" s="52"/>
      <c r="J57" s="62"/>
      <c r="K57" s="61"/>
      <c r="L57" s="122"/>
      <c r="M57" s="122"/>
      <c r="N57" s="122"/>
      <c r="O57" s="122"/>
      <c r="P57" s="122"/>
    </row>
    <row r="58" spans="1:16" ht="10.95" customHeight="1" x14ac:dyDescent="0.3">
      <c r="C58" s="141"/>
      <c r="D58" s="81" t="s">
        <v>115</v>
      </c>
      <c r="E58" s="73"/>
      <c r="F58" s="82"/>
      <c r="G58" s="52"/>
      <c r="H58" s="52"/>
      <c r="I58" s="52"/>
      <c r="J58" s="62"/>
      <c r="K58" s="61"/>
      <c r="L58" s="132"/>
      <c r="M58" s="132"/>
      <c r="N58" s="132"/>
      <c r="O58" s="132"/>
      <c r="P58" s="132"/>
    </row>
    <row r="59" spans="1:16" ht="10.199999999999999" customHeight="1" x14ac:dyDescent="0.3">
      <c r="C59" s="63"/>
      <c r="D59" s="80" t="s">
        <v>186</v>
      </c>
      <c r="E59" s="90" t="s">
        <v>13</v>
      </c>
      <c r="F59" s="66">
        <v>1</v>
      </c>
      <c r="G59" s="67">
        <v>34.679999999999993</v>
      </c>
      <c r="H59" s="67"/>
      <c r="I59" s="67"/>
      <c r="J59" s="66">
        <v>3</v>
      </c>
      <c r="K59" s="67">
        <f>F59*J59*G59</f>
        <v>104.03999999999998</v>
      </c>
      <c r="L59" s="68"/>
      <c r="M59" s="68"/>
      <c r="N59" s="68"/>
      <c r="O59" s="68"/>
      <c r="P59" s="68"/>
    </row>
    <row r="60" spans="1:16" s="137" customFormat="1" x14ac:dyDescent="0.3">
      <c r="A60" s="137">
        <v>2</v>
      </c>
      <c r="C60" s="112"/>
      <c r="D60" s="80" t="s">
        <v>187</v>
      </c>
      <c r="E60" s="90" t="s">
        <v>13</v>
      </c>
      <c r="F60" s="66">
        <v>17</v>
      </c>
      <c r="G60" s="67"/>
      <c r="H60" s="67"/>
      <c r="I60" s="67">
        <v>0.1</v>
      </c>
      <c r="J60" s="66">
        <v>3</v>
      </c>
      <c r="K60" s="67">
        <f>F60*J60*I60</f>
        <v>5.1000000000000005</v>
      </c>
      <c r="L60" s="117"/>
      <c r="M60" s="117"/>
      <c r="N60" s="117"/>
      <c r="O60" s="117"/>
      <c r="P60" s="117"/>
    </row>
    <row r="61" spans="1:16" s="137" customFormat="1" ht="11.25" customHeight="1" x14ac:dyDescent="0.3">
      <c r="A61" s="137">
        <v>3</v>
      </c>
      <c r="C61" s="140"/>
      <c r="D61" s="81" t="s">
        <v>139</v>
      </c>
      <c r="E61" s="73"/>
      <c r="F61" s="82"/>
      <c r="G61" s="52"/>
      <c r="H61" s="52"/>
      <c r="I61" s="52"/>
      <c r="J61" s="62"/>
      <c r="K61" s="61"/>
      <c r="L61" s="139"/>
      <c r="M61" s="139"/>
      <c r="N61" s="139"/>
      <c r="O61" s="139"/>
      <c r="P61" s="139"/>
    </row>
    <row r="62" spans="1:16" s="137" customFormat="1" x14ac:dyDescent="0.3">
      <c r="A62" s="137">
        <v>4</v>
      </c>
      <c r="C62" s="118"/>
      <c r="D62" s="80" t="s">
        <v>186</v>
      </c>
      <c r="E62" s="90" t="s">
        <v>13</v>
      </c>
      <c r="F62" s="66">
        <v>1</v>
      </c>
      <c r="G62" s="67">
        <v>34.679999999999993</v>
      </c>
      <c r="H62" s="67"/>
      <c r="I62" s="67"/>
      <c r="J62" s="66">
        <v>3</v>
      </c>
      <c r="K62" s="67">
        <f>F62*J62*G62</f>
        <v>104.03999999999998</v>
      </c>
      <c r="L62" s="122"/>
      <c r="M62" s="122"/>
      <c r="N62" s="122"/>
      <c r="O62" s="122"/>
      <c r="P62" s="122"/>
    </row>
    <row r="63" spans="1:16" ht="9.6" customHeight="1" x14ac:dyDescent="0.3">
      <c r="C63" s="142"/>
      <c r="D63" s="80" t="s">
        <v>187</v>
      </c>
      <c r="E63" s="90" t="s">
        <v>13</v>
      </c>
      <c r="F63" s="66">
        <v>17</v>
      </c>
      <c r="G63" s="67"/>
      <c r="H63" s="67"/>
      <c r="I63" s="67">
        <v>0.1</v>
      </c>
      <c r="J63" s="66">
        <v>3</v>
      </c>
      <c r="K63" s="67">
        <f>F63*J63*I63</f>
        <v>5.1000000000000005</v>
      </c>
      <c r="L63" s="132"/>
      <c r="M63" s="132"/>
      <c r="N63" s="132"/>
      <c r="O63" s="132"/>
      <c r="P63" s="132"/>
    </row>
    <row r="64" spans="1:16" ht="11.4" customHeight="1" x14ac:dyDescent="0.3">
      <c r="C64" s="63"/>
      <c r="D64" s="81" t="s">
        <v>138</v>
      </c>
      <c r="E64" s="73"/>
      <c r="F64" s="82"/>
      <c r="G64" s="52"/>
      <c r="H64" s="52"/>
      <c r="I64" s="52"/>
      <c r="J64" s="62"/>
      <c r="K64" s="61"/>
      <c r="L64" s="68"/>
      <c r="M64" s="68"/>
      <c r="N64" s="68"/>
      <c r="O64" s="68"/>
      <c r="P64" s="68"/>
    </row>
    <row r="65" spans="3:16" ht="11.4" customHeight="1" x14ac:dyDescent="0.3">
      <c r="C65" s="140"/>
      <c r="D65" s="80" t="s">
        <v>186</v>
      </c>
      <c r="E65" s="90" t="s">
        <v>13</v>
      </c>
      <c r="F65" s="66">
        <v>1</v>
      </c>
      <c r="G65" s="67">
        <v>34.679999999999993</v>
      </c>
      <c r="H65" s="67"/>
      <c r="I65" s="67"/>
      <c r="J65" s="66">
        <v>3</v>
      </c>
      <c r="K65" s="67">
        <f>F65*J65*G65</f>
        <v>104.03999999999998</v>
      </c>
      <c r="L65" s="68"/>
      <c r="M65" s="68"/>
      <c r="N65" s="68"/>
      <c r="O65" s="68"/>
      <c r="P65" s="68"/>
    </row>
    <row r="66" spans="3:16" ht="11.4" customHeight="1" x14ac:dyDescent="0.3">
      <c r="C66" s="118"/>
      <c r="D66" s="80" t="s">
        <v>187</v>
      </c>
      <c r="E66" s="90" t="s">
        <v>13</v>
      </c>
      <c r="F66" s="66">
        <v>17</v>
      </c>
      <c r="G66" s="67"/>
      <c r="H66" s="67"/>
      <c r="I66" s="67">
        <v>0.1</v>
      </c>
      <c r="J66" s="66">
        <v>3</v>
      </c>
      <c r="K66" s="67">
        <f>F66*J66*I66</f>
        <v>5.1000000000000005</v>
      </c>
      <c r="L66" s="68"/>
      <c r="M66" s="68"/>
      <c r="N66" s="68"/>
      <c r="O66" s="68"/>
      <c r="P66" s="61"/>
    </row>
    <row r="67" spans="3:16" ht="11.4" customHeight="1" x14ac:dyDescent="0.3">
      <c r="C67" s="118"/>
      <c r="D67" s="80"/>
      <c r="E67" s="90"/>
      <c r="F67" s="66"/>
      <c r="G67" s="67"/>
      <c r="H67" s="67"/>
      <c r="I67" s="67"/>
      <c r="J67" s="66"/>
      <c r="K67" s="67"/>
      <c r="L67" s="68"/>
      <c r="M67" s="68"/>
      <c r="N67" s="68"/>
      <c r="O67" s="68"/>
      <c r="P67" s="61"/>
    </row>
    <row r="68" spans="3:16" x14ac:dyDescent="0.3">
      <c r="C68" s="152"/>
      <c r="D68" s="312"/>
      <c r="E68" s="313"/>
      <c r="F68" s="314"/>
      <c r="G68" s="315"/>
      <c r="H68" s="315"/>
      <c r="I68" s="316"/>
      <c r="J68" s="317"/>
      <c r="K68" s="316"/>
      <c r="L68" s="316"/>
      <c r="M68" s="316"/>
      <c r="N68" s="316"/>
      <c r="O68" s="316"/>
      <c r="P68" s="316"/>
    </row>
    <row r="69" spans="3:16" x14ac:dyDescent="0.3">
      <c r="C69" s="152"/>
      <c r="D69" s="312"/>
      <c r="E69" s="313"/>
      <c r="F69" s="314"/>
      <c r="G69" s="315"/>
      <c r="H69" s="315"/>
      <c r="I69" s="316"/>
      <c r="J69" s="317"/>
      <c r="K69" s="316"/>
      <c r="L69" s="316"/>
      <c r="M69" s="316"/>
      <c r="N69" s="316"/>
      <c r="O69" s="316"/>
      <c r="P69" s="316"/>
    </row>
    <row r="70" spans="3:16" x14ac:dyDescent="0.3">
      <c r="C70" s="152"/>
      <c r="D70" s="312"/>
      <c r="E70" s="313"/>
      <c r="F70" s="314"/>
      <c r="G70" s="315"/>
      <c r="H70" s="315"/>
      <c r="I70" s="316"/>
      <c r="J70" s="317"/>
      <c r="K70" s="316"/>
      <c r="L70" s="316"/>
      <c r="M70" s="316"/>
      <c r="N70" s="316"/>
      <c r="O70" s="316"/>
      <c r="P70" s="316"/>
    </row>
    <row r="71" spans="3:16" x14ac:dyDescent="0.3">
      <c r="C71" s="152"/>
      <c r="D71" s="312"/>
      <c r="E71" s="313"/>
      <c r="F71" s="314"/>
      <c r="G71" s="315"/>
      <c r="H71" s="315"/>
      <c r="I71" s="316"/>
      <c r="J71" s="317"/>
      <c r="K71" s="316"/>
      <c r="L71" s="316"/>
      <c r="M71" s="316"/>
      <c r="N71" s="316"/>
      <c r="O71" s="316"/>
      <c r="P71" s="316"/>
    </row>
    <row r="72" spans="3:16" x14ac:dyDescent="0.3">
      <c r="C72" s="63"/>
      <c r="D72" s="64"/>
      <c r="E72" s="65"/>
      <c r="F72" s="66"/>
      <c r="G72" s="67"/>
      <c r="H72" s="67"/>
      <c r="I72" s="68"/>
      <c r="J72" s="69"/>
      <c r="K72" s="68"/>
      <c r="L72" s="68"/>
      <c r="M72" s="68"/>
      <c r="N72" s="68"/>
      <c r="O72" s="68"/>
      <c r="P72" s="68"/>
    </row>
    <row r="73" spans="3:16" x14ac:dyDescent="0.3">
      <c r="C73" s="63"/>
      <c r="D73" s="64"/>
      <c r="E73" s="65"/>
      <c r="F73" s="66"/>
      <c r="G73" s="67"/>
      <c r="H73" s="67"/>
      <c r="I73" s="68"/>
      <c r="J73" s="69"/>
      <c r="K73" s="68"/>
      <c r="L73" s="68"/>
      <c r="M73" s="68"/>
      <c r="N73" s="68"/>
      <c r="O73" s="68"/>
      <c r="P73" s="68"/>
    </row>
    <row r="74" spans="3:16" x14ac:dyDescent="0.3">
      <c r="C74" s="63"/>
      <c r="D74" s="64"/>
      <c r="E74" s="65"/>
      <c r="F74" s="66"/>
      <c r="G74" s="67"/>
      <c r="H74" s="67"/>
      <c r="I74" s="68"/>
      <c r="J74" s="69"/>
      <c r="K74" s="68"/>
      <c r="L74" s="68"/>
      <c r="M74" s="68"/>
      <c r="N74" s="68"/>
      <c r="O74" s="68"/>
      <c r="P74" s="68"/>
    </row>
    <row r="75" spans="3:16" x14ac:dyDescent="0.3">
      <c r="C75" s="63"/>
      <c r="D75" s="64"/>
      <c r="E75" s="65"/>
      <c r="F75" s="66"/>
      <c r="G75" s="67"/>
      <c r="H75" s="67"/>
      <c r="I75" s="68"/>
      <c r="J75" s="69"/>
      <c r="K75" s="68"/>
      <c r="L75" s="68"/>
      <c r="M75" s="68"/>
      <c r="N75" s="68"/>
      <c r="O75" s="68"/>
      <c r="P75" s="68"/>
    </row>
    <row r="76" spans="3:16" x14ac:dyDescent="0.3">
      <c r="C76" s="63"/>
      <c r="D76" s="64"/>
      <c r="E76" s="65"/>
      <c r="F76" s="66"/>
      <c r="G76" s="67"/>
      <c r="H76" s="67"/>
      <c r="I76" s="68"/>
      <c r="J76" s="69"/>
      <c r="K76" s="68"/>
      <c r="L76" s="68"/>
      <c r="M76" s="68"/>
      <c r="N76" s="68"/>
      <c r="O76" s="68"/>
      <c r="P76" s="68"/>
    </row>
    <row r="77" spans="3:16" x14ac:dyDescent="0.3">
      <c r="C77" s="63"/>
      <c r="D77" s="64"/>
      <c r="E77" s="65"/>
      <c r="F77" s="66"/>
      <c r="G77" s="67"/>
      <c r="H77" s="67"/>
      <c r="I77" s="68"/>
      <c r="J77" s="69"/>
      <c r="K77" s="68"/>
      <c r="L77" s="68"/>
      <c r="M77" s="68"/>
      <c r="N77" s="68"/>
      <c r="O77" s="68"/>
      <c r="P77" s="68"/>
    </row>
    <row r="78" spans="3:16" x14ac:dyDescent="0.3">
      <c r="C78" s="63"/>
      <c r="D78" s="64"/>
      <c r="E78" s="65"/>
      <c r="F78" s="66"/>
      <c r="G78" s="67"/>
      <c r="H78" s="67"/>
      <c r="I78" s="68"/>
      <c r="J78" s="69"/>
      <c r="K78" s="68"/>
      <c r="L78" s="68"/>
      <c r="M78" s="68"/>
      <c r="N78" s="68"/>
      <c r="O78" s="68"/>
      <c r="P78" s="68"/>
    </row>
    <row r="79" spans="3:16" x14ac:dyDescent="0.3">
      <c r="C79" s="63"/>
      <c r="D79" s="64"/>
      <c r="E79" s="65"/>
      <c r="F79" s="66"/>
      <c r="G79" s="67"/>
      <c r="H79" s="67"/>
      <c r="I79" s="68"/>
      <c r="J79" s="69"/>
      <c r="K79" s="68"/>
      <c r="L79" s="68"/>
      <c r="M79" s="68"/>
      <c r="N79" s="68"/>
      <c r="O79" s="68"/>
      <c r="P79" s="68"/>
    </row>
    <row r="80" spans="3:16" x14ac:dyDescent="0.3">
      <c r="C80" s="63"/>
      <c r="D80" s="64"/>
      <c r="E80" s="65"/>
      <c r="F80" s="66"/>
      <c r="G80" s="67"/>
      <c r="H80" s="67"/>
      <c r="I80" s="68"/>
      <c r="J80" s="69"/>
      <c r="K80" s="68"/>
      <c r="L80" s="68"/>
      <c r="M80" s="68"/>
      <c r="N80" s="68"/>
      <c r="O80" s="68"/>
      <c r="P80" s="68"/>
    </row>
    <row r="81" spans="3:16" x14ac:dyDescent="0.3">
      <c r="C81" s="63"/>
      <c r="D81" s="64"/>
      <c r="E81" s="65"/>
      <c r="F81" s="66"/>
      <c r="G81" s="67"/>
      <c r="H81" s="67"/>
      <c r="I81" s="68"/>
      <c r="J81" s="69"/>
      <c r="K81" s="68"/>
      <c r="L81" s="68"/>
      <c r="M81" s="68"/>
      <c r="N81" s="68"/>
      <c r="O81" s="68"/>
      <c r="P81" s="68"/>
    </row>
    <row r="82" spans="3:16" x14ac:dyDescent="0.3">
      <c r="C82" s="63"/>
      <c r="D82" s="64"/>
      <c r="E82" s="65"/>
      <c r="F82" s="66"/>
      <c r="G82" s="67"/>
      <c r="H82" s="67"/>
      <c r="I82" s="68"/>
      <c r="J82" s="69"/>
      <c r="K82" s="68"/>
      <c r="L82" s="68"/>
      <c r="M82" s="68"/>
      <c r="N82" s="68"/>
      <c r="O82" s="68"/>
      <c r="P82" s="68"/>
    </row>
    <row r="83" spans="3:16" x14ac:dyDescent="0.3">
      <c r="C83" s="63"/>
      <c r="D83" s="64"/>
      <c r="E83" s="65"/>
      <c r="F83" s="66"/>
      <c r="G83" s="67"/>
      <c r="H83" s="67"/>
      <c r="I83" s="68"/>
      <c r="J83" s="69"/>
      <c r="K83" s="68"/>
      <c r="L83" s="68"/>
      <c r="M83" s="68"/>
      <c r="N83" s="68"/>
      <c r="O83" s="68"/>
      <c r="P83" s="68"/>
    </row>
    <row r="84" spans="3:16" x14ac:dyDescent="0.3">
      <c r="C84" s="63"/>
      <c r="D84" s="64"/>
      <c r="E84" s="65"/>
      <c r="F84" s="66"/>
      <c r="G84" s="67"/>
      <c r="H84" s="67"/>
      <c r="I84" s="68"/>
      <c r="J84" s="69"/>
      <c r="K84" s="68"/>
      <c r="L84" s="68"/>
      <c r="M84" s="68"/>
      <c r="N84" s="68"/>
      <c r="O84" s="68"/>
      <c r="P84" s="68"/>
    </row>
    <row r="85" spans="3:16" x14ac:dyDescent="0.3">
      <c r="C85" s="63"/>
      <c r="D85" s="64"/>
      <c r="E85" s="65"/>
      <c r="F85" s="66"/>
      <c r="G85" s="67"/>
      <c r="H85" s="67"/>
      <c r="I85" s="68"/>
      <c r="J85" s="69"/>
      <c r="K85" s="68"/>
      <c r="L85" s="68"/>
      <c r="M85" s="68"/>
      <c r="N85" s="68"/>
      <c r="O85" s="68"/>
      <c r="P85" s="68"/>
    </row>
    <row r="86" spans="3:16" x14ac:dyDescent="0.3">
      <c r="C86" s="63"/>
      <c r="D86" s="64"/>
      <c r="E86" s="65"/>
      <c r="F86" s="66"/>
      <c r="G86" s="67"/>
      <c r="H86" s="67"/>
      <c r="I86" s="68"/>
      <c r="J86" s="69"/>
      <c r="K86" s="68"/>
      <c r="L86" s="68"/>
      <c r="M86" s="68"/>
      <c r="N86" s="68"/>
      <c r="O86" s="68"/>
      <c r="P86" s="68"/>
    </row>
    <row r="87" spans="3:16" x14ac:dyDescent="0.3">
      <c r="C87" s="63"/>
      <c r="D87" s="64"/>
      <c r="E87" s="65"/>
      <c r="F87" s="66"/>
      <c r="G87" s="67"/>
      <c r="H87" s="67"/>
      <c r="I87" s="68"/>
      <c r="J87" s="69"/>
      <c r="K87" s="68"/>
      <c r="L87" s="68"/>
      <c r="M87" s="68"/>
      <c r="N87" s="68"/>
      <c r="O87" s="68"/>
      <c r="P87" s="68"/>
    </row>
    <row r="88" spans="3:16" x14ac:dyDescent="0.3">
      <c r="C88" s="63"/>
      <c r="D88" s="64"/>
      <c r="E88" s="65"/>
      <c r="F88" s="66"/>
      <c r="G88" s="67"/>
      <c r="H88" s="67"/>
      <c r="I88" s="68"/>
      <c r="J88" s="69"/>
      <c r="K88" s="68"/>
      <c r="L88" s="68"/>
      <c r="M88" s="68"/>
      <c r="N88" s="68"/>
      <c r="O88" s="68"/>
      <c r="P88" s="68"/>
    </row>
    <row r="89" spans="3:16" x14ac:dyDescent="0.3">
      <c r="C89" s="63"/>
      <c r="D89" s="64"/>
      <c r="E89" s="65"/>
      <c r="F89" s="66"/>
      <c r="G89" s="67"/>
      <c r="H89" s="67"/>
      <c r="I89" s="68"/>
      <c r="J89" s="69"/>
      <c r="K89" s="68"/>
      <c r="L89" s="68"/>
      <c r="M89" s="68"/>
      <c r="N89" s="68"/>
      <c r="O89" s="68"/>
      <c r="P89" s="68"/>
    </row>
    <row r="90" spans="3:16" x14ac:dyDescent="0.3">
      <c r="C90" s="63"/>
      <c r="D90" s="64"/>
      <c r="E90" s="65"/>
      <c r="F90" s="66"/>
      <c r="G90" s="67"/>
      <c r="H90" s="67"/>
      <c r="I90" s="68"/>
      <c r="J90" s="69"/>
      <c r="K90" s="68"/>
      <c r="L90" s="68"/>
      <c r="M90" s="68"/>
      <c r="N90" s="68"/>
      <c r="O90" s="68"/>
      <c r="P90" s="68"/>
    </row>
    <row r="91" spans="3:16" x14ac:dyDescent="0.3">
      <c r="C91" s="63"/>
      <c r="D91" s="64"/>
      <c r="E91" s="65"/>
      <c r="F91" s="66"/>
      <c r="G91" s="67"/>
      <c r="H91" s="67"/>
      <c r="I91" s="68"/>
      <c r="J91" s="69"/>
      <c r="K91" s="68"/>
      <c r="L91" s="68"/>
      <c r="M91" s="68"/>
      <c r="N91" s="68"/>
      <c r="O91" s="68"/>
      <c r="P91" s="68"/>
    </row>
    <row r="92" spans="3:16" x14ac:dyDescent="0.3">
      <c r="C92" s="63"/>
      <c r="D92" s="64"/>
      <c r="E92" s="65"/>
      <c r="F92" s="66"/>
      <c r="G92" s="67"/>
      <c r="H92" s="67"/>
      <c r="I92" s="68"/>
      <c r="J92" s="69"/>
      <c r="K92" s="68"/>
      <c r="L92" s="68"/>
      <c r="M92" s="68"/>
      <c r="N92" s="68"/>
      <c r="O92" s="68"/>
      <c r="P92" s="68"/>
    </row>
    <row r="93" spans="3:16" x14ac:dyDescent="0.3">
      <c r="C93" s="63"/>
      <c r="D93" s="64"/>
      <c r="E93" s="65"/>
      <c r="F93" s="66"/>
      <c r="G93" s="67"/>
      <c r="H93" s="67"/>
      <c r="I93" s="68"/>
      <c r="J93" s="69"/>
      <c r="K93" s="68"/>
      <c r="L93" s="68"/>
      <c r="M93" s="68"/>
      <c r="N93" s="68"/>
      <c r="O93" s="68"/>
      <c r="P93" s="68"/>
    </row>
    <row r="94" spans="3:16" x14ac:dyDescent="0.3">
      <c r="C94" s="63"/>
      <c r="D94" s="64"/>
      <c r="E94" s="65"/>
      <c r="F94" s="66"/>
      <c r="G94" s="67"/>
      <c r="H94" s="67"/>
      <c r="I94" s="68"/>
      <c r="J94" s="69"/>
      <c r="K94" s="68"/>
      <c r="L94" s="68"/>
      <c r="M94" s="68"/>
      <c r="N94" s="68"/>
      <c r="O94" s="68"/>
      <c r="P94" s="68"/>
    </row>
    <row r="95" spans="3:16" x14ac:dyDescent="0.3">
      <c r="C95" s="63"/>
      <c r="D95" s="64"/>
      <c r="E95" s="65"/>
      <c r="F95" s="66"/>
      <c r="G95" s="67"/>
      <c r="H95" s="67"/>
      <c r="I95" s="68"/>
      <c r="J95" s="69"/>
      <c r="K95" s="68"/>
      <c r="L95" s="68"/>
      <c r="M95" s="68"/>
      <c r="N95" s="68"/>
      <c r="O95" s="68"/>
      <c r="P95" s="68"/>
    </row>
    <row r="96" spans="3:16" x14ac:dyDescent="0.3">
      <c r="C96" s="63"/>
      <c r="D96" s="64"/>
      <c r="E96" s="65"/>
      <c r="F96" s="66"/>
      <c r="G96" s="67"/>
      <c r="H96" s="67"/>
      <c r="I96" s="68"/>
      <c r="J96" s="69"/>
      <c r="K96" s="68"/>
      <c r="L96" s="68"/>
      <c r="M96" s="68"/>
      <c r="N96" s="68"/>
      <c r="O96" s="68"/>
      <c r="P96" s="68"/>
    </row>
    <row r="97" spans="3:16" x14ac:dyDescent="0.3">
      <c r="C97" s="63"/>
      <c r="D97" s="64"/>
      <c r="E97" s="65"/>
      <c r="F97" s="66"/>
      <c r="G97" s="67"/>
      <c r="H97" s="67"/>
      <c r="I97" s="68"/>
      <c r="J97" s="69"/>
      <c r="K97" s="68"/>
      <c r="L97" s="68"/>
      <c r="M97" s="68"/>
      <c r="N97" s="68"/>
      <c r="O97" s="68"/>
      <c r="P97" s="68"/>
    </row>
    <row r="98" spans="3:16" x14ac:dyDescent="0.3">
      <c r="C98" s="63"/>
      <c r="D98" s="64"/>
      <c r="E98" s="65"/>
      <c r="F98" s="66"/>
      <c r="G98" s="67"/>
      <c r="H98" s="67"/>
      <c r="I98" s="68"/>
      <c r="J98" s="69"/>
      <c r="K98" s="68"/>
      <c r="L98" s="68"/>
      <c r="M98" s="68"/>
      <c r="N98" s="68"/>
      <c r="O98" s="68"/>
      <c r="P98" s="68"/>
    </row>
    <row r="99" spans="3:16" x14ac:dyDescent="0.3">
      <c r="C99" s="63"/>
      <c r="D99" s="64"/>
      <c r="E99" s="65"/>
      <c r="F99" s="66"/>
      <c r="G99" s="67"/>
      <c r="H99" s="67"/>
      <c r="I99" s="68"/>
      <c r="J99" s="69"/>
      <c r="K99" s="68"/>
      <c r="L99" s="68"/>
      <c r="M99" s="68"/>
      <c r="N99" s="68"/>
      <c r="O99" s="68"/>
      <c r="P99" s="68"/>
    </row>
    <row r="100" spans="3:16" x14ac:dyDescent="0.3">
      <c r="C100" s="63"/>
      <c r="D100" s="64"/>
      <c r="E100" s="65"/>
      <c r="F100" s="66"/>
      <c r="G100" s="67"/>
      <c r="H100" s="67"/>
      <c r="I100" s="68"/>
      <c r="J100" s="69"/>
      <c r="K100" s="68"/>
      <c r="L100" s="68"/>
      <c r="M100" s="68"/>
      <c r="N100" s="68"/>
      <c r="O100" s="68"/>
      <c r="P100" s="68"/>
    </row>
    <row r="101" spans="3:16" x14ac:dyDescent="0.3">
      <c r="C101" s="63"/>
      <c r="D101" s="64"/>
      <c r="E101" s="65"/>
      <c r="F101" s="66"/>
      <c r="G101" s="67"/>
      <c r="H101" s="67"/>
      <c r="I101" s="68"/>
      <c r="J101" s="69"/>
      <c r="K101" s="68"/>
      <c r="L101" s="68"/>
      <c r="M101" s="68"/>
      <c r="N101" s="68"/>
      <c r="O101" s="68"/>
      <c r="P101" s="68"/>
    </row>
    <row r="102" spans="3:16" x14ac:dyDescent="0.3">
      <c r="C102" s="63"/>
      <c r="D102" s="64"/>
      <c r="E102" s="65"/>
      <c r="F102" s="66"/>
      <c r="G102" s="67"/>
      <c r="H102" s="67"/>
      <c r="I102" s="68"/>
      <c r="J102" s="69"/>
      <c r="K102" s="68"/>
      <c r="L102" s="68"/>
      <c r="M102" s="68"/>
      <c r="N102" s="68"/>
      <c r="O102" s="68"/>
      <c r="P102" s="68"/>
    </row>
    <row r="103" spans="3:16" x14ac:dyDescent="0.3">
      <c r="C103" s="63"/>
      <c r="D103" s="64"/>
      <c r="E103" s="65"/>
      <c r="F103" s="66"/>
      <c r="G103" s="67"/>
      <c r="H103" s="67"/>
      <c r="I103" s="68"/>
      <c r="J103" s="69"/>
      <c r="K103" s="68"/>
      <c r="L103" s="68"/>
      <c r="M103" s="68"/>
      <c r="N103" s="68"/>
      <c r="O103" s="68"/>
      <c r="P103" s="68"/>
    </row>
    <row r="104" spans="3:16" x14ac:dyDescent="0.3">
      <c r="C104" s="56"/>
      <c r="D104" s="57"/>
      <c r="E104" s="58"/>
      <c r="F104" s="59"/>
      <c r="G104" s="60"/>
      <c r="H104" s="60"/>
      <c r="I104" s="61"/>
      <c r="J104" s="62"/>
      <c r="K104" s="61"/>
      <c r="L104" s="61"/>
      <c r="M104" s="61"/>
      <c r="N104" s="61"/>
      <c r="O104" s="61"/>
      <c r="P104" s="61"/>
    </row>
    <row r="105" spans="3:16" x14ac:dyDescent="0.3">
      <c r="C105" s="63"/>
      <c r="D105" s="64"/>
      <c r="E105" s="65"/>
      <c r="F105" s="66"/>
      <c r="G105" s="67"/>
      <c r="H105" s="67"/>
      <c r="I105" s="68"/>
      <c r="J105" s="69"/>
      <c r="K105" s="68"/>
      <c r="L105" s="68"/>
      <c r="M105" s="68"/>
      <c r="N105" s="68"/>
      <c r="O105" s="68"/>
      <c r="P105" s="68"/>
    </row>
    <row r="106" spans="3:16" x14ac:dyDescent="0.3">
      <c r="C106" s="63"/>
      <c r="D106" s="64"/>
      <c r="E106" s="65"/>
      <c r="F106" s="66"/>
      <c r="G106" s="67"/>
      <c r="H106" s="67"/>
      <c r="I106" s="68"/>
      <c r="J106" s="69"/>
      <c r="K106" s="68"/>
      <c r="L106" s="68"/>
      <c r="M106" s="68"/>
      <c r="N106" s="68"/>
      <c r="O106" s="68"/>
      <c r="P106" s="68"/>
    </row>
    <row r="107" spans="3:16" x14ac:dyDescent="0.3">
      <c r="C107" s="63"/>
      <c r="D107" s="64"/>
      <c r="E107" s="65"/>
      <c r="F107" s="66"/>
      <c r="G107" s="67"/>
      <c r="H107" s="67"/>
      <c r="I107" s="68"/>
      <c r="J107" s="69"/>
      <c r="K107" s="68"/>
      <c r="L107" s="68"/>
      <c r="M107" s="68"/>
      <c r="N107" s="68"/>
      <c r="O107" s="68"/>
      <c r="P107" s="68"/>
    </row>
    <row r="108" spans="3:16" x14ac:dyDescent="0.3">
      <c r="C108" s="63"/>
      <c r="D108" s="64"/>
      <c r="E108" s="65"/>
      <c r="F108" s="66"/>
      <c r="G108" s="67"/>
      <c r="H108" s="67"/>
      <c r="I108" s="68"/>
      <c r="J108" s="69"/>
      <c r="K108" s="68"/>
      <c r="L108" s="68"/>
      <c r="M108" s="68"/>
      <c r="N108" s="68"/>
      <c r="O108" s="68"/>
      <c r="P108" s="68"/>
    </row>
    <row r="109" spans="3:16" x14ac:dyDescent="0.3">
      <c r="C109" s="63"/>
      <c r="D109" s="64"/>
      <c r="E109" s="65"/>
      <c r="F109" s="66"/>
      <c r="G109" s="67"/>
      <c r="H109" s="67"/>
      <c r="I109" s="68"/>
      <c r="J109" s="69"/>
      <c r="K109" s="68"/>
      <c r="L109" s="68"/>
      <c r="M109" s="68"/>
      <c r="N109" s="68"/>
      <c r="O109" s="68"/>
      <c r="P109" s="68"/>
    </row>
    <row r="110" spans="3:16" x14ac:dyDescent="0.3">
      <c r="C110" s="63"/>
      <c r="D110" s="64"/>
      <c r="E110" s="65"/>
      <c r="F110" s="66"/>
      <c r="G110" s="67"/>
      <c r="H110" s="67"/>
      <c r="I110" s="68"/>
      <c r="J110" s="69"/>
      <c r="K110" s="68"/>
      <c r="L110" s="68"/>
      <c r="M110" s="68"/>
      <c r="N110" s="68"/>
      <c r="O110" s="68"/>
      <c r="P110" s="68"/>
    </row>
    <row r="111" spans="3:16" x14ac:dyDescent="0.3">
      <c r="C111" s="63"/>
      <c r="D111" s="64"/>
      <c r="E111" s="65"/>
      <c r="F111" s="66"/>
      <c r="G111" s="67"/>
      <c r="H111" s="67"/>
      <c r="I111" s="68"/>
      <c r="J111" s="69"/>
      <c r="K111" s="68"/>
      <c r="L111" s="68"/>
      <c r="M111" s="68"/>
      <c r="N111" s="68"/>
      <c r="O111" s="68"/>
      <c r="P111" s="68"/>
    </row>
    <row r="112" spans="3:16" x14ac:dyDescent="0.3">
      <c r="C112" s="63"/>
      <c r="D112" s="64"/>
      <c r="E112" s="65"/>
      <c r="F112" s="66"/>
      <c r="G112" s="67"/>
      <c r="H112" s="67"/>
      <c r="I112" s="68"/>
      <c r="J112" s="69"/>
      <c r="K112" s="68"/>
      <c r="L112" s="68"/>
      <c r="M112" s="68"/>
      <c r="N112" s="68"/>
      <c r="O112" s="68"/>
      <c r="P112" s="68"/>
    </row>
    <row r="113" spans="3:16" x14ac:dyDescent="0.3">
      <c r="C113" s="63"/>
      <c r="D113" s="64"/>
      <c r="E113" s="65"/>
      <c r="F113" s="66"/>
      <c r="G113" s="67"/>
      <c r="H113" s="67"/>
      <c r="I113" s="68"/>
      <c r="J113" s="69"/>
      <c r="K113" s="68"/>
      <c r="L113" s="68"/>
      <c r="M113" s="68"/>
      <c r="N113" s="68"/>
      <c r="O113" s="68"/>
      <c r="P113" s="68"/>
    </row>
    <row r="114" spans="3:16" x14ac:dyDescent="0.3">
      <c r="C114" s="63"/>
      <c r="D114" s="64"/>
      <c r="E114" s="65"/>
      <c r="F114" s="66"/>
      <c r="G114" s="67"/>
      <c r="H114" s="67"/>
      <c r="I114" s="68"/>
      <c r="J114" s="69"/>
      <c r="K114" s="68"/>
      <c r="L114" s="68"/>
      <c r="M114" s="68"/>
      <c r="N114" s="68"/>
      <c r="O114" s="68"/>
      <c r="P114" s="68"/>
    </row>
    <row r="115" spans="3:16" x14ac:dyDescent="0.3">
      <c r="C115" s="63"/>
      <c r="D115" s="64"/>
      <c r="E115" s="65"/>
      <c r="F115" s="66"/>
      <c r="G115" s="67"/>
      <c r="H115" s="67"/>
      <c r="I115" s="68"/>
      <c r="J115" s="69"/>
      <c r="K115" s="68"/>
      <c r="L115" s="68"/>
      <c r="M115" s="68"/>
      <c r="N115" s="68"/>
      <c r="O115" s="68"/>
      <c r="P115" s="68"/>
    </row>
    <row r="116" spans="3:16" x14ac:dyDescent="0.3">
      <c r="C116" s="63"/>
      <c r="D116" s="64"/>
      <c r="E116" s="65"/>
      <c r="F116" s="66"/>
      <c r="G116" s="67"/>
      <c r="H116" s="67"/>
      <c r="I116" s="68"/>
      <c r="J116" s="69"/>
      <c r="K116" s="68"/>
      <c r="L116" s="68"/>
      <c r="M116" s="68"/>
      <c r="N116" s="68"/>
      <c r="O116" s="68"/>
      <c r="P116" s="68"/>
    </row>
    <row r="117" spans="3:16" x14ac:dyDescent="0.3">
      <c r="C117" s="63"/>
      <c r="D117" s="64"/>
      <c r="E117" s="65"/>
      <c r="F117" s="66"/>
      <c r="G117" s="67"/>
      <c r="H117" s="67"/>
      <c r="I117" s="68"/>
      <c r="J117" s="69"/>
      <c r="K117" s="68"/>
      <c r="L117" s="68"/>
      <c r="M117" s="68"/>
      <c r="N117" s="68"/>
      <c r="O117" s="68"/>
      <c r="P117" s="68"/>
    </row>
    <row r="118" spans="3:16" x14ac:dyDescent="0.3">
      <c r="C118" s="56"/>
      <c r="D118" s="57"/>
      <c r="E118" s="58"/>
      <c r="F118" s="59"/>
      <c r="G118" s="60"/>
      <c r="H118" s="60"/>
      <c r="I118" s="61"/>
      <c r="J118" s="62"/>
      <c r="K118" s="61"/>
      <c r="L118" s="61"/>
      <c r="M118" s="61"/>
      <c r="N118" s="61"/>
      <c r="O118" s="61"/>
      <c r="P118" s="61"/>
    </row>
    <row r="119" spans="3:16" x14ac:dyDescent="0.3">
      <c r="C119" s="63"/>
      <c r="D119" s="64"/>
      <c r="E119" s="65"/>
      <c r="F119" s="66"/>
      <c r="G119" s="67"/>
      <c r="H119" s="67"/>
      <c r="I119" s="68"/>
      <c r="J119" s="69"/>
      <c r="K119" s="68"/>
      <c r="L119" s="68"/>
      <c r="M119" s="68"/>
      <c r="N119" s="68"/>
      <c r="O119" s="68"/>
      <c r="P119" s="68"/>
    </row>
    <row r="120" spans="3:16" x14ac:dyDescent="0.3">
      <c r="C120" s="63"/>
      <c r="D120" s="64"/>
      <c r="E120" s="65"/>
      <c r="F120" s="66"/>
      <c r="G120" s="67"/>
      <c r="H120" s="67"/>
      <c r="I120" s="68"/>
      <c r="J120" s="69"/>
      <c r="K120" s="68"/>
      <c r="L120" s="68"/>
      <c r="M120" s="68"/>
      <c r="N120" s="68"/>
      <c r="O120" s="68"/>
      <c r="P120" s="68"/>
    </row>
    <row r="121" spans="3:16" x14ac:dyDescent="0.3">
      <c r="C121" s="63"/>
      <c r="D121" s="64"/>
      <c r="E121" s="65"/>
      <c r="F121" s="66"/>
      <c r="G121" s="67"/>
      <c r="H121" s="67"/>
      <c r="I121" s="68"/>
      <c r="J121" s="69"/>
      <c r="K121" s="68"/>
      <c r="L121" s="68"/>
      <c r="M121" s="68"/>
      <c r="N121" s="68"/>
      <c r="O121" s="68"/>
      <c r="P121" s="68"/>
    </row>
    <row r="122" spans="3:16" x14ac:dyDescent="0.3">
      <c r="C122" s="63"/>
      <c r="D122" s="64"/>
      <c r="E122" s="65"/>
      <c r="F122" s="66"/>
      <c r="G122" s="67"/>
      <c r="H122" s="67"/>
      <c r="I122" s="68"/>
      <c r="J122" s="69"/>
      <c r="K122" s="68"/>
      <c r="L122" s="68"/>
      <c r="M122" s="68"/>
      <c r="N122" s="68"/>
      <c r="O122" s="68"/>
      <c r="P122" s="68"/>
    </row>
    <row r="123" spans="3:16" x14ac:dyDescent="0.3">
      <c r="C123" s="63"/>
      <c r="D123" s="64"/>
      <c r="E123" s="65"/>
      <c r="F123" s="66"/>
      <c r="G123" s="67"/>
      <c r="H123" s="67"/>
      <c r="I123" s="68"/>
      <c r="J123" s="69"/>
      <c r="K123" s="68"/>
      <c r="L123" s="68"/>
      <c r="M123" s="68"/>
      <c r="N123" s="68"/>
      <c r="O123" s="68"/>
      <c r="P123" s="68"/>
    </row>
    <row r="124" spans="3:16" x14ac:dyDescent="0.3">
      <c r="C124" s="63"/>
      <c r="D124" s="64"/>
      <c r="E124" s="65"/>
      <c r="F124" s="66"/>
      <c r="G124" s="67"/>
      <c r="H124" s="67"/>
      <c r="I124" s="68"/>
      <c r="J124" s="69"/>
      <c r="K124" s="68"/>
      <c r="L124" s="68"/>
      <c r="M124" s="68"/>
      <c r="N124" s="68"/>
      <c r="O124" s="68"/>
      <c r="P124" s="68"/>
    </row>
    <row r="125" spans="3:16" x14ac:dyDescent="0.3">
      <c r="C125" s="63"/>
      <c r="D125" s="64"/>
      <c r="E125" s="65"/>
      <c r="F125" s="66"/>
      <c r="G125" s="67"/>
      <c r="H125" s="67"/>
      <c r="I125" s="68"/>
      <c r="J125" s="69"/>
      <c r="K125" s="68"/>
      <c r="L125" s="68"/>
      <c r="M125" s="68"/>
      <c r="N125" s="68"/>
      <c r="O125" s="68"/>
      <c r="P125" s="68"/>
    </row>
    <row r="126" spans="3:16" x14ac:dyDescent="0.3">
      <c r="C126" s="63"/>
      <c r="D126" s="64"/>
      <c r="E126" s="65"/>
      <c r="F126" s="66"/>
      <c r="G126" s="67"/>
      <c r="H126" s="67"/>
      <c r="I126" s="68"/>
      <c r="J126" s="69"/>
      <c r="K126" s="68"/>
      <c r="L126" s="68"/>
      <c r="M126" s="68"/>
      <c r="N126" s="68"/>
      <c r="O126" s="68"/>
      <c r="P126" s="68"/>
    </row>
    <row r="127" spans="3:16" x14ac:dyDescent="0.3">
      <c r="C127" s="63"/>
      <c r="D127" s="64"/>
      <c r="E127" s="65"/>
      <c r="F127" s="66"/>
      <c r="G127" s="67"/>
      <c r="H127" s="67"/>
      <c r="I127" s="68"/>
      <c r="J127" s="69"/>
      <c r="K127" s="68"/>
      <c r="L127" s="68"/>
      <c r="M127" s="68"/>
      <c r="N127" s="68"/>
      <c r="O127" s="68"/>
      <c r="P127" s="68"/>
    </row>
    <row r="128" spans="3:16" x14ac:dyDescent="0.3">
      <c r="C128" s="63"/>
      <c r="D128" s="64"/>
      <c r="E128" s="65"/>
      <c r="F128" s="66"/>
      <c r="G128" s="67"/>
      <c r="H128" s="67"/>
      <c r="I128" s="68"/>
      <c r="J128" s="69"/>
      <c r="K128" s="68"/>
      <c r="L128" s="68"/>
      <c r="M128" s="68"/>
      <c r="N128" s="68"/>
      <c r="O128" s="68"/>
      <c r="P128" s="68"/>
    </row>
    <row r="129" spans="3:16" x14ac:dyDescent="0.3">
      <c r="C129" s="63"/>
      <c r="D129" s="64"/>
      <c r="E129" s="65"/>
      <c r="F129" s="66"/>
      <c r="G129" s="67"/>
      <c r="H129" s="67"/>
      <c r="I129" s="68"/>
      <c r="J129" s="69"/>
      <c r="K129" s="68"/>
      <c r="L129" s="68"/>
      <c r="M129" s="68"/>
      <c r="N129" s="68"/>
      <c r="O129" s="68"/>
      <c r="P129" s="68"/>
    </row>
    <row r="130" spans="3:16" x14ac:dyDescent="0.3">
      <c r="C130" s="63"/>
      <c r="D130" s="64"/>
      <c r="E130" s="65"/>
      <c r="F130" s="66"/>
      <c r="G130" s="67"/>
      <c r="H130" s="67"/>
      <c r="I130" s="68"/>
      <c r="J130" s="69"/>
      <c r="K130" s="68"/>
      <c r="L130" s="68"/>
      <c r="M130" s="68"/>
      <c r="N130" s="68"/>
      <c r="O130" s="68"/>
      <c r="P130" s="68"/>
    </row>
    <row r="131" spans="3:16" x14ac:dyDescent="0.3">
      <c r="C131" s="63"/>
      <c r="D131" s="64"/>
      <c r="E131" s="65"/>
      <c r="F131" s="66"/>
      <c r="G131" s="67"/>
      <c r="H131" s="67"/>
      <c r="I131" s="68"/>
      <c r="J131" s="69"/>
      <c r="K131" s="68"/>
      <c r="L131" s="68"/>
      <c r="M131" s="68"/>
      <c r="N131" s="68"/>
      <c r="O131" s="68"/>
      <c r="P131" s="68"/>
    </row>
    <row r="132" spans="3:16" x14ac:dyDescent="0.3">
      <c r="C132" s="63"/>
      <c r="D132" s="64"/>
      <c r="E132" s="65"/>
      <c r="F132" s="66"/>
      <c r="G132" s="67"/>
      <c r="H132" s="67"/>
      <c r="I132" s="68"/>
      <c r="J132" s="69"/>
      <c r="K132" s="68"/>
      <c r="L132" s="68"/>
      <c r="M132" s="68"/>
      <c r="N132" s="68"/>
      <c r="O132" s="68"/>
      <c r="P132" s="68"/>
    </row>
    <row r="133" spans="3:16" x14ac:dyDescent="0.3">
      <c r="C133" s="63"/>
      <c r="D133" s="64"/>
      <c r="E133" s="65"/>
      <c r="F133" s="66"/>
      <c r="G133" s="67"/>
      <c r="H133" s="67"/>
      <c r="I133" s="68"/>
      <c r="J133" s="69"/>
      <c r="K133" s="68"/>
      <c r="L133" s="68"/>
      <c r="M133" s="68"/>
      <c r="N133" s="68"/>
      <c r="O133" s="68"/>
      <c r="P133" s="68"/>
    </row>
    <row r="134" spans="3:16" x14ac:dyDescent="0.3">
      <c r="C134" s="63"/>
      <c r="D134" s="64"/>
      <c r="E134" s="65"/>
      <c r="F134" s="66"/>
      <c r="G134" s="67"/>
      <c r="H134" s="67"/>
      <c r="I134" s="68"/>
      <c r="J134" s="69"/>
      <c r="K134" s="68"/>
      <c r="L134" s="68"/>
      <c r="M134" s="68"/>
      <c r="N134" s="68"/>
      <c r="O134" s="68"/>
      <c r="P134" s="68"/>
    </row>
    <row r="135" spans="3:16" x14ac:dyDescent="0.3">
      <c r="C135" s="63"/>
      <c r="D135" s="64"/>
      <c r="E135" s="65"/>
      <c r="F135" s="66"/>
      <c r="G135" s="67"/>
      <c r="H135" s="67"/>
      <c r="I135" s="68"/>
      <c r="J135" s="69"/>
      <c r="K135" s="68"/>
      <c r="L135" s="68"/>
      <c r="M135" s="68"/>
      <c r="N135" s="68"/>
      <c r="O135" s="68"/>
      <c r="P135" s="68"/>
    </row>
    <row r="136" spans="3:16" x14ac:dyDescent="0.3">
      <c r="C136" s="63"/>
      <c r="D136" s="64"/>
      <c r="E136" s="65"/>
      <c r="F136" s="66"/>
      <c r="G136" s="67"/>
      <c r="H136" s="67"/>
      <c r="I136" s="68"/>
      <c r="J136" s="69"/>
      <c r="K136" s="68"/>
      <c r="L136" s="68"/>
      <c r="M136" s="68"/>
      <c r="N136" s="68"/>
      <c r="O136" s="68"/>
      <c r="P136" s="68"/>
    </row>
    <row r="137" spans="3:16" x14ac:dyDescent="0.3">
      <c r="C137" s="63"/>
      <c r="D137" s="64"/>
      <c r="E137" s="65"/>
      <c r="F137" s="66"/>
      <c r="G137" s="67"/>
      <c r="H137" s="67"/>
      <c r="I137" s="68"/>
      <c r="J137" s="69"/>
      <c r="K137" s="68"/>
      <c r="L137" s="68"/>
      <c r="M137" s="68"/>
      <c r="N137" s="68"/>
      <c r="O137" s="68"/>
      <c r="P137" s="68"/>
    </row>
    <row r="138" spans="3:16" x14ac:dyDescent="0.3">
      <c r="C138" s="63"/>
      <c r="D138" s="64"/>
      <c r="E138" s="65"/>
      <c r="F138" s="66"/>
      <c r="G138" s="67"/>
      <c r="H138" s="67"/>
      <c r="I138" s="68"/>
      <c r="J138" s="69"/>
      <c r="K138" s="68"/>
      <c r="L138" s="68"/>
      <c r="M138" s="68"/>
      <c r="N138" s="68"/>
      <c r="O138" s="68"/>
      <c r="P138" s="68"/>
    </row>
    <row r="139" spans="3:16" x14ac:dyDescent="0.3">
      <c r="C139" s="63"/>
      <c r="D139" s="64"/>
      <c r="E139" s="65"/>
      <c r="F139" s="66"/>
      <c r="G139" s="67"/>
      <c r="H139" s="67"/>
      <c r="I139" s="68"/>
      <c r="J139" s="69"/>
      <c r="K139" s="68"/>
      <c r="L139" s="68"/>
      <c r="M139" s="68"/>
      <c r="N139" s="68"/>
      <c r="O139" s="68"/>
      <c r="P139" s="68"/>
    </row>
    <row r="140" spans="3:16" x14ac:dyDescent="0.3">
      <c r="C140" s="63"/>
      <c r="D140" s="64"/>
      <c r="E140" s="65"/>
      <c r="F140" s="66"/>
      <c r="G140" s="67"/>
      <c r="H140" s="67"/>
      <c r="I140" s="68"/>
      <c r="J140" s="69"/>
      <c r="K140" s="68"/>
      <c r="L140" s="68"/>
      <c r="M140" s="68"/>
      <c r="N140" s="68"/>
      <c r="O140" s="68"/>
      <c r="P140" s="68"/>
    </row>
    <row r="141" spans="3:16" x14ac:dyDescent="0.3">
      <c r="C141" s="63"/>
      <c r="D141" s="64"/>
      <c r="E141" s="65"/>
      <c r="F141" s="66"/>
      <c r="G141" s="67"/>
      <c r="H141" s="67"/>
      <c r="I141" s="68"/>
      <c r="J141" s="69"/>
      <c r="K141" s="68"/>
      <c r="L141" s="68"/>
      <c r="M141" s="68"/>
      <c r="N141" s="68"/>
      <c r="O141" s="68"/>
      <c r="P141" s="68"/>
    </row>
    <row r="142" spans="3:16" x14ac:dyDescent="0.3">
      <c r="C142" s="63"/>
      <c r="D142" s="64"/>
      <c r="E142" s="65"/>
      <c r="F142" s="66"/>
      <c r="G142" s="67"/>
      <c r="H142" s="67"/>
      <c r="I142" s="68"/>
      <c r="J142" s="69"/>
      <c r="K142" s="68"/>
      <c r="L142" s="68"/>
      <c r="M142" s="68"/>
      <c r="N142" s="68"/>
      <c r="O142" s="68"/>
      <c r="P142" s="68"/>
    </row>
    <row r="143" spans="3:16" x14ac:dyDescent="0.3">
      <c r="C143" s="63"/>
      <c r="D143" s="64"/>
      <c r="E143" s="65"/>
      <c r="F143" s="66"/>
      <c r="G143" s="67"/>
      <c r="H143" s="67"/>
      <c r="I143" s="68"/>
      <c r="J143" s="69"/>
      <c r="K143" s="68"/>
      <c r="L143" s="68"/>
      <c r="M143" s="68"/>
      <c r="N143" s="68"/>
      <c r="O143" s="68"/>
      <c r="P143" s="68"/>
    </row>
    <row r="144" spans="3:16" x14ac:dyDescent="0.3">
      <c r="C144" s="63"/>
      <c r="D144" s="64"/>
      <c r="E144" s="65"/>
      <c r="F144" s="66"/>
      <c r="G144" s="67"/>
      <c r="H144" s="67"/>
      <c r="I144" s="68"/>
      <c r="J144" s="69"/>
      <c r="K144" s="68"/>
      <c r="L144" s="68"/>
      <c r="M144" s="68"/>
      <c r="N144" s="68"/>
      <c r="O144" s="68"/>
      <c r="P144" s="68"/>
    </row>
    <row r="145" spans="3:16" x14ac:dyDescent="0.3">
      <c r="C145" s="63"/>
      <c r="D145" s="64"/>
      <c r="E145" s="65"/>
      <c r="F145" s="66"/>
      <c r="G145" s="67"/>
      <c r="H145" s="67"/>
      <c r="I145" s="68"/>
      <c r="J145" s="69"/>
      <c r="K145" s="68"/>
      <c r="L145" s="68"/>
      <c r="M145" s="68"/>
      <c r="N145" s="68"/>
      <c r="O145" s="68"/>
      <c r="P145" s="68"/>
    </row>
    <row r="146" spans="3:16" x14ac:dyDescent="0.3">
      <c r="C146" s="63"/>
      <c r="D146" s="64"/>
      <c r="E146" s="65"/>
      <c r="F146" s="66"/>
      <c r="G146" s="67"/>
      <c r="H146" s="67"/>
      <c r="I146" s="68"/>
      <c r="J146" s="69"/>
      <c r="K146" s="68"/>
      <c r="L146" s="68"/>
      <c r="M146" s="68"/>
      <c r="N146" s="68"/>
      <c r="O146" s="68"/>
      <c r="P146" s="68"/>
    </row>
    <row r="147" spans="3:16" x14ac:dyDescent="0.3">
      <c r="C147" s="63"/>
      <c r="D147" s="64"/>
      <c r="E147" s="65"/>
      <c r="F147" s="66"/>
      <c r="G147" s="67"/>
      <c r="H147" s="67"/>
      <c r="I147" s="68"/>
      <c r="J147" s="69"/>
      <c r="K147" s="68"/>
      <c r="L147" s="68"/>
      <c r="M147" s="68"/>
      <c r="N147" s="68"/>
      <c r="O147" s="68"/>
      <c r="P147" s="68"/>
    </row>
    <row r="148" spans="3:16" x14ac:dyDescent="0.3">
      <c r="C148" s="63"/>
      <c r="D148" s="64"/>
      <c r="E148" s="65"/>
      <c r="F148" s="66"/>
      <c r="G148" s="67"/>
      <c r="H148" s="67"/>
      <c r="I148" s="68"/>
      <c r="J148" s="69"/>
      <c r="K148" s="68"/>
      <c r="L148" s="68"/>
      <c r="M148" s="68"/>
      <c r="N148" s="68"/>
      <c r="O148" s="68"/>
      <c r="P148" s="68"/>
    </row>
    <row r="149" spans="3:16" x14ac:dyDescent="0.3">
      <c r="C149" s="63"/>
      <c r="D149" s="64"/>
      <c r="E149" s="65"/>
      <c r="F149" s="66"/>
      <c r="G149" s="67"/>
      <c r="H149" s="67"/>
      <c r="I149" s="68"/>
      <c r="J149" s="69"/>
      <c r="K149" s="68"/>
      <c r="L149" s="68"/>
      <c r="M149" s="68"/>
      <c r="N149" s="68"/>
      <c r="O149" s="68"/>
      <c r="P149" s="68"/>
    </row>
    <row r="150" spans="3:16" x14ac:dyDescent="0.3">
      <c r="C150" s="63"/>
      <c r="D150" s="64"/>
      <c r="E150" s="65"/>
      <c r="F150" s="66"/>
      <c r="G150" s="67"/>
      <c r="H150" s="67"/>
      <c r="I150" s="68"/>
      <c r="J150" s="69"/>
      <c r="K150" s="68"/>
      <c r="L150" s="68"/>
      <c r="M150" s="68"/>
      <c r="N150" s="68"/>
      <c r="O150" s="68"/>
      <c r="P150" s="68"/>
    </row>
    <row r="151" spans="3:16" x14ac:dyDescent="0.3">
      <c r="C151" s="63"/>
      <c r="D151" s="64"/>
      <c r="E151" s="65"/>
      <c r="F151" s="66"/>
      <c r="G151" s="67"/>
      <c r="H151" s="67"/>
      <c r="I151" s="68"/>
      <c r="J151" s="69"/>
      <c r="K151" s="68"/>
      <c r="L151" s="68"/>
      <c r="M151" s="68"/>
      <c r="N151" s="68"/>
      <c r="O151" s="68"/>
      <c r="P151" s="68"/>
    </row>
    <row r="152" spans="3:16" x14ac:dyDescent="0.3">
      <c r="C152" s="63"/>
      <c r="D152" s="64"/>
      <c r="E152" s="65"/>
      <c r="F152" s="66"/>
      <c r="G152" s="67"/>
      <c r="H152" s="67"/>
      <c r="I152" s="68"/>
      <c r="J152" s="69"/>
      <c r="K152" s="68"/>
      <c r="L152" s="68"/>
      <c r="M152" s="68"/>
      <c r="N152" s="68"/>
      <c r="O152" s="68"/>
      <c r="P152" s="68"/>
    </row>
    <row r="153" spans="3:16" x14ac:dyDescent="0.3">
      <c r="C153" s="63"/>
      <c r="D153" s="64"/>
      <c r="E153" s="65"/>
      <c r="F153" s="66"/>
      <c r="G153" s="67"/>
      <c r="H153" s="67"/>
      <c r="I153" s="68"/>
      <c r="J153" s="69"/>
      <c r="K153" s="68"/>
      <c r="L153" s="68"/>
      <c r="M153" s="68"/>
      <c r="N153" s="68"/>
      <c r="O153" s="68"/>
      <c r="P153" s="68"/>
    </row>
    <row r="154" spans="3:16" x14ac:dyDescent="0.3">
      <c r="C154" s="63"/>
      <c r="D154" s="64"/>
      <c r="E154" s="65"/>
      <c r="F154" s="66"/>
      <c r="G154" s="67"/>
      <c r="H154" s="67"/>
      <c r="I154" s="68"/>
      <c r="J154" s="69"/>
      <c r="K154" s="68"/>
      <c r="L154" s="68"/>
      <c r="M154" s="68"/>
      <c r="N154" s="68"/>
      <c r="O154" s="68"/>
      <c r="P154" s="68"/>
    </row>
    <row r="155" spans="3:16" x14ac:dyDescent="0.3">
      <c r="C155" s="63"/>
      <c r="D155" s="64"/>
      <c r="E155" s="65"/>
      <c r="F155" s="66"/>
      <c r="G155" s="67"/>
      <c r="H155" s="67"/>
      <c r="I155" s="68"/>
      <c r="J155" s="69"/>
      <c r="K155" s="68"/>
      <c r="L155" s="68"/>
      <c r="M155" s="68"/>
      <c r="N155" s="68"/>
      <c r="O155" s="68"/>
      <c r="P155" s="68"/>
    </row>
    <row r="156" spans="3:16" x14ac:dyDescent="0.3">
      <c r="C156" s="56"/>
      <c r="D156" s="57"/>
      <c r="E156" s="58"/>
      <c r="F156" s="59"/>
      <c r="G156" s="60"/>
      <c r="H156" s="60"/>
      <c r="I156" s="61"/>
      <c r="J156" s="62"/>
      <c r="K156" s="61"/>
      <c r="L156" s="61"/>
      <c r="M156" s="61"/>
      <c r="N156" s="61"/>
      <c r="O156" s="61"/>
      <c r="P156" s="61"/>
    </row>
    <row r="157" spans="3:16" x14ac:dyDescent="0.3">
      <c r="C157" s="63"/>
      <c r="D157" s="64"/>
      <c r="E157" s="65"/>
      <c r="F157" s="66"/>
      <c r="G157" s="67"/>
      <c r="H157" s="67"/>
      <c r="I157" s="68"/>
      <c r="J157" s="69"/>
      <c r="K157" s="68"/>
      <c r="L157" s="68"/>
      <c r="M157" s="68"/>
      <c r="N157" s="68"/>
      <c r="O157" s="68"/>
      <c r="P157" s="68"/>
    </row>
    <row r="158" spans="3:16" x14ac:dyDescent="0.3">
      <c r="C158" s="63"/>
      <c r="D158" s="64"/>
      <c r="E158" s="65"/>
      <c r="F158" s="66"/>
      <c r="G158" s="67"/>
      <c r="H158" s="67"/>
      <c r="I158" s="68"/>
      <c r="J158" s="69"/>
      <c r="K158" s="68"/>
      <c r="L158" s="68"/>
      <c r="M158" s="68"/>
      <c r="N158" s="68"/>
      <c r="O158" s="68"/>
      <c r="P158" s="68"/>
    </row>
    <row r="159" spans="3:16" x14ac:dyDescent="0.3">
      <c r="C159" s="63"/>
      <c r="D159" s="64"/>
      <c r="E159" s="65"/>
      <c r="F159" s="66"/>
      <c r="G159" s="67"/>
      <c r="H159" s="67"/>
      <c r="I159" s="68"/>
      <c r="J159" s="69"/>
      <c r="K159" s="68"/>
      <c r="L159" s="68"/>
      <c r="M159" s="68"/>
      <c r="N159" s="68"/>
      <c r="O159" s="68"/>
      <c r="P159" s="68"/>
    </row>
    <row r="160" spans="3:16" x14ac:dyDescent="0.3">
      <c r="C160" s="63"/>
      <c r="D160" s="64"/>
      <c r="E160" s="65"/>
      <c r="F160" s="66"/>
      <c r="G160" s="67"/>
      <c r="H160" s="67"/>
      <c r="I160" s="68"/>
      <c r="J160" s="69"/>
      <c r="K160" s="68"/>
      <c r="L160" s="68"/>
      <c r="M160" s="68"/>
      <c r="N160" s="68"/>
      <c r="O160" s="68"/>
      <c r="P160" s="68"/>
    </row>
    <row r="161" spans="3:16" x14ac:dyDescent="0.3">
      <c r="C161" s="63"/>
      <c r="D161" s="64"/>
      <c r="E161" s="65"/>
      <c r="F161" s="66"/>
      <c r="G161" s="67"/>
      <c r="H161" s="67"/>
      <c r="I161" s="68"/>
      <c r="J161" s="69"/>
      <c r="K161" s="68"/>
      <c r="L161" s="68"/>
      <c r="M161" s="68"/>
      <c r="N161" s="68"/>
      <c r="O161" s="68"/>
      <c r="P161" s="68"/>
    </row>
    <row r="162" spans="3:16" x14ac:dyDescent="0.3">
      <c r="C162" s="63"/>
      <c r="D162" s="64"/>
      <c r="E162" s="65"/>
      <c r="F162" s="66"/>
      <c r="G162" s="67"/>
      <c r="H162" s="67"/>
      <c r="I162" s="68"/>
      <c r="J162" s="69"/>
      <c r="K162" s="68"/>
      <c r="L162" s="68"/>
      <c r="M162" s="68"/>
      <c r="N162" s="68"/>
      <c r="O162" s="68"/>
      <c r="P162" s="68"/>
    </row>
    <row r="163" spans="3:16" x14ac:dyDescent="0.3">
      <c r="C163" s="63"/>
      <c r="D163" s="64"/>
      <c r="E163" s="65"/>
      <c r="F163" s="66"/>
      <c r="G163" s="67"/>
      <c r="H163" s="67"/>
      <c r="I163" s="68"/>
      <c r="J163" s="69"/>
      <c r="K163" s="68"/>
      <c r="L163" s="68"/>
      <c r="M163" s="68"/>
      <c r="N163" s="68"/>
      <c r="O163" s="68"/>
      <c r="P163" s="68"/>
    </row>
    <row r="164" spans="3:16" x14ac:dyDescent="0.3">
      <c r="C164" s="63"/>
      <c r="D164" s="64"/>
      <c r="E164" s="65"/>
      <c r="F164" s="66"/>
      <c r="G164" s="67"/>
      <c r="H164" s="67"/>
      <c r="I164" s="68"/>
      <c r="J164" s="69"/>
      <c r="K164" s="68"/>
      <c r="L164" s="68"/>
      <c r="M164" s="68"/>
      <c r="N164" s="68"/>
      <c r="O164" s="68"/>
      <c r="P164" s="68"/>
    </row>
    <row r="165" spans="3:16" x14ac:dyDescent="0.3">
      <c r="C165" s="63"/>
      <c r="D165" s="64"/>
      <c r="E165" s="65"/>
      <c r="F165" s="66"/>
      <c r="G165" s="67"/>
      <c r="H165" s="67"/>
      <c r="I165" s="68"/>
      <c r="J165" s="69"/>
      <c r="K165" s="68"/>
      <c r="L165" s="68"/>
      <c r="M165" s="68"/>
      <c r="N165" s="68"/>
      <c r="O165" s="68"/>
      <c r="P165" s="68"/>
    </row>
    <row r="166" spans="3:16" x14ac:dyDescent="0.3">
      <c r="C166" s="63"/>
      <c r="D166" s="64"/>
      <c r="E166" s="65"/>
      <c r="F166" s="66"/>
      <c r="G166" s="67"/>
      <c r="H166" s="67"/>
      <c r="I166" s="68"/>
      <c r="J166" s="69"/>
      <c r="K166" s="68"/>
      <c r="L166" s="68"/>
      <c r="M166" s="68"/>
      <c r="N166" s="68"/>
      <c r="O166" s="68"/>
      <c r="P166" s="68"/>
    </row>
    <row r="167" spans="3:16" x14ac:dyDescent="0.3">
      <c r="C167" s="63"/>
      <c r="D167" s="64"/>
      <c r="E167" s="65"/>
      <c r="F167" s="66"/>
      <c r="G167" s="67"/>
      <c r="H167" s="67"/>
      <c r="I167" s="68"/>
      <c r="J167" s="69"/>
      <c r="K167" s="68"/>
      <c r="L167" s="68"/>
      <c r="M167" s="68"/>
      <c r="N167" s="68"/>
      <c r="O167" s="68"/>
      <c r="P167" s="68"/>
    </row>
    <row r="168" spans="3:16" x14ac:dyDescent="0.3">
      <c r="C168" s="63"/>
      <c r="D168" s="64"/>
      <c r="E168" s="65"/>
      <c r="F168" s="66"/>
      <c r="G168" s="67"/>
      <c r="H168" s="67"/>
      <c r="I168" s="68"/>
      <c r="J168" s="69"/>
      <c r="K168" s="68"/>
      <c r="L168" s="68"/>
      <c r="M168" s="68"/>
      <c r="N168" s="68"/>
      <c r="O168" s="68"/>
      <c r="P168" s="68"/>
    </row>
    <row r="169" spans="3:16" x14ac:dyDescent="0.3">
      <c r="C169" s="63"/>
      <c r="D169" s="64"/>
      <c r="E169" s="65"/>
      <c r="F169" s="66"/>
      <c r="G169" s="67"/>
      <c r="H169" s="67"/>
      <c r="I169" s="68"/>
      <c r="J169" s="69"/>
      <c r="K169" s="68"/>
      <c r="L169" s="68"/>
      <c r="M169" s="68"/>
      <c r="N169" s="68"/>
      <c r="O169" s="68"/>
      <c r="P169" s="68"/>
    </row>
    <row r="170" spans="3:16" x14ac:dyDescent="0.3">
      <c r="C170" s="56"/>
      <c r="D170" s="57"/>
      <c r="E170" s="58"/>
      <c r="F170" s="59"/>
      <c r="G170" s="60"/>
      <c r="H170" s="60"/>
      <c r="I170" s="61"/>
      <c r="J170" s="62"/>
      <c r="K170" s="61"/>
      <c r="L170" s="61"/>
      <c r="M170" s="61"/>
      <c r="N170" s="61"/>
      <c r="O170" s="61"/>
      <c r="P170" s="61"/>
    </row>
    <row r="171" spans="3:16" x14ac:dyDescent="0.3">
      <c r="C171" s="63"/>
      <c r="D171" s="64"/>
      <c r="E171" s="65"/>
      <c r="F171" s="66"/>
      <c r="G171" s="67"/>
      <c r="H171" s="67"/>
      <c r="I171" s="68"/>
      <c r="J171" s="69"/>
      <c r="K171" s="68"/>
      <c r="L171" s="68"/>
      <c r="M171" s="68"/>
      <c r="N171" s="68"/>
      <c r="O171" s="68"/>
      <c r="P171" s="68"/>
    </row>
    <row r="172" spans="3:16" x14ac:dyDescent="0.3">
      <c r="C172" s="63"/>
      <c r="D172" s="64"/>
      <c r="E172" s="65"/>
      <c r="F172" s="66"/>
      <c r="G172" s="67"/>
      <c r="H172" s="67"/>
      <c r="I172" s="68"/>
      <c r="J172" s="69"/>
      <c r="K172" s="68"/>
      <c r="L172" s="68"/>
      <c r="M172" s="68"/>
      <c r="N172" s="68"/>
      <c r="O172" s="68"/>
      <c r="P172" s="68"/>
    </row>
  </sheetData>
  <autoFilter ref="C16:P67" xr:uid="{00000000-0009-0000-0000-000001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65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etrado2" filterMode="1"/>
  <dimension ref="A1:W164"/>
  <sheetViews>
    <sheetView view="pageBreakPreview" topLeftCell="A40" zoomScaleNormal="85" zoomScaleSheetLayoutView="100" workbookViewId="0">
      <selection activeCell="C6" sqref="C6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67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0.95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307">
        <v>1</v>
      </c>
      <c r="D18" s="278" t="s">
        <v>67</v>
      </c>
      <c r="E18" s="318"/>
      <c r="F18" s="319"/>
      <c r="G18" s="310"/>
      <c r="H18" s="310"/>
      <c r="I18" s="310"/>
      <c r="J18" s="280"/>
      <c r="K18" s="281"/>
      <c r="L18" s="281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45" t="s">
        <v>441</v>
      </c>
      <c r="D19" s="133" t="s">
        <v>17</v>
      </c>
      <c r="E19" s="88"/>
      <c r="F19" s="51"/>
      <c r="G19" s="52"/>
      <c r="H19" s="52"/>
      <c r="I19" s="52"/>
      <c r="J19" s="59"/>
      <c r="K19" s="60"/>
      <c r="L19" s="60"/>
      <c r="M19" s="129"/>
      <c r="N19" s="129"/>
      <c r="O19" s="129"/>
      <c r="P19" s="129"/>
    </row>
    <row r="20" spans="1:16" s="110" customFormat="1" x14ac:dyDescent="0.2">
      <c r="A20" s="107">
        <v>2</v>
      </c>
      <c r="B20" s="108"/>
      <c r="C20" s="147" t="s">
        <v>404</v>
      </c>
      <c r="D20" s="135" t="s">
        <v>22</v>
      </c>
      <c r="E20" s="88"/>
      <c r="F20" s="51"/>
      <c r="G20" s="52"/>
      <c r="H20" s="52"/>
      <c r="I20" s="52"/>
      <c r="J20" s="59"/>
      <c r="K20" s="60"/>
      <c r="L20" s="60"/>
      <c r="M20" s="100"/>
      <c r="N20" s="100"/>
      <c r="O20" s="100"/>
      <c r="P20" s="100"/>
    </row>
    <row r="21" spans="1:16" s="150" customFormat="1" x14ac:dyDescent="0.2">
      <c r="A21" s="148">
        <v>3</v>
      </c>
      <c r="B21" s="149"/>
      <c r="C21" s="48" t="s">
        <v>405</v>
      </c>
      <c r="D21" s="77" t="s">
        <v>23</v>
      </c>
      <c r="E21" s="88"/>
      <c r="F21" s="51"/>
      <c r="G21" s="52"/>
      <c r="H21" s="52"/>
      <c r="I21" s="52"/>
      <c r="J21" s="59"/>
      <c r="K21" s="60"/>
      <c r="L21" s="60"/>
      <c r="M21" s="55"/>
      <c r="N21" s="55"/>
      <c r="O21" s="55"/>
      <c r="P21" s="55"/>
    </row>
    <row r="22" spans="1:16" s="150" customFormat="1" x14ac:dyDescent="0.2">
      <c r="A22" s="148">
        <v>3</v>
      </c>
      <c r="B22" s="149"/>
      <c r="C22" s="143" t="s">
        <v>414</v>
      </c>
      <c r="D22" s="144" t="s">
        <v>152</v>
      </c>
      <c r="E22" s="88" t="s">
        <v>12</v>
      </c>
      <c r="F22" s="51"/>
      <c r="G22" s="52"/>
      <c r="H22" s="52"/>
      <c r="I22" s="52"/>
      <c r="J22" s="59"/>
      <c r="K22" s="60"/>
      <c r="L22" s="60"/>
      <c r="M22" s="55"/>
      <c r="N22" s="55"/>
      <c r="O22" s="55"/>
      <c r="P22" s="55">
        <f>SUM(L22:L25)</f>
        <v>6.75</v>
      </c>
    </row>
    <row r="23" spans="1:16" s="150" customFormat="1" ht="10.5" customHeight="1" x14ac:dyDescent="0.2">
      <c r="A23" s="148"/>
      <c r="B23" s="149"/>
      <c r="C23" s="56"/>
      <c r="D23" s="57" t="s">
        <v>60</v>
      </c>
      <c r="E23" s="58"/>
      <c r="F23" s="62"/>
      <c r="G23" s="60"/>
      <c r="H23" s="60"/>
      <c r="I23" s="60"/>
      <c r="J23" s="62"/>
      <c r="K23" s="61"/>
      <c r="L23" s="61"/>
      <c r="M23" s="61"/>
      <c r="N23" s="61"/>
      <c r="O23" s="61"/>
      <c r="P23" s="61"/>
    </row>
    <row r="24" spans="1:16" s="150" customFormat="1" ht="11.4" customHeight="1" x14ac:dyDescent="0.2">
      <c r="A24" s="148"/>
      <c r="B24" s="149"/>
      <c r="C24" s="63"/>
      <c r="D24" s="64" t="s">
        <v>188</v>
      </c>
      <c r="E24" s="65" t="s">
        <v>13</v>
      </c>
      <c r="F24" s="69">
        <v>1</v>
      </c>
      <c r="G24" s="67" t="s">
        <v>114</v>
      </c>
      <c r="H24" s="67">
        <v>6.75</v>
      </c>
      <c r="I24" s="111"/>
      <c r="J24" s="69">
        <v>1</v>
      </c>
      <c r="K24" s="68"/>
      <c r="L24" s="68">
        <f>IF(F24="","",PRODUCT(F24:J24))</f>
        <v>6.75</v>
      </c>
      <c r="M24" s="68"/>
      <c r="N24" s="68"/>
      <c r="O24" s="68"/>
      <c r="P24" s="68"/>
    </row>
    <row r="25" spans="1:16" s="110" customFormat="1" ht="11.4" customHeight="1" x14ac:dyDescent="0.2">
      <c r="A25" s="107"/>
      <c r="B25" s="108"/>
      <c r="C25" s="63"/>
      <c r="D25" s="91"/>
      <c r="E25" s="90"/>
      <c r="F25" s="92"/>
      <c r="G25" s="86"/>
      <c r="H25" s="86"/>
      <c r="I25" s="86"/>
      <c r="J25" s="66"/>
      <c r="K25" s="67"/>
      <c r="L25" s="67"/>
      <c r="M25" s="68"/>
      <c r="N25" s="68"/>
      <c r="O25" s="68"/>
      <c r="P25" s="68"/>
    </row>
    <row r="26" spans="1:16" x14ac:dyDescent="0.3">
      <c r="C26" s="97" t="s">
        <v>426</v>
      </c>
      <c r="D26" s="97" t="s">
        <v>29</v>
      </c>
      <c r="E26" s="101"/>
      <c r="F26" s="51"/>
      <c r="G26" s="52"/>
      <c r="H26" s="52"/>
      <c r="I26" s="109"/>
      <c r="J26" s="99"/>
      <c r="K26" s="100"/>
      <c r="L26" s="100"/>
      <c r="M26" s="100"/>
      <c r="N26" s="100"/>
      <c r="O26" s="100"/>
      <c r="P26" s="100"/>
    </row>
    <row r="27" spans="1:16" x14ac:dyDescent="0.3">
      <c r="C27" s="48" t="s">
        <v>427</v>
      </c>
      <c r="D27" s="49" t="s">
        <v>160</v>
      </c>
      <c r="E27" s="50" t="s">
        <v>13</v>
      </c>
      <c r="F27" s="51"/>
      <c r="G27" s="52"/>
      <c r="H27" s="52"/>
      <c r="I27" s="53"/>
      <c r="J27" s="54"/>
      <c r="K27" s="55"/>
      <c r="L27" s="55"/>
      <c r="M27" s="55"/>
      <c r="N27" s="55"/>
      <c r="O27" s="55"/>
      <c r="P27" s="55">
        <f>SUM(K27:K36)</f>
        <v>239.92000000000002</v>
      </c>
    </row>
    <row r="28" spans="1:16" s="150" customFormat="1" x14ac:dyDescent="0.2">
      <c r="A28" s="184"/>
      <c r="B28" s="149"/>
      <c r="C28" s="63"/>
      <c r="D28" s="80" t="s">
        <v>111</v>
      </c>
      <c r="E28" s="65" t="s">
        <v>13</v>
      </c>
      <c r="F28" s="69">
        <v>2</v>
      </c>
      <c r="G28" s="67">
        <f>(2*2.15)+0.15</f>
        <v>4.45</v>
      </c>
      <c r="H28" s="67"/>
      <c r="I28" s="67"/>
      <c r="J28" s="69">
        <v>1</v>
      </c>
      <c r="K28" s="68">
        <f t="shared" ref="K28:K35" si="0">PRODUCT(F28:J28)</f>
        <v>8.9</v>
      </c>
      <c r="L28" s="68"/>
      <c r="M28" s="68"/>
      <c r="N28" s="68"/>
      <c r="O28" s="68"/>
      <c r="P28" s="68"/>
    </row>
    <row r="29" spans="1:16" s="150" customFormat="1" x14ac:dyDescent="0.2">
      <c r="A29" s="184"/>
      <c r="B29" s="149"/>
      <c r="C29" s="180"/>
      <c r="D29" s="80"/>
      <c r="E29" s="65" t="s">
        <v>13</v>
      </c>
      <c r="F29" s="69">
        <v>16</v>
      </c>
      <c r="G29" s="67">
        <v>3</v>
      </c>
      <c r="H29" s="67"/>
      <c r="I29" s="67"/>
      <c r="J29" s="69">
        <v>1</v>
      </c>
      <c r="K29" s="68">
        <f t="shared" si="0"/>
        <v>48</v>
      </c>
      <c r="L29" s="181"/>
      <c r="M29" s="182"/>
      <c r="N29" s="182"/>
      <c r="O29" s="183"/>
      <c r="P29" s="55"/>
    </row>
    <row r="30" spans="1:16" s="150" customFormat="1" x14ac:dyDescent="0.2">
      <c r="A30" s="184"/>
      <c r="B30" s="149"/>
      <c r="C30" s="56"/>
      <c r="D30" s="80" t="s">
        <v>112</v>
      </c>
      <c r="E30" s="65" t="s">
        <v>13</v>
      </c>
      <c r="F30" s="69">
        <v>2</v>
      </c>
      <c r="G30" s="67">
        <f>(2*2.15)+0.15</f>
        <v>4.45</v>
      </c>
      <c r="H30" s="67"/>
      <c r="I30" s="67"/>
      <c r="J30" s="69">
        <v>1</v>
      </c>
      <c r="K30" s="68">
        <f t="shared" si="0"/>
        <v>8.9</v>
      </c>
      <c r="L30" s="181"/>
      <c r="M30" s="61"/>
      <c r="N30" s="61"/>
      <c r="O30" s="61"/>
      <c r="P30" s="55"/>
    </row>
    <row r="31" spans="1:16" s="150" customFormat="1" x14ac:dyDescent="0.2">
      <c r="A31" s="184"/>
      <c r="B31" s="149"/>
      <c r="C31" s="48"/>
      <c r="D31" s="80"/>
      <c r="E31" s="65" t="s">
        <v>13</v>
      </c>
      <c r="F31" s="69">
        <v>16</v>
      </c>
      <c r="G31" s="67">
        <v>3.02</v>
      </c>
      <c r="H31" s="67"/>
      <c r="I31" s="67"/>
      <c r="J31" s="69">
        <v>1</v>
      </c>
      <c r="K31" s="68">
        <f t="shared" si="0"/>
        <v>48.32</v>
      </c>
      <c r="L31" s="68"/>
      <c r="M31" s="61"/>
      <c r="N31" s="61"/>
      <c r="O31" s="61"/>
      <c r="P31" s="122"/>
    </row>
    <row r="32" spans="1:16" s="150" customFormat="1" x14ac:dyDescent="0.2">
      <c r="A32" s="184"/>
      <c r="B32" s="149"/>
      <c r="C32" s="63"/>
      <c r="D32" s="80" t="s">
        <v>107</v>
      </c>
      <c r="E32" s="65" t="s">
        <v>13</v>
      </c>
      <c r="F32" s="69">
        <v>2</v>
      </c>
      <c r="G32" s="67">
        <f>(2*2.15)+0.15</f>
        <v>4.45</v>
      </c>
      <c r="H32" s="67"/>
      <c r="I32" s="67"/>
      <c r="J32" s="69">
        <v>1</v>
      </c>
      <c r="K32" s="68">
        <f t="shared" si="0"/>
        <v>8.9</v>
      </c>
      <c r="L32" s="68"/>
      <c r="M32" s="68"/>
      <c r="N32" s="68"/>
      <c r="O32" s="68"/>
      <c r="P32" s="68"/>
    </row>
    <row r="33" spans="1:16" s="150" customFormat="1" x14ac:dyDescent="0.2">
      <c r="A33" s="184"/>
      <c r="B33" s="149"/>
      <c r="C33" s="63"/>
      <c r="D33" s="80"/>
      <c r="E33" s="65" t="s">
        <v>13</v>
      </c>
      <c r="F33" s="69">
        <v>16</v>
      </c>
      <c r="G33" s="67">
        <v>2.95</v>
      </c>
      <c r="H33" s="67"/>
      <c r="I33" s="67"/>
      <c r="J33" s="69">
        <v>1</v>
      </c>
      <c r="K33" s="68">
        <f t="shared" si="0"/>
        <v>47.2</v>
      </c>
      <c r="L33" s="68"/>
      <c r="M33" s="68"/>
      <c r="N33" s="68"/>
      <c r="O33" s="68"/>
      <c r="P33" s="68"/>
    </row>
    <row r="34" spans="1:16" s="150" customFormat="1" x14ac:dyDescent="0.2">
      <c r="A34" s="184"/>
      <c r="B34" s="149"/>
      <c r="C34" s="180"/>
      <c r="D34" s="80" t="s">
        <v>189</v>
      </c>
      <c r="E34" s="65" t="s">
        <v>13</v>
      </c>
      <c r="F34" s="69">
        <v>2</v>
      </c>
      <c r="G34" s="67">
        <f>(2*2.15)+0.15</f>
        <v>4.45</v>
      </c>
      <c r="H34" s="67"/>
      <c r="I34" s="67"/>
      <c r="J34" s="69">
        <v>1</v>
      </c>
      <c r="K34" s="68">
        <f t="shared" si="0"/>
        <v>8.9</v>
      </c>
      <c r="L34" s="181"/>
      <c r="M34" s="182"/>
      <c r="N34" s="182"/>
      <c r="O34" s="183"/>
      <c r="P34" s="55"/>
    </row>
    <row r="35" spans="1:16" s="150" customFormat="1" x14ac:dyDescent="0.2">
      <c r="A35" s="184"/>
      <c r="B35" s="149"/>
      <c r="C35" s="178"/>
      <c r="D35" s="80"/>
      <c r="E35" s="65" t="s">
        <v>13</v>
      </c>
      <c r="F35" s="69">
        <v>16</v>
      </c>
      <c r="G35" s="67">
        <v>3.8</v>
      </c>
      <c r="H35" s="67"/>
      <c r="I35" s="67"/>
      <c r="J35" s="69">
        <v>1</v>
      </c>
      <c r="K35" s="68">
        <f t="shared" si="0"/>
        <v>60.8</v>
      </c>
      <c r="L35" s="181"/>
      <c r="M35" s="179"/>
      <c r="N35" s="179"/>
      <c r="O35" s="179"/>
      <c r="P35" s="55"/>
    </row>
    <row r="36" spans="1:16" x14ac:dyDescent="0.3">
      <c r="C36" s="173"/>
      <c r="D36" s="188"/>
      <c r="E36" s="189"/>
      <c r="F36" s="92"/>
      <c r="G36" s="86"/>
      <c r="H36" s="86"/>
      <c r="I36" s="190"/>
      <c r="J36" s="166"/>
      <c r="K36" s="111"/>
      <c r="L36" s="111"/>
      <c r="M36" s="111"/>
      <c r="N36" s="111"/>
      <c r="O36" s="111"/>
      <c r="P36" s="111"/>
    </row>
    <row r="37" spans="1:16" x14ac:dyDescent="0.3">
      <c r="A37" s="104">
        <v>2</v>
      </c>
      <c r="C37" s="97" t="s">
        <v>428</v>
      </c>
      <c r="D37" s="98" t="s">
        <v>16</v>
      </c>
      <c r="E37" s="88"/>
      <c r="F37" s="51"/>
      <c r="G37" s="52"/>
      <c r="H37" s="52"/>
      <c r="I37" s="52"/>
      <c r="J37" s="59"/>
      <c r="K37" s="60"/>
      <c r="L37" s="60"/>
      <c r="M37" s="100"/>
      <c r="N37" s="100"/>
      <c r="O37" s="100"/>
      <c r="P37" s="100"/>
    </row>
    <row r="38" spans="1:16" x14ac:dyDescent="0.3">
      <c r="A38" s="104">
        <v>3</v>
      </c>
      <c r="C38" s="48" t="s">
        <v>430</v>
      </c>
      <c r="D38" s="77" t="s">
        <v>372</v>
      </c>
      <c r="E38" s="88" t="s">
        <v>13</v>
      </c>
      <c r="F38" s="59"/>
      <c r="G38" s="60"/>
      <c r="H38" s="60"/>
      <c r="I38" s="60"/>
      <c r="J38" s="54"/>
      <c r="K38" s="55"/>
      <c r="L38" s="60"/>
      <c r="M38" s="55"/>
      <c r="N38" s="55"/>
      <c r="O38" s="55"/>
      <c r="P38" s="55">
        <f>SUM(K38:K70)</f>
        <v>159.60000000000002</v>
      </c>
    </row>
    <row r="39" spans="1:16" ht="11.4" customHeight="1" x14ac:dyDescent="0.3">
      <c r="C39" s="48"/>
      <c r="D39" s="75" t="s">
        <v>145</v>
      </c>
      <c r="E39" s="73"/>
      <c r="F39" s="82"/>
      <c r="G39" s="52"/>
      <c r="H39" s="52"/>
      <c r="I39" s="52"/>
      <c r="J39" s="62"/>
      <c r="K39" s="61"/>
      <c r="L39" s="60"/>
      <c r="M39" s="61"/>
      <c r="N39" s="61"/>
      <c r="O39" s="61"/>
      <c r="P39" s="61"/>
    </row>
    <row r="40" spans="1:16" ht="11.4" customHeight="1" x14ac:dyDescent="0.3">
      <c r="C40" s="320"/>
      <c r="D40" s="81" t="s">
        <v>115</v>
      </c>
      <c r="E40" s="73"/>
      <c r="F40" s="82"/>
      <c r="G40" s="52"/>
      <c r="H40" s="52"/>
      <c r="I40" s="52"/>
      <c r="J40" s="62"/>
      <c r="K40" s="61"/>
      <c r="L40" s="60"/>
      <c r="M40" s="61"/>
      <c r="N40" s="61"/>
      <c r="O40" s="61"/>
      <c r="P40" s="61"/>
    </row>
    <row r="41" spans="1:16" ht="11.4" customHeight="1" x14ac:dyDescent="0.3">
      <c r="C41" s="320"/>
      <c r="D41" s="80" t="s">
        <v>168</v>
      </c>
      <c r="E41" s="90" t="s">
        <v>13</v>
      </c>
      <c r="F41" s="66">
        <v>7</v>
      </c>
      <c r="G41" s="67">
        <v>2.1</v>
      </c>
      <c r="H41" s="67"/>
      <c r="I41" s="67"/>
      <c r="J41" s="66">
        <v>1</v>
      </c>
      <c r="K41" s="67">
        <f>F41*J41*G41</f>
        <v>14.700000000000001</v>
      </c>
      <c r="L41" s="67"/>
      <c r="M41" s="68"/>
      <c r="N41" s="68"/>
      <c r="O41" s="68"/>
      <c r="P41" s="68"/>
    </row>
    <row r="42" spans="1:16" ht="11.4" customHeight="1" x14ac:dyDescent="0.3">
      <c r="C42" s="63"/>
      <c r="D42" s="80" t="s">
        <v>169</v>
      </c>
      <c r="E42" s="90" t="s">
        <v>13</v>
      </c>
      <c r="F42" s="66">
        <v>1</v>
      </c>
      <c r="G42" s="67">
        <f>4.2+0.1+0.25+1.05+1.4</f>
        <v>7</v>
      </c>
      <c r="H42" s="67"/>
      <c r="I42" s="67"/>
      <c r="J42" s="66">
        <v>1</v>
      </c>
      <c r="K42" s="67">
        <f>F42*J42*G42</f>
        <v>7</v>
      </c>
      <c r="L42" s="67"/>
      <c r="M42" s="68"/>
      <c r="N42" s="68"/>
      <c r="O42" s="68"/>
      <c r="P42" s="68"/>
    </row>
    <row r="43" spans="1:16" ht="11.4" customHeight="1" x14ac:dyDescent="0.3">
      <c r="C43" s="136"/>
      <c r="D43" s="80" t="s">
        <v>170</v>
      </c>
      <c r="E43" s="90" t="s">
        <v>13</v>
      </c>
      <c r="F43" s="66">
        <v>11</v>
      </c>
      <c r="G43" s="67">
        <v>1.2</v>
      </c>
      <c r="H43" s="67"/>
      <c r="I43" s="67"/>
      <c r="J43" s="66">
        <v>1</v>
      </c>
      <c r="K43" s="67">
        <f>F43*J43*G43</f>
        <v>13.2</v>
      </c>
      <c r="L43" s="67"/>
      <c r="M43" s="68"/>
      <c r="N43" s="68"/>
      <c r="O43" s="68"/>
      <c r="P43" s="68"/>
    </row>
    <row r="44" spans="1:16" x14ac:dyDescent="0.3">
      <c r="A44" s="104">
        <v>3</v>
      </c>
      <c r="C44" s="136"/>
      <c r="D44" s="81" t="s">
        <v>139</v>
      </c>
      <c r="E44" s="73"/>
      <c r="F44" s="82"/>
      <c r="G44" s="52"/>
      <c r="H44" s="52"/>
      <c r="I44" s="52"/>
      <c r="J44" s="62"/>
      <c r="K44" s="61"/>
      <c r="L44" s="60"/>
      <c r="M44" s="55"/>
      <c r="N44" s="55"/>
      <c r="O44" s="55"/>
      <c r="P44" s="55"/>
    </row>
    <row r="45" spans="1:16" ht="11.4" customHeight="1" x14ac:dyDescent="0.3">
      <c r="C45" s="136"/>
      <c r="D45" s="80" t="s">
        <v>168</v>
      </c>
      <c r="E45" s="90" t="s">
        <v>13</v>
      </c>
      <c r="F45" s="66">
        <v>7</v>
      </c>
      <c r="G45" s="67">
        <v>2.1</v>
      </c>
      <c r="H45" s="67"/>
      <c r="I45" s="67"/>
      <c r="J45" s="66">
        <v>1</v>
      </c>
      <c r="K45" s="67">
        <f>F45*J45*G45</f>
        <v>14.700000000000001</v>
      </c>
      <c r="L45" s="60"/>
      <c r="M45" s="61"/>
      <c r="N45" s="61"/>
      <c r="O45" s="61"/>
      <c r="P45" s="61"/>
    </row>
    <row r="46" spans="1:16" ht="11.4" customHeight="1" x14ac:dyDescent="0.3">
      <c r="C46" s="136"/>
      <c r="D46" s="80" t="s">
        <v>169</v>
      </c>
      <c r="E46" s="90" t="s">
        <v>13</v>
      </c>
      <c r="F46" s="66">
        <v>1</v>
      </c>
      <c r="G46" s="67">
        <f>4.2+0.1+0.25+1.05+1.4</f>
        <v>7</v>
      </c>
      <c r="H46" s="67"/>
      <c r="I46" s="67"/>
      <c r="J46" s="66">
        <v>1</v>
      </c>
      <c r="K46" s="67">
        <f>F46*J46*G46</f>
        <v>7</v>
      </c>
      <c r="L46" s="60"/>
      <c r="M46" s="61"/>
      <c r="N46" s="61"/>
      <c r="O46" s="61"/>
      <c r="P46" s="61"/>
    </row>
    <row r="47" spans="1:16" ht="11.4" customHeight="1" x14ac:dyDescent="0.3">
      <c r="C47" s="136"/>
      <c r="D47" s="80" t="s">
        <v>170</v>
      </c>
      <c r="E47" s="90" t="s">
        <v>13</v>
      </c>
      <c r="F47" s="66">
        <v>11</v>
      </c>
      <c r="G47" s="67">
        <v>1.2</v>
      </c>
      <c r="H47" s="67"/>
      <c r="I47" s="67"/>
      <c r="J47" s="66">
        <v>1</v>
      </c>
      <c r="K47" s="67">
        <f>F47*J47*G47</f>
        <v>13.2</v>
      </c>
      <c r="L47" s="67"/>
      <c r="M47" s="68"/>
      <c r="N47" s="68"/>
      <c r="O47" s="68"/>
      <c r="P47" s="68"/>
    </row>
    <row r="48" spans="1:16" ht="11.4" customHeight="1" x14ac:dyDescent="0.3">
      <c r="C48" s="136"/>
      <c r="D48" s="81" t="s">
        <v>138</v>
      </c>
      <c r="E48" s="73"/>
      <c r="F48" s="82"/>
      <c r="G48" s="52"/>
      <c r="H48" s="52"/>
      <c r="I48" s="52"/>
      <c r="J48" s="62"/>
      <c r="K48" s="61"/>
      <c r="L48" s="67"/>
      <c r="M48" s="68"/>
      <c r="N48" s="68"/>
      <c r="O48" s="68"/>
      <c r="P48" s="68"/>
    </row>
    <row r="49" spans="1:16" ht="11.4" customHeight="1" x14ac:dyDescent="0.3">
      <c r="C49" s="136"/>
      <c r="D49" s="80" t="s">
        <v>168</v>
      </c>
      <c r="E49" s="90" t="s">
        <v>13</v>
      </c>
      <c r="F49" s="66">
        <v>7</v>
      </c>
      <c r="G49" s="67">
        <v>2.1</v>
      </c>
      <c r="H49" s="67"/>
      <c r="I49" s="67"/>
      <c r="J49" s="66">
        <v>1</v>
      </c>
      <c r="K49" s="67">
        <f>F49*J49*G49</f>
        <v>14.700000000000001</v>
      </c>
      <c r="L49" s="67"/>
      <c r="M49" s="68"/>
      <c r="N49" s="68"/>
      <c r="O49" s="68"/>
      <c r="P49" s="68"/>
    </row>
    <row r="50" spans="1:16" ht="11.4" customHeight="1" x14ac:dyDescent="0.3">
      <c r="C50" s="136"/>
      <c r="D50" s="80" t="s">
        <v>169</v>
      </c>
      <c r="E50" s="90" t="s">
        <v>13</v>
      </c>
      <c r="F50" s="66">
        <v>1</v>
      </c>
      <c r="G50" s="67">
        <f>4.2+0.1+0.25+1.05+1.4</f>
        <v>7</v>
      </c>
      <c r="H50" s="67"/>
      <c r="I50" s="67"/>
      <c r="J50" s="66">
        <v>1</v>
      </c>
      <c r="K50" s="67">
        <f>F50*J50*G50</f>
        <v>7</v>
      </c>
      <c r="L50" s="67"/>
      <c r="M50" s="68"/>
      <c r="N50" s="68"/>
      <c r="O50" s="68"/>
      <c r="P50" s="68"/>
    </row>
    <row r="51" spans="1:16" ht="11.4" customHeight="1" x14ac:dyDescent="0.3">
      <c r="C51" s="136"/>
      <c r="D51" s="80" t="s">
        <v>170</v>
      </c>
      <c r="E51" s="90" t="s">
        <v>13</v>
      </c>
      <c r="F51" s="66">
        <v>11</v>
      </c>
      <c r="G51" s="67">
        <v>1.2</v>
      </c>
      <c r="H51" s="67"/>
      <c r="I51" s="67"/>
      <c r="J51" s="66">
        <v>1</v>
      </c>
      <c r="K51" s="67">
        <f>F51*J51*G51</f>
        <v>13.2</v>
      </c>
      <c r="L51" s="60"/>
      <c r="M51" s="61"/>
      <c r="N51" s="61"/>
      <c r="O51" s="61"/>
      <c r="P51" s="61"/>
    </row>
    <row r="52" spans="1:16" ht="11.4" customHeight="1" x14ac:dyDescent="0.3">
      <c r="C52" s="136"/>
      <c r="D52" s="81" t="s">
        <v>189</v>
      </c>
      <c r="E52" s="73"/>
      <c r="F52" s="82"/>
      <c r="G52" s="52"/>
      <c r="H52" s="52"/>
      <c r="I52" s="52"/>
      <c r="J52" s="62"/>
      <c r="K52" s="61"/>
      <c r="L52" s="60"/>
      <c r="M52" s="61"/>
      <c r="N52" s="61"/>
      <c r="O52" s="61"/>
      <c r="P52" s="61"/>
    </row>
    <row r="53" spans="1:16" ht="11.4" customHeight="1" x14ac:dyDescent="0.3">
      <c r="C53" s="136"/>
      <c r="D53" s="80" t="s">
        <v>168</v>
      </c>
      <c r="E53" s="90" t="s">
        <v>13</v>
      </c>
      <c r="F53" s="66">
        <v>7</v>
      </c>
      <c r="G53" s="67">
        <v>2.1</v>
      </c>
      <c r="H53" s="67"/>
      <c r="I53" s="67"/>
      <c r="J53" s="66">
        <v>1</v>
      </c>
      <c r="K53" s="67">
        <f>F53*J53*G53</f>
        <v>14.700000000000001</v>
      </c>
      <c r="L53" s="67"/>
      <c r="M53" s="68"/>
      <c r="N53" s="68"/>
      <c r="O53" s="68"/>
      <c r="P53" s="68"/>
    </row>
    <row r="54" spans="1:16" ht="11.4" customHeight="1" x14ac:dyDescent="0.3">
      <c r="C54" s="136"/>
      <c r="D54" s="80" t="s">
        <v>169</v>
      </c>
      <c r="E54" s="90" t="s">
        <v>13</v>
      </c>
      <c r="F54" s="66">
        <v>1</v>
      </c>
      <c r="G54" s="67">
        <f>4.2+0.1+0.25+1.05+1.4</f>
        <v>7</v>
      </c>
      <c r="H54" s="67"/>
      <c r="I54" s="67"/>
      <c r="J54" s="66">
        <v>1</v>
      </c>
      <c r="K54" s="67">
        <f>F54*J54*G54</f>
        <v>7</v>
      </c>
      <c r="L54" s="67"/>
      <c r="M54" s="68"/>
      <c r="N54" s="68"/>
      <c r="O54" s="68"/>
      <c r="P54" s="68"/>
    </row>
    <row r="55" spans="1:16" ht="11.4" customHeight="1" x14ac:dyDescent="0.3">
      <c r="C55" s="136"/>
      <c r="D55" s="80" t="s">
        <v>170</v>
      </c>
      <c r="E55" s="90" t="s">
        <v>13</v>
      </c>
      <c r="F55" s="66">
        <v>11</v>
      </c>
      <c r="G55" s="67">
        <v>1.2</v>
      </c>
      <c r="H55" s="67"/>
      <c r="I55" s="67"/>
      <c r="J55" s="66">
        <v>1</v>
      </c>
      <c r="K55" s="67">
        <f>F55*J55*G55</f>
        <v>13.2</v>
      </c>
      <c r="L55" s="67"/>
      <c r="M55" s="68"/>
      <c r="N55" s="68"/>
      <c r="O55" s="68"/>
      <c r="P55" s="68"/>
    </row>
    <row r="56" spans="1:16" ht="11.4" customHeight="1" x14ac:dyDescent="0.3">
      <c r="C56" s="136"/>
      <c r="D56" s="75"/>
      <c r="E56" s="73"/>
      <c r="F56" s="82"/>
      <c r="G56" s="52"/>
      <c r="H56" s="52"/>
      <c r="I56" s="52"/>
      <c r="J56" s="62"/>
      <c r="K56" s="61"/>
      <c r="L56" s="67"/>
      <c r="M56" s="68"/>
      <c r="N56" s="68"/>
      <c r="O56" s="68"/>
      <c r="P56" s="68"/>
    </row>
    <row r="57" spans="1:16" ht="11.4" customHeight="1" x14ac:dyDescent="0.3">
      <c r="C57" s="136"/>
      <c r="D57" s="75" t="s">
        <v>182</v>
      </c>
      <c r="E57" s="73"/>
      <c r="F57" s="82"/>
      <c r="G57" s="52"/>
      <c r="H57" s="52"/>
      <c r="I57" s="52"/>
      <c r="J57" s="62"/>
      <c r="K57" s="61"/>
      <c r="L57" s="67"/>
      <c r="M57" s="68"/>
      <c r="N57" s="68"/>
      <c r="O57" s="68"/>
      <c r="P57" s="68"/>
    </row>
    <row r="58" spans="1:16" ht="11.4" customHeight="1" x14ac:dyDescent="0.3">
      <c r="C58" s="136"/>
      <c r="D58" s="81" t="s">
        <v>115</v>
      </c>
      <c r="E58" s="73"/>
      <c r="F58" s="82"/>
      <c r="G58" s="52"/>
      <c r="H58" s="52"/>
      <c r="I58" s="52"/>
      <c r="J58" s="62"/>
      <c r="K58" s="61"/>
      <c r="L58" s="67"/>
      <c r="M58" s="68"/>
      <c r="N58" s="68"/>
      <c r="O58" s="68"/>
      <c r="P58" s="68"/>
    </row>
    <row r="59" spans="1:16" x14ac:dyDescent="0.3">
      <c r="A59" s="104">
        <v>3</v>
      </c>
      <c r="C59" s="136"/>
      <c r="D59" s="80" t="s">
        <v>183</v>
      </c>
      <c r="E59" s="90" t="s">
        <v>13</v>
      </c>
      <c r="F59" s="66">
        <v>1</v>
      </c>
      <c r="G59" s="67">
        <v>3.5</v>
      </c>
      <c r="H59" s="67"/>
      <c r="I59" s="67"/>
      <c r="J59" s="66">
        <v>1</v>
      </c>
      <c r="K59" s="67">
        <f t="shared" ref="K59:K60" si="1">F59*J59*G59</f>
        <v>3.5</v>
      </c>
      <c r="L59" s="60"/>
      <c r="M59" s="55"/>
      <c r="N59" s="55"/>
      <c r="O59" s="55"/>
      <c r="P59" s="55"/>
    </row>
    <row r="60" spans="1:16" ht="9" customHeight="1" x14ac:dyDescent="0.3">
      <c r="C60" s="136"/>
      <c r="D60" s="80" t="s">
        <v>184</v>
      </c>
      <c r="E60" s="90" t="s">
        <v>13</v>
      </c>
      <c r="F60" s="66">
        <v>2</v>
      </c>
      <c r="G60" s="67">
        <v>0.75</v>
      </c>
      <c r="H60" s="67"/>
      <c r="I60" s="67"/>
      <c r="J60" s="66">
        <v>1</v>
      </c>
      <c r="K60" s="67">
        <f t="shared" si="1"/>
        <v>1.5</v>
      </c>
      <c r="L60" s="60"/>
      <c r="M60" s="61"/>
      <c r="N60" s="61"/>
      <c r="O60" s="61"/>
      <c r="P60" s="61"/>
    </row>
    <row r="61" spans="1:16" ht="9.6" customHeight="1" x14ac:dyDescent="0.3">
      <c r="C61" s="136"/>
      <c r="D61" s="81" t="s">
        <v>139</v>
      </c>
      <c r="E61" s="73"/>
      <c r="F61" s="82"/>
      <c r="G61" s="52"/>
      <c r="H61" s="52"/>
      <c r="I61" s="52"/>
      <c r="J61" s="62"/>
      <c r="K61" s="61"/>
      <c r="L61" s="60"/>
      <c r="M61" s="61"/>
      <c r="N61" s="61"/>
      <c r="O61" s="61"/>
      <c r="P61" s="61"/>
    </row>
    <row r="62" spans="1:16" ht="11.4" customHeight="1" x14ac:dyDescent="0.3">
      <c r="C62" s="136"/>
      <c r="D62" s="80" t="s">
        <v>183</v>
      </c>
      <c r="E62" s="90" t="s">
        <v>13</v>
      </c>
      <c r="F62" s="66">
        <v>1</v>
      </c>
      <c r="G62" s="67">
        <v>3.5</v>
      </c>
      <c r="H62" s="67"/>
      <c r="I62" s="67"/>
      <c r="J62" s="66">
        <v>1</v>
      </c>
      <c r="K62" s="67">
        <f t="shared" ref="K62:K63" si="2">F62*J62*G62</f>
        <v>3.5</v>
      </c>
      <c r="L62" s="67"/>
      <c r="M62" s="68"/>
      <c r="N62" s="68"/>
      <c r="O62" s="68"/>
      <c r="P62" s="68"/>
    </row>
    <row r="63" spans="1:16" ht="11.4" customHeight="1" x14ac:dyDescent="0.3">
      <c r="C63" s="136"/>
      <c r="D63" s="80" t="s">
        <v>184</v>
      </c>
      <c r="E63" s="90" t="s">
        <v>13</v>
      </c>
      <c r="F63" s="66">
        <v>2</v>
      </c>
      <c r="G63" s="67">
        <v>0.75</v>
      </c>
      <c r="H63" s="67"/>
      <c r="I63" s="67"/>
      <c r="J63" s="66">
        <v>1</v>
      </c>
      <c r="K63" s="67">
        <f t="shared" si="2"/>
        <v>1.5</v>
      </c>
      <c r="L63" s="67"/>
      <c r="M63" s="68"/>
      <c r="N63" s="68"/>
      <c r="O63" s="68"/>
      <c r="P63" s="68"/>
    </row>
    <row r="64" spans="1:16" ht="11.4" customHeight="1" x14ac:dyDescent="0.3">
      <c r="C64" s="136"/>
      <c r="D64" s="81" t="s">
        <v>138</v>
      </c>
      <c r="E64" s="73"/>
      <c r="F64" s="82"/>
      <c r="G64" s="52"/>
      <c r="H64" s="52"/>
      <c r="I64" s="52"/>
      <c r="J64" s="62"/>
      <c r="K64" s="61"/>
      <c r="L64" s="67"/>
      <c r="M64" s="68"/>
      <c r="N64" s="68"/>
      <c r="O64" s="68"/>
      <c r="P64" s="68"/>
    </row>
    <row r="65" spans="1:16" ht="11.4" customHeight="1" x14ac:dyDescent="0.3">
      <c r="C65" s="136"/>
      <c r="D65" s="80" t="s">
        <v>183</v>
      </c>
      <c r="E65" s="90" t="s">
        <v>13</v>
      </c>
      <c r="F65" s="66">
        <v>1</v>
      </c>
      <c r="G65" s="67">
        <v>3.5</v>
      </c>
      <c r="H65" s="67"/>
      <c r="I65" s="67"/>
      <c r="J65" s="66">
        <v>1</v>
      </c>
      <c r="K65" s="67">
        <f t="shared" ref="K65:K66" si="3">F65*J65*G65</f>
        <v>3.5</v>
      </c>
      <c r="L65" s="67"/>
      <c r="M65" s="68"/>
      <c r="N65" s="68"/>
      <c r="O65" s="68"/>
      <c r="P65" s="68"/>
    </row>
    <row r="66" spans="1:16" ht="11.4" customHeight="1" x14ac:dyDescent="0.3">
      <c r="C66" s="136"/>
      <c r="D66" s="80" t="s">
        <v>184</v>
      </c>
      <c r="E66" s="90" t="s">
        <v>13</v>
      </c>
      <c r="F66" s="66">
        <v>2</v>
      </c>
      <c r="G66" s="67">
        <v>0.75</v>
      </c>
      <c r="H66" s="67"/>
      <c r="I66" s="67"/>
      <c r="J66" s="66">
        <v>1</v>
      </c>
      <c r="K66" s="67">
        <f t="shared" si="3"/>
        <v>1.5</v>
      </c>
      <c r="L66" s="60"/>
      <c r="M66" s="61"/>
      <c r="N66" s="61"/>
      <c r="O66" s="61"/>
      <c r="P66" s="61"/>
    </row>
    <row r="67" spans="1:16" ht="11.4" customHeight="1" x14ac:dyDescent="0.3">
      <c r="C67" s="136"/>
      <c r="D67" s="81" t="s">
        <v>189</v>
      </c>
      <c r="E67" s="73"/>
      <c r="F67" s="82"/>
      <c r="G67" s="52"/>
      <c r="H67" s="52"/>
      <c r="I67" s="52"/>
      <c r="J67" s="62"/>
      <c r="K67" s="61"/>
      <c r="L67" s="60"/>
      <c r="M67" s="61"/>
      <c r="N67" s="61"/>
      <c r="O67" s="61"/>
      <c r="P67" s="61"/>
    </row>
    <row r="68" spans="1:16" ht="11.4" customHeight="1" x14ac:dyDescent="0.3">
      <c r="C68" s="136"/>
      <c r="D68" s="80" t="s">
        <v>183</v>
      </c>
      <c r="E68" s="90" t="s">
        <v>13</v>
      </c>
      <c r="F68" s="66">
        <v>1</v>
      </c>
      <c r="G68" s="67">
        <v>3.5</v>
      </c>
      <c r="H68" s="67"/>
      <c r="I68" s="67"/>
      <c r="J68" s="66">
        <v>1</v>
      </c>
      <c r="K68" s="67">
        <f t="shared" ref="K68:K69" si="4">F68*J68*G68</f>
        <v>3.5</v>
      </c>
      <c r="L68" s="67"/>
      <c r="M68" s="68"/>
      <c r="N68" s="68"/>
      <c r="O68" s="68"/>
      <c r="P68" s="68"/>
    </row>
    <row r="69" spans="1:16" ht="11.4" customHeight="1" x14ac:dyDescent="0.3">
      <c r="C69" s="136"/>
      <c r="D69" s="80" t="s">
        <v>184</v>
      </c>
      <c r="E69" s="90" t="s">
        <v>13</v>
      </c>
      <c r="F69" s="66">
        <v>2</v>
      </c>
      <c r="G69" s="67">
        <v>0.75</v>
      </c>
      <c r="H69" s="67"/>
      <c r="I69" s="67"/>
      <c r="J69" s="66">
        <v>1</v>
      </c>
      <c r="K69" s="67">
        <f t="shared" si="4"/>
        <v>1.5</v>
      </c>
      <c r="L69" s="67"/>
      <c r="M69" s="68"/>
      <c r="N69" s="68"/>
      <c r="O69" s="68"/>
      <c r="P69" s="68"/>
    </row>
    <row r="70" spans="1:16" s="110" customFormat="1" ht="11.4" customHeight="1" x14ac:dyDescent="0.2">
      <c r="A70" s="107"/>
      <c r="B70" s="108"/>
      <c r="C70" s="63"/>
      <c r="D70" s="91"/>
      <c r="E70" s="90"/>
      <c r="F70" s="92"/>
      <c r="G70" s="86"/>
      <c r="H70" s="86"/>
      <c r="I70" s="86"/>
      <c r="J70" s="66"/>
      <c r="K70" s="67"/>
      <c r="L70" s="67"/>
      <c r="M70" s="68"/>
      <c r="N70" s="68"/>
      <c r="O70" s="68"/>
      <c r="P70" s="68"/>
    </row>
    <row r="71" spans="1:16" x14ac:dyDescent="0.3"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P71" s="104"/>
    </row>
    <row r="72" spans="1:16" x14ac:dyDescent="0.3"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P72" s="104"/>
    </row>
    <row r="73" spans="1:16" x14ac:dyDescent="0.3"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P73" s="104"/>
    </row>
    <row r="74" spans="1:16" x14ac:dyDescent="0.3"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P74" s="104"/>
    </row>
    <row r="75" spans="1:16" x14ac:dyDescent="0.3"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P75" s="104"/>
    </row>
    <row r="76" spans="1:16" x14ac:dyDescent="0.3"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P76" s="104"/>
    </row>
    <row r="77" spans="1:16" x14ac:dyDescent="0.3"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P77" s="104"/>
    </row>
    <row r="78" spans="1:16" x14ac:dyDescent="0.3">
      <c r="C78" s="63"/>
      <c r="D78" s="64"/>
      <c r="E78" s="65"/>
      <c r="F78" s="66"/>
      <c r="G78" s="67"/>
      <c r="H78" s="67"/>
      <c r="I78" s="68"/>
      <c r="J78" s="69"/>
      <c r="K78" s="68"/>
      <c r="L78" s="68"/>
      <c r="M78" s="68"/>
      <c r="N78" s="68"/>
      <c r="O78" s="68"/>
      <c r="P78" s="68"/>
    </row>
    <row r="79" spans="1:16" x14ac:dyDescent="0.3">
      <c r="C79" s="63"/>
      <c r="D79" s="64"/>
      <c r="E79" s="65"/>
      <c r="F79" s="66"/>
      <c r="G79" s="67"/>
      <c r="H79" s="67"/>
      <c r="I79" s="68"/>
      <c r="J79" s="69"/>
      <c r="K79" s="68"/>
      <c r="L79" s="68"/>
      <c r="M79" s="68"/>
      <c r="N79" s="68"/>
      <c r="O79" s="68"/>
      <c r="P79" s="68"/>
    </row>
    <row r="80" spans="1:16" x14ac:dyDescent="0.3">
      <c r="C80" s="63"/>
      <c r="D80" s="64"/>
      <c r="E80" s="65"/>
      <c r="F80" s="66"/>
      <c r="G80" s="67"/>
      <c r="H80" s="67"/>
      <c r="I80" s="68"/>
      <c r="J80" s="69"/>
      <c r="K80" s="68"/>
      <c r="L80" s="68"/>
      <c r="M80" s="68"/>
      <c r="N80" s="68"/>
      <c r="O80" s="68"/>
      <c r="P80" s="68"/>
    </row>
    <row r="81" spans="3:16" x14ac:dyDescent="0.3">
      <c r="C81" s="63"/>
      <c r="D81" s="64"/>
      <c r="E81" s="65"/>
      <c r="F81" s="66"/>
      <c r="G81" s="67"/>
      <c r="H81" s="67"/>
      <c r="I81" s="68"/>
      <c r="J81" s="69"/>
      <c r="K81" s="68"/>
      <c r="L81" s="68"/>
      <c r="M81" s="68"/>
      <c r="N81" s="68"/>
      <c r="O81" s="68"/>
      <c r="P81" s="68"/>
    </row>
    <row r="82" spans="3:16" x14ac:dyDescent="0.3">
      <c r="C82" s="63"/>
      <c r="D82" s="64"/>
      <c r="E82" s="65"/>
      <c r="F82" s="66"/>
      <c r="G82" s="67"/>
      <c r="H82" s="67"/>
      <c r="I82" s="68"/>
      <c r="J82" s="69"/>
      <c r="K82" s="68"/>
      <c r="L82" s="68"/>
      <c r="M82" s="68"/>
      <c r="N82" s="68"/>
      <c r="O82" s="68"/>
      <c r="P82" s="68"/>
    </row>
    <row r="83" spans="3:16" x14ac:dyDescent="0.3">
      <c r="C83" s="63"/>
      <c r="D83" s="64"/>
      <c r="E83" s="65"/>
      <c r="F83" s="66"/>
      <c r="G83" s="67"/>
      <c r="H83" s="67"/>
      <c r="I83" s="68"/>
      <c r="J83" s="69"/>
      <c r="K83" s="68"/>
      <c r="L83" s="68"/>
      <c r="M83" s="68"/>
      <c r="N83" s="68"/>
      <c r="O83" s="68"/>
      <c r="P83" s="68"/>
    </row>
    <row r="84" spans="3:16" x14ac:dyDescent="0.3">
      <c r="C84" s="63"/>
      <c r="D84" s="64"/>
      <c r="E84" s="65"/>
      <c r="F84" s="66"/>
      <c r="G84" s="67"/>
      <c r="H84" s="67"/>
      <c r="I84" s="68"/>
      <c r="J84" s="69"/>
      <c r="K84" s="68"/>
      <c r="L84" s="68"/>
      <c r="M84" s="68"/>
      <c r="N84" s="68"/>
      <c r="O84" s="68"/>
      <c r="P84" s="68"/>
    </row>
    <row r="85" spans="3:16" x14ac:dyDescent="0.3">
      <c r="C85" s="63"/>
      <c r="D85" s="64"/>
      <c r="E85" s="65"/>
      <c r="F85" s="66"/>
      <c r="G85" s="67"/>
      <c r="H85" s="67"/>
      <c r="I85" s="68"/>
      <c r="J85" s="69"/>
      <c r="K85" s="68"/>
      <c r="L85" s="68"/>
      <c r="M85" s="68"/>
      <c r="N85" s="68"/>
      <c r="O85" s="68"/>
      <c r="P85" s="68"/>
    </row>
    <row r="86" spans="3:16" x14ac:dyDescent="0.3">
      <c r="C86" s="63"/>
      <c r="D86" s="64"/>
      <c r="E86" s="65"/>
      <c r="F86" s="66"/>
      <c r="G86" s="67"/>
      <c r="H86" s="67"/>
      <c r="I86" s="68"/>
      <c r="J86" s="69"/>
      <c r="K86" s="68"/>
      <c r="L86" s="68"/>
      <c r="M86" s="68"/>
      <c r="N86" s="68"/>
      <c r="O86" s="68"/>
      <c r="P86" s="68"/>
    </row>
    <row r="87" spans="3:16" x14ac:dyDescent="0.3">
      <c r="C87" s="63"/>
      <c r="D87" s="64"/>
      <c r="E87" s="65"/>
      <c r="F87" s="66"/>
      <c r="G87" s="67"/>
      <c r="H87" s="67"/>
      <c r="I87" s="68"/>
      <c r="J87" s="69"/>
      <c r="K87" s="68"/>
      <c r="L87" s="68"/>
      <c r="M87" s="68"/>
      <c r="N87" s="68"/>
      <c r="O87" s="68"/>
      <c r="P87" s="68"/>
    </row>
    <row r="88" spans="3:16" x14ac:dyDescent="0.3">
      <c r="C88" s="63"/>
      <c r="D88" s="64"/>
      <c r="E88" s="65"/>
      <c r="F88" s="66"/>
      <c r="G88" s="67"/>
      <c r="H88" s="67"/>
      <c r="I88" s="68"/>
      <c r="J88" s="69"/>
      <c r="K88" s="68"/>
      <c r="L88" s="68"/>
      <c r="M88" s="68"/>
      <c r="N88" s="68"/>
      <c r="O88" s="68"/>
      <c r="P88" s="68"/>
    </row>
    <row r="89" spans="3:16" x14ac:dyDescent="0.3">
      <c r="C89" s="63"/>
      <c r="D89" s="64"/>
      <c r="E89" s="65"/>
      <c r="F89" s="66"/>
      <c r="G89" s="67"/>
      <c r="H89" s="67"/>
      <c r="I89" s="68"/>
      <c r="J89" s="69"/>
      <c r="K89" s="68"/>
      <c r="L89" s="68"/>
      <c r="M89" s="68"/>
      <c r="N89" s="68"/>
      <c r="O89" s="68"/>
      <c r="P89" s="68"/>
    </row>
    <row r="90" spans="3:16" x14ac:dyDescent="0.3">
      <c r="C90" s="63"/>
      <c r="D90" s="64"/>
      <c r="E90" s="65"/>
      <c r="F90" s="66"/>
      <c r="G90" s="67"/>
      <c r="H90" s="67"/>
      <c r="I90" s="68"/>
      <c r="J90" s="69"/>
      <c r="K90" s="68"/>
      <c r="L90" s="68"/>
      <c r="M90" s="68"/>
      <c r="N90" s="68"/>
      <c r="O90" s="68"/>
      <c r="P90" s="68"/>
    </row>
    <row r="91" spans="3:16" x14ac:dyDescent="0.3">
      <c r="C91" s="63"/>
      <c r="D91" s="64"/>
      <c r="E91" s="65"/>
      <c r="F91" s="66"/>
      <c r="G91" s="67"/>
      <c r="H91" s="67"/>
      <c r="I91" s="68"/>
      <c r="J91" s="69"/>
      <c r="K91" s="68"/>
      <c r="L91" s="68"/>
      <c r="M91" s="68"/>
      <c r="N91" s="68"/>
      <c r="O91" s="68"/>
      <c r="P91" s="68"/>
    </row>
    <row r="92" spans="3:16" x14ac:dyDescent="0.3">
      <c r="C92" s="63"/>
      <c r="D92" s="64"/>
      <c r="E92" s="65"/>
      <c r="F92" s="66"/>
      <c r="G92" s="67"/>
      <c r="H92" s="67"/>
      <c r="I92" s="68"/>
      <c r="J92" s="69"/>
      <c r="K92" s="68"/>
      <c r="L92" s="68"/>
      <c r="M92" s="68"/>
      <c r="N92" s="68"/>
      <c r="O92" s="68"/>
      <c r="P92" s="68"/>
    </row>
    <row r="93" spans="3:16" x14ac:dyDescent="0.3">
      <c r="C93" s="63"/>
      <c r="D93" s="64"/>
      <c r="E93" s="65"/>
      <c r="F93" s="66"/>
      <c r="G93" s="67"/>
      <c r="H93" s="67"/>
      <c r="I93" s="68"/>
      <c r="J93" s="69"/>
      <c r="K93" s="68"/>
      <c r="L93" s="68"/>
      <c r="M93" s="68"/>
      <c r="N93" s="68"/>
      <c r="O93" s="68"/>
      <c r="P93" s="68"/>
    </row>
    <row r="94" spans="3:16" x14ac:dyDescent="0.3">
      <c r="C94" s="63"/>
      <c r="D94" s="64"/>
      <c r="E94" s="65"/>
      <c r="F94" s="66"/>
      <c r="G94" s="67"/>
      <c r="H94" s="67"/>
      <c r="I94" s="68"/>
      <c r="J94" s="69"/>
      <c r="K94" s="68"/>
      <c r="L94" s="68"/>
      <c r="M94" s="68"/>
      <c r="N94" s="68"/>
      <c r="O94" s="68"/>
      <c r="P94" s="68"/>
    </row>
    <row r="95" spans="3:16" x14ac:dyDescent="0.3">
      <c r="C95" s="63"/>
      <c r="D95" s="64"/>
      <c r="E95" s="65"/>
      <c r="F95" s="66"/>
      <c r="G95" s="67"/>
      <c r="H95" s="67"/>
      <c r="I95" s="68"/>
      <c r="J95" s="69"/>
      <c r="K95" s="68"/>
      <c r="L95" s="68"/>
      <c r="M95" s="68"/>
      <c r="N95" s="68"/>
      <c r="O95" s="68"/>
      <c r="P95" s="68"/>
    </row>
    <row r="96" spans="3:16" x14ac:dyDescent="0.3">
      <c r="C96" s="56"/>
      <c r="D96" s="57"/>
      <c r="E96" s="58"/>
      <c r="F96" s="59"/>
      <c r="G96" s="60"/>
      <c r="H96" s="60"/>
      <c r="I96" s="61"/>
      <c r="J96" s="62"/>
      <c r="K96" s="61"/>
      <c r="L96" s="61"/>
      <c r="M96" s="61"/>
      <c r="N96" s="61"/>
      <c r="O96" s="61"/>
      <c r="P96" s="61"/>
    </row>
    <row r="97" spans="3:16" x14ac:dyDescent="0.3">
      <c r="C97" s="63"/>
      <c r="D97" s="64"/>
      <c r="E97" s="65"/>
      <c r="F97" s="66"/>
      <c r="G97" s="67"/>
      <c r="H97" s="67"/>
      <c r="I97" s="68"/>
      <c r="J97" s="69"/>
      <c r="K97" s="68"/>
      <c r="L97" s="68"/>
      <c r="M97" s="68"/>
      <c r="N97" s="68"/>
      <c r="O97" s="68"/>
      <c r="P97" s="68"/>
    </row>
    <row r="98" spans="3:16" x14ac:dyDescent="0.3">
      <c r="C98" s="63"/>
      <c r="D98" s="64"/>
      <c r="E98" s="65"/>
      <c r="F98" s="66"/>
      <c r="G98" s="67"/>
      <c r="H98" s="67"/>
      <c r="I98" s="68"/>
      <c r="J98" s="69"/>
      <c r="K98" s="68"/>
      <c r="L98" s="68"/>
      <c r="M98" s="68"/>
      <c r="N98" s="68"/>
      <c r="O98" s="68"/>
      <c r="P98" s="68"/>
    </row>
    <row r="99" spans="3:16" x14ac:dyDescent="0.3">
      <c r="C99" s="63"/>
      <c r="D99" s="64"/>
      <c r="E99" s="65"/>
      <c r="F99" s="66"/>
      <c r="G99" s="67"/>
      <c r="H99" s="67"/>
      <c r="I99" s="68"/>
      <c r="J99" s="69"/>
      <c r="K99" s="68"/>
      <c r="L99" s="68"/>
      <c r="M99" s="68"/>
      <c r="N99" s="68"/>
      <c r="O99" s="68"/>
      <c r="P99" s="68"/>
    </row>
    <row r="100" spans="3:16" x14ac:dyDescent="0.3">
      <c r="C100" s="63"/>
      <c r="D100" s="64"/>
      <c r="E100" s="65"/>
      <c r="F100" s="66"/>
      <c r="G100" s="67"/>
      <c r="H100" s="67"/>
      <c r="I100" s="68"/>
      <c r="J100" s="69"/>
      <c r="K100" s="68"/>
      <c r="L100" s="68"/>
      <c r="M100" s="68"/>
      <c r="N100" s="68"/>
      <c r="O100" s="68"/>
      <c r="P100" s="68"/>
    </row>
    <row r="101" spans="3:16" x14ac:dyDescent="0.3">
      <c r="C101" s="63"/>
      <c r="D101" s="64"/>
      <c r="E101" s="65"/>
      <c r="F101" s="66"/>
      <c r="G101" s="67"/>
      <c r="H101" s="67"/>
      <c r="I101" s="68"/>
      <c r="J101" s="69"/>
      <c r="K101" s="68"/>
      <c r="L101" s="68"/>
      <c r="M101" s="68"/>
      <c r="N101" s="68"/>
      <c r="O101" s="68"/>
      <c r="P101" s="68"/>
    </row>
    <row r="102" spans="3:16" x14ac:dyDescent="0.3">
      <c r="C102" s="63"/>
      <c r="D102" s="64"/>
      <c r="E102" s="65"/>
      <c r="F102" s="66"/>
      <c r="G102" s="67"/>
      <c r="H102" s="67"/>
      <c r="I102" s="68"/>
      <c r="J102" s="69"/>
      <c r="K102" s="68"/>
      <c r="L102" s="68"/>
      <c r="M102" s="68"/>
      <c r="N102" s="68"/>
      <c r="O102" s="68"/>
      <c r="P102" s="68"/>
    </row>
    <row r="103" spans="3:16" x14ac:dyDescent="0.3">
      <c r="C103" s="63"/>
      <c r="D103" s="64"/>
      <c r="E103" s="65"/>
      <c r="F103" s="66"/>
      <c r="G103" s="67"/>
      <c r="H103" s="67"/>
      <c r="I103" s="68"/>
      <c r="J103" s="69"/>
      <c r="K103" s="68"/>
      <c r="L103" s="68"/>
      <c r="M103" s="68"/>
      <c r="N103" s="68"/>
      <c r="O103" s="68"/>
      <c r="P103" s="68"/>
    </row>
    <row r="104" spans="3:16" x14ac:dyDescent="0.3">
      <c r="C104" s="63"/>
      <c r="D104" s="64"/>
      <c r="E104" s="65"/>
      <c r="F104" s="66"/>
      <c r="G104" s="67"/>
      <c r="H104" s="67"/>
      <c r="I104" s="68"/>
      <c r="J104" s="69"/>
      <c r="K104" s="68"/>
      <c r="L104" s="68"/>
      <c r="M104" s="68"/>
      <c r="N104" s="68"/>
      <c r="O104" s="68"/>
      <c r="P104" s="68"/>
    </row>
    <row r="105" spans="3:16" x14ac:dyDescent="0.3">
      <c r="C105" s="63"/>
      <c r="D105" s="64"/>
      <c r="E105" s="65"/>
      <c r="F105" s="66"/>
      <c r="G105" s="67"/>
      <c r="H105" s="67"/>
      <c r="I105" s="68"/>
      <c r="J105" s="69"/>
      <c r="K105" s="68"/>
      <c r="L105" s="68"/>
      <c r="M105" s="68"/>
      <c r="N105" s="68"/>
      <c r="O105" s="68"/>
      <c r="P105" s="68"/>
    </row>
    <row r="106" spans="3:16" x14ac:dyDescent="0.3">
      <c r="C106" s="63"/>
      <c r="D106" s="64"/>
      <c r="E106" s="65"/>
      <c r="F106" s="66"/>
      <c r="G106" s="67"/>
      <c r="H106" s="67"/>
      <c r="I106" s="68"/>
      <c r="J106" s="69"/>
      <c r="K106" s="68"/>
      <c r="L106" s="68"/>
      <c r="M106" s="68"/>
      <c r="N106" s="68"/>
      <c r="O106" s="68"/>
      <c r="P106" s="68"/>
    </row>
    <row r="107" spans="3:16" x14ac:dyDescent="0.3">
      <c r="C107" s="63"/>
      <c r="D107" s="64"/>
      <c r="E107" s="65"/>
      <c r="F107" s="66"/>
      <c r="G107" s="67"/>
      <c r="H107" s="67"/>
      <c r="I107" s="68"/>
      <c r="J107" s="69"/>
      <c r="K107" s="68"/>
      <c r="L107" s="68"/>
      <c r="M107" s="68"/>
      <c r="N107" s="68"/>
      <c r="O107" s="68"/>
      <c r="P107" s="68"/>
    </row>
    <row r="108" spans="3:16" x14ac:dyDescent="0.3">
      <c r="C108" s="63"/>
      <c r="D108" s="64"/>
      <c r="E108" s="65"/>
      <c r="F108" s="66"/>
      <c r="G108" s="67"/>
      <c r="H108" s="67"/>
      <c r="I108" s="68"/>
      <c r="J108" s="69"/>
      <c r="K108" s="68"/>
      <c r="L108" s="68"/>
      <c r="M108" s="68"/>
      <c r="N108" s="68"/>
      <c r="O108" s="68"/>
      <c r="P108" s="68"/>
    </row>
    <row r="109" spans="3:16" x14ac:dyDescent="0.3">
      <c r="C109" s="63"/>
      <c r="D109" s="64"/>
      <c r="E109" s="65"/>
      <c r="F109" s="66"/>
      <c r="G109" s="67"/>
      <c r="H109" s="67"/>
      <c r="I109" s="68"/>
      <c r="J109" s="69"/>
      <c r="K109" s="68"/>
      <c r="L109" s="68"/>
      <c r="M109" s="68"/>
      <c r="N109" s="68"/>
      <c r="O109" s="68"/>
      <c r="P109" s="68"/>
    </row>
    <row r="110" spans="3:16" x14ac:dyDescent="0.3">
      <c r="C110" s="56"/>
      <c r="D110" s="57"/>
      <c r="E110" s="58"/>
      <c r="F110" s="59"/>
      <c r="G110" s="60"/>
      <c r="H110" s="60"/>
      <c r="I110" s="61"/>
      <c r="J110" s="62"/>
      <c r="K110" s="61"/>
      <c r="L110" s="61"/>
      <c r="M110" s="61"/>
      <c r="N110" s="61"/>
      <c r="O110" s="61"/>
      <c r="P110" s="61"/>
    </row>
    <row r="111" spans="3:16" x14ac:dyDescent="0.3">
      <c r="C111" s="63"/>
      <c r="D111" s="64"/>
      <c r="E111" s="65"/>
      <c r="F111" s="66"/>
      <c r="G111" s="67"/>
      <c r="H111" s="67"/>
      <c r="I111" s="68"/>
      <c r="J111" s="69"/>
      <c r="K111" s="68"/>
      <c r="L111" s="68"/>
      <c r="M111" s="68"/>
      <c r="N111" s="68"/>
      <c r="O111" s="68"/>
      <c r="P111" s="68"/>
    </row>
    <row r="112" spans="3:16" x14ac:dyDescent="0.3">
      <c r="C112" s="63"/>
      <c r="D112" s="64"/>
      <c r="E112" s="65"/>
      <c r="F112" s="66"/>
      <c r="G112" s="67"/>
      <c r="H112" s="67"/>
      <c r="I112" s="68"/>
      <c r="J112" s="69"/>
      <c r="K112" s="68"/>
      <c r="L112" s="68"/>
      <c r="M112" s="68"/>
      <c r="N112" s="68"/>
      <c r="O112" s="68"/>
      <c r="P112" s="68"/>
    </row>
    <row r="113" spans="3:16" x14ac:dyDescent="0.3">
      <c r="C113" s="63"/>
      <c r="D113" s="64"/>
      <c r="E113" s="65"/>
      <c r="F113" s="66"/>
      <c r="G113" s="67"/>
      <c r="H113" s="67"/>
      <c r="I113" s="68"/>
      <c r="J113" s="69"/>
      <c r="K113" s="68"/>
      <c r="L113" s="68"/>
      <c r="M113" s="68"/>
      <c r="N113" s="68"/>
      <c r="O113" s="68"/>
      <c r="P113" s="68"/>
    </row>
    <row r="114" spans="3:16" x14ac:dyDescent="0.3">
      <c r="C114" s="63"/>
      <c r="D114" s="64"/>
      <c r="E114" s="65"/>
      <c r="F114" s="66"/>
      <c r="G114" s="67"/>
      <c r="H114" s="67"/>
      <c r="I114" s="68"/>
      <c r="J114" s="69"/>
      <c r="K114" s="68"/>
      <c r="L114" s="68"/>
      <c r="M114" s="68"/>
      <c r="N114" s="68"/>
      <c r="O114" s="68"/>
      <c r="P114" s="68"/>
    </row>
    <row r="115" spans="3:16" x14ac:dyDescent="0.3">
      <c r="C115" s="63"/>
      <c r="D115" s="64"/>
      <c r="E115" s="65"/>
      <c r="F115" s="66"/>
      <c r="G115" s="67"/>
      <c r="H115" s="67"/>
      <c r="I115" s="68"/>
      <c r="J115" s="69"/>
      <c r="K115" s="68"/>
      <c r="L115" s="68"/>
      <c r="M115" s="68"/>
      <c r="N115" s="68"/>
      <c r="O115" s="68"/>
      <c r="P115" s="68"/>
    </row>
    <row r="116" spans="3:16" x14ac:dyDescent="0.3">
      <c r="C116" s="63"/>
      <c r="D116" s="64"/>
      <c r="E116" s="65"/>
      <c r="F116" s="66"/>
      <c r="G116" s="67"/>
      <c r="H116" s="67"/>
      <c r="I116" s="68"/>
      <c r="J116" s="69"/>
      <c r="K116" s="68"/>
      <c r="L116" s="68"/>
      <c r="M116" s="68"/>
      <c r="N116" s="68"/>
      <c r="O116" s="68"/>
      <c r="P116" s="68"/>
    </row>
    <row r="117" spans="3:16" x14ac:dyDescent="0.3">
      <c r="C117" s="63"/>
      <c r="D117" s="64"/>
      <c r="E117" s="65"/>
      <c r="F117" s="66"/>
      <c r="G117" s="67"/>
      <c r="H117" s="67"/>
      <c r="I117" s="68"/>
      <c r="J117" s="69"/>
      <c r="K117" s="68"/>
      <c r="L117" s="68"/>
      <c r="M117" s="68"/>
      <c r="N117" s="68"/>
      <c r="O117" s="68"/>
      <c r="P117" s="68"/>
    </row>
    <row r="118" spans="3:16" x14ac:dyDescent="0.3">
      <c r="C118" s="63"/>
      <c r="D118" s="64"/>
      <c r="E118" s="65"/>
      <c r="F118" s="66"/>
      <c r="G118" s="67"/>
      <c r="H118" s="67"/>
      <c r="I118" s="68"/>
      <c r="J118" s="69"/>
      <c r="K118" s="68"/>
      <c r="L118" s="68"/>
      <c r="M118" s="68"/>
      <c r="N118" s="68"/>
      <c r="O118" s="68"/>
      <c r="P118" s="68"/>
    </row>
    <row r="119" spans="3:16" x14ac:dyDescent="0.3">
      <c r="C119" s="63"/>
      <c r="D119" s="64"/>
      <c r="E119" s="65"/>
      <c r="F119" s="66"/>
      <c r="G119" s="67"/>
      <c r="H119" s="67"/>
      <c r="I119" s="68"/>
      <c r="J119" s="69"/>
      <c r="K119" s="68"/>
      <c r="L119" s="68"/>
      <c r="M119" s="68"/>
      <c r="N119" s="68"/>
      <c r="O119" s="68"/>
      <c r="P119" s="68"/>
    </row>
    <row r="120" spans="3:16" x14ac:dyDescent="0.3">
      <c r="C120" s="63"/>
      <c r="D120" s="64"/>
      <c r="E120" s="65"/>
      <c r="F120" s="66"/>
      <c r="G120" s="67"/>
      <c r="H120" s="67"/>
      <c r="I120" s="68"/>
      <c r="J120" s="69"/>
      <c r="K120" s="68"/>
      <c r="L120" s="68"/>
      <c r="M120" s="68"/>
      <c r="N120" s="68"/>
      <c r="O120" s="68"/>
      <c r="P120" s="68"/>
    </row>
    <row r="121" spans="3:16" x14ac:dyDescent="0.3">
      <c r="C121" s="63"/>
      <c r="D121" s="64"/>
      <c r="E121" s="65"/>
      <c r="F121" s="66"/>
      <c r="G121" s="67"/>
      <c r="H121" s="67"/>
      <c r="I121" s="68"/>
      <c r="J121" s="69"/>
      <c r="K121" s="68"/>
      <c r="L121" s="68"/>
      <c r="M121" s="68"/>
      <c r="N121" s="68"/>
      <c r="O121" s="68"/>
      <c r="P121" s="68"/>
    </row>
    <row r="122" spans="3:16" x14ac:dyDescent="0.3">
      <c r="C122" s="63"/>
      <c r="D122" s="64"/>
      <c r="E122" s="65"/>
      <c r="F122" s="66"/>
      <c r="G122" s="67"/>
      <c r="H122" s="67"/>
      <c r="I122" s="68"/>
      <c r="J122" s="69"/>
      <c r="K122" s="68"/>
      <c r="L122" s="68"/>
      <c r="M122" s="68"/>
      <c r="N122" s="68"/>
      <c r="O122" s="68"/>
      <c r="P122" s="68"/>
    </row>
    <row r="123" spans="3:16" x14ac:dyDescent="0.3">
      <c r="C123" s="63"/>
      <c r="D123" s="64"/>
      <c r="E123" s="65"/>
      <c r="F123" s="66"/>
      <c r="G123" s="67"/>
      <c r="H123" s="67"/>
      <c r="I123" s="68"/>
      <c r="J123" s="69"/>
      <c r="K123" s="68"/>
      <c r="L123" s="68"/>
      <c r="M123" s="68"/>
      <c r="N123" s="68"/>
      <c r="O123" s="68"/>
      <c r="P123" s="68"/>
    </row>
    <row r="124" spans="3:16" x14ac:dyDescent="0.3">
      <c r="C124" s="63"/>
      <c r="D124" s="64"/>
      <c r="E124" s="65"/>
      <c r="F124" s="66"/>
      <c r="G124" s="67"/>
      <c r="H124" s="67"/>
      <c r="I124" s="68"/>
      <c r="J124" s="69"/>
      <c r="K124" s="68"/>
      <c r="L124" s="68"/>
      <c r="M124" s="68"/>
      <c r="N124" s="68"/>
      <c r="O124" s="68"/>
      <c r="P124" s="68"/>
    </row>
    <row r="125" spans="3:16" x14ac:dyDescent="0.3">
      <c r="C125" s="63"/>
      <c r="D125" s="64"/>
      <c r="E125" s="65"/>
      <c r="F125" s="66"/>
      <c r="G125" s="67"/>
      <c r="H125" s="67"/>
      <c r="I125" s="68"/>
      <c r="J125" s="69"/>
      <c r="K125" s="68"/>
      <c r="L125" s="68"/>
      <c r="M125" s="68"/>
      <c r="N125" s="68"/>
      <c r="O125" s="68"/>
      <c r="P125" s="68"/>
    </row>
    <row r="126" spans="3:16" x14ac:dyDescent="0.3">
      <c r="C126" s="63"/>
      <c r="D126" s="64"/>
      <c r="E126" s="65"/>
      <c r="F126" s="66"/>
      <c r="G126" s="67"/>
      <c r="H126" s="67"/>
      <c r="I126" s="68"/>
      <c r="J126" s="69"/>
      <c r="K126" s="68"/>
      <c r="L126" s="68"/>
      <c r="M126" s="68"/>
      <c r="N126" s="68"/>
      <c r="O126" s="68"/>
      <c r="P126" s="68"/>
    </row>
    <row r="127" spans="3:16" x14ac:dyDescent="0.3">
      <c r="C127" s="63"/>
      <c r="D127" s="64"/>
      <c r="E127" s="65"/>
      <c r="F127" s="66"/>
      <c r="G127" s="67"/>
      <c r="H127" s="67"/>
      <c r="I127" s="68"/>
      <c r="J127" s="69"/>
      <c r="K127" s="68"/>
      <c r="L127" s="68"/>
      <c r="M127" s="68"/>
      <c r="N127" s="68"/>
      <c r="O127" s="68"/>
      <c r="P127" s="68"/>
    </row>
    <row r="128" spans="3:16" x14ac:dyDescent="0.3">
      <c r="C128" s="63"/>
      <c r="D128" s="64"/>
      <c r="E128" s="65"/>
      <c r="F128" s="66"/>
      <c r="G128" s="67"/>
      <c r="H128" s="67"/>
      <c r="I128" s="68"/>
      <c r="J128" s="69"/>
      <c r="K128" s="68"/>
      <c r="L128" s="68"/>
      <c r="M128" s="68"/>
      <c r="N128" s="68"/>
      <c r="O128" s="68"/>
      <c r="P128" s="68"/>
    </row>
    <row r="129" spans="3:16" x14ac:dyDescent="0.3">
      <c r="C129" s="63"/>
      <c r="D129" s="64"/>
      <c r="E129" s="65"/>
      <c r="F129" s="66"/>
      <c r="G129" s="67"/>
      <c r="H129" s="67"/>
      <c r="I129" s="68"/>
      <c r="J129" s="69"/>
      <c r="K129" s="68"/>
      <c r="L129" s="68"/>
      <c r="M129" s="68"/>
      <c r="N129" s="68"/>
      <c r="O129" s="68"/>
      <c r="P129" s="68"/>
    </row>
    <row r="130" spans="3:16" x14ac:dyDescent="0.3">
      <c r="C130" s="63"/>
      <c r="D130" s="64"/>
      <c r="E130" s="65"/>
      <c r="F130" s="66"/>
      <c r="G130" s="67"/>
      <c r="H130" s="67"/>
      <c r="I130" s="68"/>
      <c r="J130" s="69"/>
      <c r="K130" s="68"/>
      <c r="L130" s="68"/>
      <c r="M130" s="68"/>
      <c r="N130" s="68"/>
      <c r="O130" s="68"/>
      <c r="P130" s="68"/>
    </row>
    <row r="131" spans="3:16" x14ac:dyDescent="0.3">
      <c r="C131" s="63"/>
      <c r="D131" s="64"/>
      <c r="E131" s="65"/>
      <c r="F131" s="66"/>
      <c r="G131" s="67"/>
      <c r="H131" s="67"/>
      <c r="I131" s="68"/>
      <c r="J131" s="69"/>
      <c r="K131" s="68"/>
      <c r="L131" s="68"/>
      <c r="M131" s="68"/>
      <c r="N131" s="68"/>
      <c r="O131" s="68"/>
      <c r="P131" s="68"/>
    </row>
    <row r="132" spans="3:16" x14ac:dyDescent="0.3">
      <c r="C132" s="63"/>
      <c r="D132" s="64"/>
      <c r="E132" s="65"/>
      <c r="F132" s="66"/>
      <c r="G132" s="67"/>
      <c r="H132" s="67"/>
      <c r="I132" s="68"/>
      <c r="J132" s="69"/>
      <c r="K132" s="68"/>
      <c r="L132" s="68"/>
      <c r="M132" s="68"/>
      <c r="N132" s="68"/>
      <c r="O132" s="68"/>
      <c r="P132" s="68"/>
    </row>
    <row r="133" spans="3:16" x14ac:dyDescent="0.3">
      <c r="C133" s="63"/>
      <c r="D133" s="64"/>
      <c r="E133" s="65"/>
      <c r="F133" s="66"/>
      <c r="G133" s="67"/>
      <c r="H133" s="67"/>
      <c r="I133" s="68"/>
      <c r="J133" s="69"/>
      <c r="K133" s="68"/>
      <c r="L133" s="68"/>
      <c r="M133" s="68"/>
      <c r="N133" s="68"/>
      <c r="O133" s="68"/>
      <c r="P133" s="68"/>
    </row>
    <row r="134" spans="3:16" x14ac:dyDescent="0.3">
      <c r="C134" s="63"/>
      <c r="D134" s="64"/>
      <c r="E134" s="65"/>
      <c r="F134" s="66"/>
      <c r="G134" s="67"/>
      <c r="H134" s="67"/>
      <c r="I134" s="68"/>
      <c r="J134" s="69"/>
      <c r="K134" s="68"/>
      <c r="L134" s="68"/>
      <c r="M134" s="68"/>
      <c r="N134" s="68"/>
      <c r="O134" s="68"/>
      <c r="P134" s="68"/>
    </row>
    <row r="135" spans="3:16" x14ac:dyDescent="0.3">
      <c r="C135" s="63"/>
      <c r="D135" s="64"/>
      <c r="E135" s="65"/>
      <c r="F135" s="66"/>
      <c r="G135" s="67"/>
      <c r="H135" s="67"/>
      <c r="I135" s="68"/>
      <c r="J135" s="69"/>
      <c r="K135" s="68"/>
      <c r="L135" s="68"/>
      <c r="M135" s="68"/>
      <c r="N135" s="68"/>
      <c r="O135" s="68"/>
      <c r="P135" s="68"/>
    </row>
    <row r="136" spans="3:16" x14ac:dyDescent="0.3">
      <c r="C136" s="63"/>
      <c r="D136" s="64"/>
      <c r="E136" s="65"/>
      <c r="F136" s="66"/>
      <c r="G136" s="67"/>
      <c r="H136" s="67"/>
      <c r="I136" s="68"/>
      <c r="J136" s="69"/>
      <c r="K136" s="68"/>
      <c r="L136" s="68"/>
      <c r="M136" s="68"/>
      <c r="N136" s="68"/>
      <c r="O136" s="68"/>
      <c r="P136" s="68"/>
    </row>
    <row r="137" spans="3:16" x14ac:dyDescent="0.3">
      <c r="C137" s="63"/>
      <c r="D137" s="64"/>
      <c r="E137" s="65"/>
      <c r="F137" s="66"/>
      <c r="G137" s="67"/>
      <c r="H137" s="67"/>
      <c r="I137" s="68"/>
      <c r="J137" s="69"/>
      <c r="K137" s="68"/>
      <c r="L137" s="68"/>
      <c r="M137" s="68"/>
      <c r="N137" s="68"/>
      <c r="O137" s="68"/>
      <c r="P137" s="68"/>
    </row>
    <row r="138" spans="3:16" x14ac:dyDescent="0.3">
      <c r="C138" s="63"/>
      <c r="D138" s="64"/>
      <c r="E138" s="65"/>
      <c r="F138" s="66"/>
      <c r="G138" s="67"/>
      <c r="H138" s="67"/>
      <c r="I138" s="68"/>
      <c r="J138" s="69"/>
      <c r="K138" s="68"/>
      <c r="L138" s="68"/>
      <c r="M138" s="68"/>
      <c r="N138" s="68"/>
      <c r="O138" s="68"/>
      <c r="P138" s="68"/>
    </row>
    <row r="139" spans="3:16" x14ac:dyDescent="0.3">
      <c r="C139" s="63"/>
      <c r="D139" s="64"/>
      <c r="E139" s="65"/>
      <c r="F139" s="66"/>
      <c r="G139" s="67"/>
      <c r="H139" s="67"/>
      <c r="I139" s="68"/>
      <c r="J139" s="69"/>
      <c r="K139" s="68"/>
      <c r="L139" s="68"/>
      <c r="M139" s="68"/>
      <c r="N139" s="68"/>
      <c r="O139" s="68"/>
      <c r="P139" s="68"/>
    </row>
    <row r="140" spans="3:16" x14ac:dyDescent="0.3">
      <c r="C140" s="63"/>
      <c r="D140" s="64"/>
      <c r="E140" s="65"/>
      <c r="F140" s="66"/>
      <c r="G140" s="67"/>
      <c r="H140" s="67"/>
      <c r="I140" s="68"/>
      <c r="J140" s="69"/>
      <c r="K140" s="68"/>
      <c r="L140" s="68"/>
      <c r="M140" s="68"/>
      <c r="N140" s="68"/>
      <c r="O140" s="68"/>
      <c r="P140" s="68"/>
    </row>
    <row r="141" spans="3:16" x14ac:dyDescent="0.3">
      <c r="C141" s="63"/>
      <c r="D141" s="64"/>
      <c r="E141" s="65"/>
      <c r="F141" s="66"/>
      <c r="G141" s="67"/>
      <c r="H141" s="67"/>
      <c r="I141" s="68"/>
      <c r="J141" s="69"/>
      <c r="K141" s="68"/>
      <c r="L141" s="68"/>
      <c r="M141" s="68"/>
      <c r="N141" s="68"/>
      <c r="O141" s="68"/>
      <c r="P141" s="68"/>
    </row>
    <row r="142" spans="3:16" x14ac:dyDescent="0.3">
      <c r="C142" s="63"/>
      <c r="D142" s="64"/>
      <c r="E142" s="65"/>
      <c r="F142" s="66"/>
      <c r="G142" s="67"/>
      <c r="H142" s="67"/>
      <c r="I142" s="68"/>
      <c r="J142" s="69"/>
      <c r="K142" s="68"/>
      <c r="L142" s="68"/>
      <c r="M142" s="68"/>
      <c r="N142" s="68"/>
      <c r="O142" s="68"/>
      <c r="P142" s="68"/>
    </row>
    <row r="143" spans="3:16" x14ac:dyDescent="0.3">
      <c r="C143" s="63"/>
      <c r="D143" s="64"/>
      <c r="E143" s="65"/>
      <c r="F143" s="66"/>
      <c r="G143" s="67"/>
      <c r="H143" s="67"/>
      <c r="I143" s="68"/>
      <c r="J143" s="69"/>
      <c r="K143" s="68"/>
      <c r="L143" s="68"/>
      <c r="M143" s="68"/>
      <c r="N143" s="68"/>
      <c r="O143" s="68"/>
      <c r="P143" s="68"/>
    </row>
    <row r="144" spans="3:16" x14ac:dyDescent="0.3">
      <c r="C144" s="63"/>
      <c r="D144" s="64"/>
      <c r="E144" s="65"/>
      <c r="F144" s="66"/>
      <c r="G144" s="67"/>
      <c r="H144" s="67"/>
      <c r="I144" s="68"/>
      <c r="J144" s="69"/>
      <c r="K144" s="68"/>
      <c r="L144" s="68"/>
      <c r="M144" s="68"/>
      <c r="N144" s="68"/>
      <c r="O144" s="68"/>
      <c r="P144" s="68"/>
    </row>
    <row r="145" spans="3:16" x14ac:dyDescent="0.3">
      <c r="C145" s="63"/>
      <c r="D145" s="64"/>
      <c r="E145" s="65"/>
      <c r="F145" s="66"/>
      <c r="G145" s="67"/>
      <c r="H145" s="67"/>
      <c r="I145" s="68"/>
      <c r="J145" s="69"/>
      <c r="K145" s="68"/>
      <c r="L145" s="68"/>
      <c r="M145" s="68"/>
      <c r="N145" s="68"/>
      <c r="O145" s="68"/>
      <c r="P145" s="68"/>
    </row>
    <row r="146" spans="3:16" x14ac:dyDescent="0.3">
      <c r="C146" s="63"/>
      <c r="D146" s="64"/>
      <c r="E146" s="65"/>
      <c r="F146" s="66"/>
      <c r="G146" s="67"/>
      <c r="H146" s="67"/>
      <c r="I146" s="68"/>
      <c r="J146" s="69"/>
      <c r="K146" s="68"/>
      <c r="L146" s="68"/>
      <c r="M146" s="68"/>
      <c r="N146" s="68"/>
      <c r="O146" s="68"/>
      <c r="P146" s="68"/>
    </row>
    <row r="147" spans="3:16" x14ac:dyDescent="0.3">
      <c r="C147" s="63"/>
      <c r="D147" s="64"/>
      <c r="E147" s="65"/>
      <c r="F147" s="66"/>
      <c r="G147" s="67"/>
      <c r="H147" s="67"/>
      <c r="I147" s="68"/>
      <c r="J147" s="69"/>
      <c r="K147" s="68"/>
      <c r="L147" s="68"/>
      <c r="M147" s="68"/>
      <c r="N147" s="68"/>
      <c r="O147" s="68"/>
      <c r="P147" s="68"/>
    </row>
    <row r="148" spans="3:16" x14ac:dyDescent="0.3">
      <c r="C148" s="56"/>
      <c r="D148" s="57"/>
      <c r="E148" s="58"/>
      <c r="F148" s="59"/>
      <c r="G148" s="60"/>
      <c r="H148" s="60"/>
      <c r="I148" s="61"/>
      <c r="J148" s="62"/>
      <c r="K148" s="61"/>
      <c r="L148" s="61"/>
      <c r="M148" s="61"/>
      <c r="N148" s="61"/>
      <c r="O148" s="61"/>
      <c r="P148" s="61"/>
    </row>
    <row r="149" spans="3:16" x14ac:dyDescent="0.3">
      <c r="C149" s="63"/>
      <c r="D149" s="64"/>
      <c r="E149" s="65"/>
      <c r="F149" s="66"/>
      <c r="G149" s="67"/>
      <c r="H149" s="67"/>
      <c r="I149" s="68"/>
      <c r="J149" s="69"/>
      <c r="K149" s="68"/>
      <c r="L149" s="68"/>
      <c r="M149" s="68"/>
      <c r="N149" s="68"/>
      <c r="O149" s="68"/>
      <c r="P149" s="68"/>
    </row>
    <row r="150" spans="3:16" x14ac:dyDescent="0.3">
      <c r="C150" s="63"/>
      <c r="D150" s="64"/>
      <c r="E150" s="65"/>
      <c r="F150" s="66"/>
      <c r="G150" s="67"/>
      <c r="H150" s="67"/>
      <c r="I150" s="68"/>
      <c r="J150" s="69"/>
      <c r="K150" s="68"/>
      <c r="L150" s="68"/>
      <c r="M150" s="68"/>
      <c r="N150" s="68"/>
      <c r="O150" s="68"/>
      <c r="P150" s="68"/>
    </row>
    <row r="151" spans="3:16" x14ac:dyDescent="0.3">
      <c r="C151" s="63"/>
      <c r="D151" s="64"/>
      <c r="E151" s="65"/>
      <c r="F151" s="66"/>
      <c r="G151" s="67"/>
      <c r="H151" s="67"/>
      <c r="I151" s="68"/>
      <c r="J151" s="69"/>
      <c r="K151" s="68"/>
      <c r="L151" s="68"/>
      <c r="M151" s="68"/>
      <c r="N151" s="68"/>
      <c r="O151" s="68"/>
      <c r="P151" s="68"/>
    </row>
    <row r="152" spans="3:16" x14ac:dyDescent="0.3">
      <c r="C152" s="63"/>
      <c r="D152" s="64"/>
      <c r="E152" s="65"/>
      <c r="F152" s="66"/>
      <c r="G152" s="67"/>
      <c r="H152" s="67"/>
      <c r="I152" s="68"/>
      <c r="J152" s="69"/>
      <c r="K152" s="68"/>
      <c r="L152" s="68"/>
      <c r="M152" s="68"/>
      <c r="N152" s="68"/>
      <c r="O152" s="68"/>
      <c r="P152" s="68"/>
    </row>
    <row r="153" spans="3:16" x14ac:dyDescent="0.3">
      <c r="C153" s="63"/>
      <c r="D153" s="64"/>
      <c r="E153" s="65"/>
      <c r="F153" s="66"/>
      <c r="G153" s="67"/>
      <c r="H153" s="67"/>
      <c r="I153" s="68"/>
      <c r="J153" s="69"/>
      <c r="K153" s="68"/>
      <c r="L153" s="68"/>
      <c r="M153" s="68"/>
      <c r="N153" s="68"/>
      <c r="O153" s="68"/>
      <c r="P153" s="68"/>
    </row>
    <row r="154" spans="3:16" x14ac:dyDescent="0.3">
      <c r="C154" s="63"/>
      <c r="D154" s="64"/>
      <c r="E154" s="65"/>
      <c r="F154" s="66"/>
      <c r="G154" s="67"/>
      <c r="H154" s="67"/>
      <c r="I154" s="68"/>
      <c r="J154" s="69"/>
      <c r="K154" s="68"/>
      <c r="L154" s="68"/>
      <c r="M154" s="68"/>
      <c r="N154" s="68"/>
      <c r="O154" s="68"/>
      <c r="P154" s="68"/>
    </row>
    <row r="155" spans="3:16" x14ac:dyDescent="0.3">
      <c r="C155" s="63"/>
      <c r="D155" s="64"/>
      <c r="E155" s="65"/>
      <c r="F155" s="66"/>
      <c r="G155" s="67"/>
      <c r="H155" s="67"/>
      <c r="I155" s="68"/>
      <c r="J155" s="69"/>
      <c r="K155" s="68"/>
      <c r="L155" s="68"/>
      <c r="M155" s="68"/>
      <c r="N155" s="68"/>
      <c r="O155" s="68"/>
      <c r="P155" s="68"/>
    </row>
    <row r="156" spans="3:16" x14ac:dyDescent="0.3">
      <c r="C156" s="63"/>
      <c r="D156" s="64"/>
      <c r="E156" s="65"/>
      <c r="F156" s="66"/>
      <c r="G156" s="67"/>
      <c r="H156" s="67"/>
      <c r="I156" s="68"/>
      <c r="J156" s="69"/>
      <c r="K156" s="68"/>
      <c r="L156" s="68"/>
      <c r="M156" s="68"/>
      <c r="N156" s="68"/>
      <c r="O156" s="68"/>
      <c r="P156" s="68"/>
    </row>
    <row r="157" spans="3:16" x14ac:dyDescent="0.3">
      <c r="C157" s="63"/>
      <c r="D157" s="64"/>
      <c r="E157" s="65"/>
      <c r="F157" s="66"/>
      <c r="G157" s="67"/>
      <c r="H157" s="67"/>
      <c r="I157" s="68"/>
      <c r="J157" s="69"/>
      <c r="K157" s="68"/>
      <c r="L157" s="68"/>
      <c r="M157" s="68"/>
      <c r="N157" s="68"/>
      <c r="O157" s="68"/>
      <c r="P157" s="68"/>
    </row>
    <row r="158" spans="3:16" x14ac:dyDescent="0.3">
      <c r="C158" s="63"/>
      <c r="D158" s="64"/>
      <c r="E158" s="65"/>
      <c r="F158" s="66"/>
      <c r="G158" s="67"/>
      <c r="H158" s="67"/>
      <c r="I158" s="68"/>
      <c r="J158" s="69"/>
      <c r="K158" s="68"/>
      <c r="L158" s="68"/>
      <c r="M158" s="68"/>
      <c r="N158" s="68"/>
      <c r="O158" s="68"/>
      <c r="P158" s="68"/>
    </row>
    <row r="159" spans="3:16" x14ac:dyDescent="0.3">
      <c r="C159" s="63"/>
      <c r="D159" s="64"/>
      <c r="E159" s="65"/>
      <c r="F159" s="66"/>
      <c r="G159" s="67"/>
      <c r="H159" s="67"/>
      <c r="I159" s="68"/>
      <c r="J159" s="69"/>
      <c r="K159" s="68"/>
      <c r="L159" s="68"/>
      <c r="M159" s="68"/>
      <c r="N159" s="68"/>
      <c r="O159" s="68"/>
      <c r="P159" s="68"/>
    </row>
    <row r="160" spans="3:16" x14ac:dyDescent="0.3">
      <c r="C160" s="63"/>
      <c r="D160" s="64"/>
      <c r="E160" s="65"/>
      <c r="F160" s="66"/>
      <c r="G160" s="67"/>
      <c r="H160" s="67"/>
      <c r="I160" s="68"/>
      <c r="J160" s="69"/>
      <c r="K160" s="68"/>
      <c r="L160" s="68"/>
      <c r="M160" s="68"/>
      <c r="N160" s="68"/>
      <c r="O160" s="68"/>
      <c r="P160" s="68"/>
    </row>
    <row r="161" spans="3:16" x14ac:dyDescent="0.3">
      <c r="C161" s="63"/>
      <c r="D161" s="64"/>
      <c r="E161" s="65"/>
      <c r="F161" s="66"/>
      <c r="G161" s="67"/>
      <c r="H161" s="67"/>
      <c r="I161" s="68"/>
      <c r="J161" s="69"/>
      <c r="K161" s="68"/>
      <c r="L161" s="68"/>
      <c r="M161" s="68"/>
      <c r="N161" s="68"/>
      <c r="O161" s="68"/>
      <c r="P161" s="68"/>
    </row>
    <row r="162" spans="3:16" x14ac:dyDescent="0.3">
      <c r="C162" s="56"/>
      <c r="D162" s="57"/>
      <c r="E162" s="58"/>
      <c r="F162" s="59"/>
      <c r="G162" s="60"/>
      <c r="H162" s="60"/>
      <c r="I162" s="61"/>
      <c r="J162" s="62"/>
      <c r="K162" s="61"/>
      <c r="L162" s="61"/>
      <c r="M162" s="61"/>
      <c r="N162" s="61"/>
      <c r="O162" s="61"/>
      <c r="P162" s="61"/>
    </row>
    <row r="163" spans="3:16" x14ac:dyDescent="0.3">
      <c r="C163" s="63"/>
      <c r="D163" s="64"/>
      <c r="E163" s="65"/>
      <c r="F163" s="66"/>
      <c r="G163" s="67"/>
      <c r="H163" s="67"/>
      <c r="I163" s="68"/>
      <c r="J163" s="69"/>
      <c r="K163" s="68"/>
      <c r="L163" s="68"/>
      <c r="M163" s="68"/>
      <c r="N163" s="68"/>
      <c r="O163" s="68"/>
      <c r="P163" s="68"/>
    </row>
    <row r="164" spans="3:16" x14ac:dyDescent="0.3">
      <c r="C164" s="63"/>
      <c r="D164" s="64"/>
      <c r="E164" s="65"/>
      <c r="F164" s="66"/>
      <c r="G164" s="67"/>
      <c r="H164" s="67"/>
      <c r="I164" s="68"/>
      <c r="J164" s="69"/>
      <c r="K164" s="68"/>
      <c r="L164" s="68"/>
      <c r="M164" s="68"/>
      <c r="N164" s="68"/>
      <c r="O164" s="68"/>
      <c r="P164" s="68"/>
    </row>
  </sheetData>
  <autoFilter ref="C16:P70" xr:uid="{00000000-0009-0000-0000-000002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etrado6" filterMode="1"/>
  <dimension ref="A1:X156"/>
  <sheetViews>
    <sheetView view="pageBreakPreview" topLeftCell="A67" zoomScaleNormal="85" zoomScaleSheetLayoutView="100" workbookViewId="0">
      <selection activeCell="D27" sqref="D27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1" width="6.5546875" style="218" customWidth="1"/>
    <col min="12" max="12" width="7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0" width="5" style="104" customWidth="1"/>
    <col min="21" max="21" width="9.6640625" style="104" customWidth="1"/>
    <col min="22" max="22" width="8" style="104" customWidth="1"/>
    <col min="23" max="23" width="12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130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1.4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24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24" s="283" customFormat="1" ht="13.2" x14ac:dyDescent="0.3">
      <c r="A18" s="276"/>
      <c r="B18" s="277"/>
      <c r="C18" s="307">
        <v>1</v>
      </c>
      <c r="D18" s="278" t="s">
        <v>130</v>
      </c>
      <c r="E18" s="318"/>
      <c r="F18" s="319"/>
      <c r="G18" s="310"/>
      <c r="H18" s="310"/>
      <c r="I18" s="310"/>
      <c r="J18" s="280"/>
      <c r="K18" s="281"/>
      <c r="L18" s="281"/>
      <c r="M18" s="186"/>
      <c r="N18" s="186"/>
      <c r="O18" s="186"/>
      <c r="P18" s="186"/>
    </row>
    <row r="19" spans="1:24" s="321" customFormat="1" x14ac:dyDescent="0.3">
      <c r="A19" s="321">
        <v>1</v>
      </c>
      <c r="B19" s="322"/>
      <c r="C19" s="133">
        <v>2</v>
      </c>
      <c r="D19" s="133" t="s">
        <v>17</v>
      </c>
      <c r="E19" s="323"/>
      <c r="F19" s="324"/>
      <c r="G19" s="325"/>
      <c r="H19" s="326"/>
      <c r="I19" s="326"/>
      <c r="J19" s="327"/>
      <c r="K19" s="328"/>
      <c r="L19" s="329"/>
      <c r="M19" s="93"/>
      <c r="N19" s="93"/>
      <c r="O19" s="93"/>
      <c r="P19" s="93"/>
      <c r="T19" s="330"/>
      <c r="U19" s="330"/>
      <c r="V19" s="330"/>
      <c r="W19" s="330"/>
      <c r="X19" s="330"/>
    </row>
    <row r="20" spans="1:24" x14ac:dyDescent="0.3">
      <c r="A20" s="104">
        <v>2</v>
      </c>
      <c r="B20" s="331"/>
      <c r="C20" s="98">
        <v>2.0699999999999998</v>
      </c>
      <c r="D20" s="98" t="s">
        <v>28</v>
      </c>
      <c r="E20" s="88"/>
      <c r="F20" s="332"/>
      <c r="G20" s="333"/>
      <c r="H20" s="52"/>
      <c r="I20" s="52"/>
      <c r="J20" s="62"/>
      <c r="K20" s="61"/>
      <c r="L20" s="334"/>
      <c r="M20" s="68"/>
      <c r="N20" s="68"/>
      <c r="O20" s="68"/>
      <c r="P20" s="68"/>
      <c r="T20" s="335"/>
      <c r="U20" s="335"/>
      <c r="V20" s="335"/>
      <c r="W20" s="335"/>
      <c r="X20" s="335"/>
    </row>
    <row r="21" spans="1:24" x14ac:dyDescent="0.3">
      <c r="A21" s="104">
        <v>3</v>
      </c>
      <c r="B21" s="331"/>
      <c r="C21" s="48" t="s">
        <v>425</v>
      </c>
      <c r="D21" s="77" t="s">
        <v>159</v>
      </c>
      <c r="E21" s="88"/>
      <c r="F21" s="332"/>
      <c r="G21" s="333"/>
      <c r="H21" s="52"/>
      <c r="I21" s="52"/>
      <c r="J21" s="62"/>
      <c r="K21" s="61"/>
      <c r="L21" s="334"/>
      <c r="M21" s="68"/>
      <c r="N21" s="68"/>
      <c r="O21" s="68"/>
      <c r="P21" s="61">
        <f>SUBTOTAL(9,O21:O34)</f>
        <v>8</v>
      </c>
      <c r="T21" s="335"/>
      <c r="U21" s="335"/>
      <c r="V21" s="335"/>
      <c r="W21" s="335"/>
      <c r="X21" s="335"/>
    </row>
    <row r="22" spans="1:24" x14ac:dyDescent="0.3">
      <c r="B22" s="331"/>
      <c r="C22" s="320"/>
      <c r="D22" s="83" t="s">
        <v>25</v>
      </c>
      <c r="E22" s="50" t="s">
        <v>12</v>
      </c>
      <c r="F22" s="51"/>
      <c r="G22" s="52"/>
      <c r="H22" s="52"/>
      <c r="I22" s="53"/>
      <c r="J22" s="54"/>
      <c r="K22" s="55"/>
      <c r="L22" s="55"/>
      <c r="M22" s="55"/>
      <c r="N22" s="55"/>
      <c r="O22" s="61"/>
      <c r="P22" s="61"/>
      <c r="T22" s="335"/>
      <c r="U22" s="335"/>
      <c r="V22" s="335"/>
      <c r="W22" s="335"/>
      <c r="X22" s="335"/>
    </row>
    <row r="23" spans="1:24" x14ac:dyDescent="0.3">
      <c r="B23" s="331"/>
      <c r="C23" s="56"/>
      <c r="D23" s="79" t="s">
        <v>111</v>
      </c>
      <c r="E23" s="73"/>
      <c r="F23" s="82"/>
      <c r="G23" s="52"/>
      <c r="H23" s="52"/>
      <c r="I23" s="52"/>
      <c r="J23" s="62"/>
      <c r="K23" s="61"/>
      <c r="L23" s="61"/>
      <c r="M23" s="61"/>
      <c r="N23" s="61"/>
      <c r="O23" s="68" t="str">
        <f t="shared" ref="O23:O25" si="0">IF(F23="","",PRODUCT(F23:J23))</f>
        <v/>
      </c>
      <c r="P23" s="61"/>
      <c r="T23" s="335"/>
      <c r="U23" s="335"/>
      <c r="V23" s="335"/>
      <c r="W23" s="335"/>
      <c r="X23" s="335"/>
    </row>
    <row r="24" spans="1:24" x14ac:dyDescent="0.3">
      <c r="B24" s="331"/>
      <c r="C24" s="63"/>
      <c r="D24" s="80" t="s">
        <v>190</v>
      </c>
      <c r="E24" s="65" t="s">
        <v>12</v>
      </c>
      <c r="F24" s="66">
        <v>2</v>
      </c>
      <c r="G24" s="67"/>
      <c r="H24" s="67"/>
      <c r="I24" s="67"/>
      <c r="J24" s="66">
        <v>1</v>
      </c>
      <c r="K24" s="68"/>
      <c r="L24" s="68"/>
      <c r="M24" s="68"/>
      <c r="N24" s="68"/>
      <c r="O24" s="68">
        <f t="shared" si="0"/>
        <v>2</v>
      </c>
      <c r="P24" s="68"/>
      <c r="T24" s="335"/>
      <c r="U24" s="335"/>
      <c r="V24" s="335"/>
      <c r="W24" s="335"/>
      <c r="X24" s="335"/>
    </row>
    <row r="25" spans="1:24" x14ac:dyDescent="0.3">
      <c r="B25" s="331"/>
      <c r="C25" s="63"/>
      <c r="D25" s="80" t="s">
        <v>191</v>
      </c>
      <c r="E25" s="65" t="s">
        <v>12</v>
      </c>
      <c r="F25" s="66">
        <v>1</v>
      </c>
      <c r="G25" s="67"/>
      <c r="H25" s="67"/>
      <c r="I25" s="67"/>
      <c r="J25" s="66">
        <v>1</v>
      </c>
      <c r="K25" s="68"/>
      <c r="L25" s="68"/>
      <c r="M25" s="68"/>
      <c r="N25" s="68"/>
      <c r="O25" s="68">
        <f t="shared" si="0"/>
        <v>1</v>
      </c>
      <c r="P25" s="68"/>
      <c r="T25" s="335"/>
      <c r="U25" s="335"/>
      <c r="V25" s="335"/>
      <c r="W25" s="335"/>
      <c r="X25" s="335"/>
    </row>
    <row r="26" spans="1:24" x14ac:dyDescent="0.3">
      <c r="B26" s="331"/>
      <c r="C26" s="63"/>
      <c r="D26" s="79" t="s">
        <v>112</v>
      </c>
      <c r="E26" s="73"/>
      <c r="F26" s="82"/>
      <c r="G26" s="52"/>
      <c r="H26" s="52"/>
      <c r="I26" s="52"/>
      <c r="J26" s="59"/>
      <c r="K26" s="61"/>
      <c r="L26" s="61"/>
      <c r="M26" s="61"/>
      <c r="N26" s="61"/>
      <c r="O26" s="61"/>
      <c r="P26" s="68"/>
      <c r="T26" s="335"/>
      <c r="U26" s="335"/>
      <c r="V26" s="335"/>
      <c r="W26" s="335"/>
      <c r="X26" s="335"/>
    </row>
    <row r="27" spans="1:24" x14ac:dyDescent="0.3">
      <c r="B27" s="331"/>
      <c r="C27" s="63"/>
      <c r="D27" s="80" t="s">
        <v>190</v>
      </c>
      <c r="E27" s="65" t="s">
        <v>12</v>
      </c>
      <c r="F27" s="66">
        <v>1</v>
      </c>
      <c r="G27" s="67"/>
      <c r="H27" s="67"/>
      <c r="I27" s="67"/>
      <c r="J27" s="66">
        <v>1</v>
      </c>
      <c r="K27" s="68"/>
      <c r="L27" s="68"/>
      <c r="M27" s="68"/>
      <c r="N27" s="68"/>
      <c r="O27" s="68">
        <f t="shared" ref="O27" si="1">IF(F27="","",PRODUCT(F27:J27))</f>
        <v>1</v>
      </c>
      <c r="P27" s="68"/>
      <c r="T27" s="335"/>
      <c r="U27" s="335"/>
      <c r="V27" s="335"/>
      <c r="W27" s="335"/>
      <c r="X27" s="335"/>
    </row>
    <row r="28" spans="1:24" x14ac:dyDescent="0.3">
      <c r="B28" s="331"/>
      <c r="C28" s="63"/>
      <c r="D28" s="79" t="s">
        <v>107</v>
      </c>
      <c r="E28" s="73"/>
      <c r="F28" s="82"/>
      <c r="G28" s="52"/>
      <c r="H28" s="52"/>
      <c r="I28" s="52"/>
      <c r="J28" s="59"/>
      <c r="K28" s="61"/>
      <c r="L28" s="61"/>
      <c r="M28" s="61"/>
      <c r="N28" s="61"/>
      <c r="O28" s="61"/>
      <c r="P28" s="68"/>
      <c r="T28" s="335"/>
      <c r="U28" s="335"/>
      <c r="V28" s="335"/>
      <c r="W28" s="335"/>
      <c r="X28" s="335"/>
    </row>
    <row r="29" spans="1:24" x14ac:dyDescent="0.3">
      <c r="B29" s="331"/>
      <c r="C29" s="63"/>
      <c r="D29" s="80" t="s">
        <v>190</v>
      </c>
      <c r="E29" s="65" t="s">
        <v>12</v>
      </c>
      <c r="F29" s="66">
        <v>2</v>
      </c>
      <c r="G29" s="67"/>
      <c r="H29" s="67"/>
      <c r="I29" s="67"/>
      <c r="J29" s="66">
        <v>1</v>
      </c>
      <c r="K29" s="68"/>
      <c r="L29" s="68"/>
      <c r="M29" s="68"/>
      <c r="N29" s="68"/>
      <c r="O29" s="68">
        <f t="shared" ref="O29:O30" si="2">IF(F29="","",PRODUCT(F29:J29))</f>
        <v>2</v>
      </c>
      <c r="P29" s="68"/>
      <c r="T29" s="335"/>
      <c r="U29" s="335"/>
      <c r="V29" s="335"/>
      <c r="W29" s="335"/>
      <c r="X29" s="335"/>
    </row>
    <row r="30" spans="1:24" x14ac:dyDescent="0.3">
      <c r="B30" s="331"/>
      <c r="C30" s="63"/>
      <c r="D30" s="80" t="s">
        <v>191</v>
      </c>
      <c r="E30" s="65" t="s">
        <v>12</v>
      </c>
      <c r="F30" s="66">
        <v>1</v>
      </c>
      <c r="G30" s="67"/>
      <c r="H30" s="67"/>
      <c r="I30" s="67"/>
      <c r="J30" s="66">
        <v>1</v>
      </c>
      <c r="K30" s="68"/>
      <c r="L30" s="68"/>
      <c r="M30" s="68"/>
      <c r="N30" s="68"/>
      <c r="O30" s="68">
        <f t="shared" si="2"/>
        <v>1</v>
      </c>
      <c r="P30" s="68"/>
      <c r="T30" s="335"/>
      <c r="U30" s="335"/>
      <c r="V30" s="335"/>
      <c r="W30" s="335"/>
      <c r="X30" s="335"/>
    </row>
    <row r="31" spans="1:24" ht="20.399999999999999" x14ac:dyDescent="0.3">
      <c r="B31" s="331"/>
      <c r="C31" s="63"/>
      <c r="D31" s="83" t="s">
        <v>166</v>
      </c>
      <c r="E31" s="50"/>
      <c r="F31" s="154"/>
      <c r="G31" s="52"/>
      <c r="H31" s="52"/>
      <c r="I31" s="52"/>
      <c r="J31" s="155"/>
      <c r="K31" s="138"/>
      <c r="L31" s="138"/>
      <c r="M31" s="138"/>
      <c r="N31" s="138"/>
      <c r="O31" s="61"/>
      <c r="P31" s="68"/>
      <c r="T31" s="335"/>
      <c r="U31" s="335"/>
      <c r="V31" s="335"/>
      <c r="W31" s="335"/>
      <c r="X31" s="335"/>
    </row>
    <row r="32" spans="1:24" x14ac:dyDescent="0.3">
      <c r="B32" s="331"/>
      <c r="C32" s="63"/>
      <c r="D32" s="79" t="s">
        <v>112</v>
      </c>
      <c r="E32" s="73"/>
      <c r="F32" s="82"/>
      <c r="G32" s="52"/>
      <c r="H32" s="52"/>
      <c r="I32" s="52"/>
      <c r="J32" s="62"/>
      <c r="K32" s="61"/>
      <c r="L32" s="61"/>
      <c r="M32" s="61"/>
      <c r="N32" s="61"/>
      <c r="O32" s="68" t="str">
        <f t="shared" ref="O32:O33" si="3">IF(F32="","",PRODUCT(F32:J32))</f>
        <v/>
      </c>
      <c r="P32" s="68"/>
      <c r="T32" s="335"/>
      <c r="U32" s="335"/>
      <c r="V32" s="335"/>
      <c r="W32" s="335"/>
      <c r="X32" s="335"/>
    </row>
    <row r="33" spans="1:24" x14ac:dyDescent="0.3">
      <c r="B33" s="331"/>
      <c r="C33" s="63"/>
      <c r="D33" s="80" t="s">
        <v>191</v>
      </c>
      <c r="E33" s="65" t="s">
        <v>12</v>
      </c>
      <c r="F33" s="66">
        <v>1</v>
      </c>
      <c r="G33" s="67"/>
      <c r="H33" s="67"/>
      <c r="I33" s="67"/>
      <c r="J33" s="66">
        <v>1</v>
      </c>
      <c r="K33" s="68"/>
      <c r="L33" s="68"/>
      <c r="M33" s="68"/>
      <c r="N33" s="68"/>
      <c r="O33" s="68">
        <f t="shared" si="3"/>
        <v>1</v>
      </c>
      <c r="P33" s="68"/>
      <c r="T33" s="335"/>
      <c r="U33" s="335"/>
      <c r="V33" s="335"/>
      <c r="W33" s="335"/>
      <c r="X33" s="335"/>
    </row>
    <row r="34" spans="1:24" x14ac:dyDescent="0.3">
      <c r="B34" s="331"/>
      <c r="C34" s="63"/>
      <c r="D34" s="336"/>
      <c r="E34" s="88"/>
      <c r="F34" s="332"/>
      <c r="G34" s="333"/>
      <c r="H34" s="52"/>
      <c r="I34" s="52"/>
      <c r="J34" s="62"/>
      <c r="K34" s="61"/>
      <c r="L34" s="334"/>
      <c r="M34" s="68"/>
      <c r="N34" s="68"/>
      <c r="O34" s="68"/>
      <c r="P34" s="68"/>
      <c r="T34" s="335"/>
      <c r="U34" s="335"/>
      <c r="V34" s="335"/>
      <c r="W34" s="335"/>
      <c r="X34" s="335"/>
    </row>
    <row r="35" spans="1:24" x14ac:dyDescent="0.3">
      <c r="C35" s="97" t="s">
        <v>426</v>
      </c>
      <c r="D35" s="97" t="s">
        <v>29</v>
      </c>
      <c r="E35" s="101"/>
      <c r="F35" s="51"/>
      <c r="G35" s="52"/>
      <c r="H35" s="52"/>
      <c r="I35" s="109"/>
      <c r="J35" s="99"/>
      <c r="K35" s="100"/>
      <c r="L35" s="100"/>
      <c r="M35" s="100"/>
      <c r="N35" s="100"/>
      <c r="O35" s="100"/>
      <c r="P35" s="100"/>
    </row>
    <row r="36" spans="1:24" x14ac:dyDescent="0.3">
      <c r="C36" s="48" t="s">
        <v>427</v>
      </c>
      <c r="D36" s="49" t="s">
        <v>160</v>
      </c>
      <c r="E36" s="50" t="s">
        <v>13</v>
      </c>
      <c r="F36" s="51"/>
      <c r="G36" s="52"/>
      <c r="H36" s="52"/>
      <c r="I36" s="53"/>
      <c r="J36" s="54"/>
      <c r="K36" s="55"/>
      <c r="L36" s="55"/>
      <c r="M36" s="55"/>
      <c r="N36" s="55"/>
      <c r="O36" s="55"/>
      <c r="P36" s="55">
        <f>SUM(K36:K49)</f>
        <v>555.15000000000009</v>
      </c>
    </row>
    <row r="37" spans="1:24" s="150" customFormat="1" x14ac:dyDescent="0.2">
      <c r="A37" s="184"/>
      <c r="B37" s="149"/>
      <c r="C37" s="180"/>
      <c r="D37" s="80" t="s">
        <v>111</v>
      </c>
      <c r="E37" s="65" t="s">
        <v>13</v>
      </c>
      <c r="F37" s="69">
        <v>4</v>
      </c>
      <c r="G37" s="67">
        <f>(2*2.08)+0.15</f>
        <v>4.3100000000000005</v>
      </c>
      <c r="H37" s="67"/>
      <c r="I37" s="67"/>
      <c r="J37" s="69">
        <v>1</v>
      </c>
      <c r="K37" s="68">
        <f t="shared" ref="K37:K48" si="4">PRODUCT(F37:J37)</f>
        <v>17.240000000000002</v>
      </c>
      <c r="L37" s="181"/>
      <c r="M37" s="182"/>
      <c r="N37" s="182"/>
      <c r="O37" s="183"/>
      <c r="P37" s="55"/>
    </row>
    <row r="38" spans="1:24" s="150" customFormat="1" ht="13.2" x14ac:dyDescent="0.2">
      <c r="A38" s="184"/>
      <c r="B38" s="149"/>
      <c r="C38" s="185"/>
      <c r="D38" s="80"/>
      <c r="E38" s="65" t="s">
        <v>13</v>
      </c>
      <c r="F38" s="69">
        <v>11</v>
      </c>
      <c r="G38" s="67">
        <f>(2*1.83)+0.15</f>
        <v>3.81</v>
      </c>
      <c r="H38" s="67"/>
      <c r="I38" s="67"/>
      <c r="J38" s="69">
        <v>1</v>
      </c>
      <c r="K38" s="68">
        <f t="shared" si="4"/>
        <v>41.910000000000004</v>
      </c>
      <c r="L38" s="181"/>
      <c r="M38" s="186"/>
      <c r="N38" s="186"/>
      <c r="O38" s="186"/>
      <c r="P38" s="55"/>
    </row>
    <row r="39" spans="1:24" s="150" customFormat="1" ht="13.2" x14ac:dyDescent="0.2">
      <c r="A39" s="184"/>
      <c r="B39" s="149"/>
      <c r="C39" s="185"/>
      <c r="D39" s="187"/>
      <c r="E39" s="65" t="s">
        <v>13</v>
      </c>
      <c r="F39" s="69">
        <v>16</v>
      </c>
      <c r="G39" s="67">
        <f>(2*1.1)+0.15</f>
        <v>2.35</v>
      </c>
      <c r="H39" s="67"/>
      <c r="I39" s="67"/>
      <c r="J39" s="69">
        <v>1</v>
      </c>
      <c r="K39" s="68">
        <f t="shared" si="4"/>
        <v>37.6</v>
      </c>
      <c r="L39" s="181"/>
      <c r="M39" s="186"/>
      <c r="N39" s="186"/>
      <c r="O39" s="186"/>
      <c r="P39" s="55"/>
    </row>
    <row r="40" spans="1:24" s="150" customFormat="1" ht="13.2" x14ac:dyDescent="0.2">
      <c r="A40" s="184"/>
      <c r="B40" s="149"/>
      <c r="C40" s="185"/>
      <c r="D40" s="187"/>
      <c r="E40" s="65" t="s">
        <v>13</v>
      </c>
      <c r="F40" s="69">
        <v>28</v>
      </c>
      <c r="G40" s="67">
        <f>2.95</f>
        <v>2.95</v>
      </c>
      <c r="H40" s="67"/>
      <c r="I40" s="67"/>
      <c r="J40" s="69">
        <v>1</v>
      </c>
      <c r="K40" s="68">
        <f t="shared" si="4"/>
        <v>82.600000000000009</v>
      </c>
      <c r="L40" s="181"/>
      <c r="M40" s="186"/>
      <c r="N40" s="186"/>
      <c r="O40" s="186"/>
      <c r="P40" s="55"/>
    </row>
    <row r="41" spans="1:24" s="150" customFormat="1" x14ac:dyDescent="0.2">
      <c r="A41" s="184"/>
      <c r="B41" s="149"/>
      <c r="C41" s="187"/>
      <c r="D41" s="80" t="s">
        <v>112</v>
      </c>
      <c r="E41" s="65" t="s">
        <v>13</v>
      </c>
      <c r="F41" s="69">
        <v>2</v>
      </c>
      <c r="G41" s="67">
        <f>(2*1.88)+0.15</f>
        <v>3.9099999999999997</v>
      </c>
      <c r="H41" s="67"/>
      <c r="I41" s="67"/>
      <c r="J41" s="69">
        <v>1</v>
      </c>
      <c r="K41" s="68">
        <f t="shared" si="4"/>
        <v>7.8199999999999994</v>
      </c>
      <c r="L41" s="181"/>
      <c r="M41" s="187"/>
      <c r="N41" s="187"/>
      <c r="O41" s="187"/>
      <c r="P41" s="55"/>
    </row>
    <row r="42" spans="1:24" s="150" customFormat="1" x14ac:dyDescent="0.2">
      <c r="A42" s="184"/>
      <c r="B42" s="149"/>
      <c r="C42" s="187"/>
      <c r="D42" s="80"/>
      <c r="E42" s="65" t="s">
        <v>13</v>
      </c>
      <c r="F42" s="69">
        <v>13</v>
      </c>
      <c r="G42" s="67">
        <f>(2*1.83)+0.15</f>
        <v>3.81</v>
      </c>
      <c r="H42" s="67"/>
      <c r="I42" s="67"/>
      <c r="J42" s="69">
        <v>1</v>
      </c>
      <c r="K42" s="68">
        <f t="shared" si="4"/>
        <v>49.53</v>
      </c>
      <c r="L42" s="181"/>
      <c r="M42" s="187"/>
      <c r="N42" s="187"/>
      <c r="O42" s="187"/>
      <c r="P42" s="55"/>
    </row>
    <row r="43" spans="1:24" s="150" customFormat="1" x14ac:dyDescent="0.2">
      <c r="A43" s="184"/>
      <c r="B43" s="149"/>
      <c r="C43" s="187"/>
      <c r="D43" s="187"/>
      <c r="E43" s="65" t="s">
        <v>13</v>
      </c>
      <c r="F43" s="69">
        <v>14</v>
      </c>
      <c r="G43" s="67">
        <f>(2*1.1)+0.15</f>
        <v>2.35</v>
      </c>
      <c r="H43" s="67"/>
      <c r="I43" s="67"/>
      <c r="J43" s="69">
        <v>1</v>
      </c>
      <c r="K43" s="68">
        <f t="shared" si="4"/>
        <v>32.9</v>
      </c>
      <c r="L43" s="181"/>
      <c r="M43" s="187"/>
      <c r="N43" s="187"/>
      <c r="O43" s="187"/>
      <c r="P43" s="55"/>
    </row>
    <row r="44" spans="1:24" s="150" customFormat="1" x14ac:dyDescent="0.2">
      <c r="A44" s="184"/>
      <c r="B44" s="149"/>
      <c r="C44" s="187"/>
      <c r="D44" s="187"/>
      <c r="E44" s="65" t="s">
        <v>13</v>
      </c>
      <c r="F44" s="69">
        <v>36</v>
      </c>
      <c r="G44" s="67">
        <f>2.95</f>
        <v>2.95</v>
      </c>
      <c r="H44" s="67"/>
      <c r="I44" s="67"/>
      <c r="J44" s="69">
        <v>1</v>
      </c>
      <c r="K44" s="68">
        <f t="shared" si="4"/>
        <v>106.2</v>
      </c>
      <c r="L44" s="181"/>
      <c r="M44" s="187"/>
      <c r="N44" s="187"/>
      <c r="O44" s="187"/>
      <c r="P44" s="55"/>
    </row>
    <row r="45" spans="1:24" s="150" customFormat="1" x14ac:dyDescent="0.2">
      <c r="A45" s="184"/>
      <c r="B45" s="149"/>
      <c r="C45" s="187"/>
      <c r="D45" s="80" t="s">
        <v>107</v>
      </c>
      <c r="E45" s="65" t="s">
        <v>13</v>
      </c>
      <c r="F45" s="69">
        <v>4</v>
      </c>
      <c r="G45" s="67">
        <f>(2*2.08)+0.15</f>
        <v>4.3100000000000005</v>
      </c>
      <c r="H45" s="67"/>
      <c r="I45" s="67"/>
      <c r="J45" s="69">
        <v>1</v>
      </c>
      <c r="K45" s="68">
        <f t="shared" si="4"/>
        <v>17.240000000000002</v>
      </c>
      <c r="L45" s="181"/>
      <c r="M45" s="187"/>
      <c r="N45" s="187"/>
      <c r="O45" s="187"/>
      <c r="P45" s="55"/>
    </row>
    <row r="46" spans="1:24" s="150" customFormat="1" x14ac:dyDescent="0.2">
      <c r="A46" s="184"/>
      <c r="B46" s="149"/>
      <c r="C46" s="187"/>
      <c r="D46" s="80"/>
      <c r="E46" s="65" t="s">
        <v>13</v>
      </c>
      <c r="F46" s="69">
        <v>11</v>
      </c>
      <c r="G46" s="67">
        <f>(2*1.83)+0.15</f>
        <v>3.81</v>
      </c>
      <c r="H46" s="67"/>
      <c r="I46" s="67"/>
      <c r="J46" s="69">
        <v>1</v>
      </c>
      <c r="K46" s="68">
        <f t="shared" si="4"/>
        <v>41.910000000000004</v>
      </c>
      <c r="L46" s="181"/>
      <c r="M46" s="187"/>
      <c r="N46" s="187"/>
      <c r="O46" s="187"/>
      <c r="P46" s="55"/>
    </row>
    <row r="47" spans="1:24" s="150" customFormat="1" x14ac:dyDescent="0.2">
      <c r="A47" s="184"/>
      <c r="B47" s="149"/>
      <c r="C47" s="187"/>
      <c r="D47" s="187"/>
      <c r="E47" s="65" t="s">
        <v>13</v>
      </c>
      <c r="F47" s="69">
        <v>16</v>
      </c>
      <c r="G47" s="67">
        <f>(2*1.1)+0.15</f>
        <v>2.35</v>
      </c>
      <c r="H47" s="67"/>
      <c r="I47" s="67"/>
      <c r="J47" s="69">
        <v>1</v>
      </c>
      <c r="K47" s="68">
        <f t="shared" si="4"/>
        <v>37.6</v>
      </c>
      <c r="L47" s="181"/>
      <c r="M47" s="187"/>
      <c r="N47" s="187"/>
      <c r="O47" s="187"/>
      <c r="P47" s="55"/>
    </row>
    <row r="48" spans="1:24" s="150" customFormat="1" x14ac:dyDescent="0.2">
      <c r="A48" s="184"/>
      <c r="B48" s="149"/>
      <c r="C48" s="187"/>
      <c r="D48" s="187"/>
      <c r="E48" s="65" t="s">
        <v>13</v>
      </c>
      <c r="F48" s="69">
        <v>28</v>
      </c>
      <c r="G48" s="67">
        <f>2.95</f>
        <v>2.95</v>
      </c>
      <c r="H48" s="67"/>
      <c r="I48" s="67"/>
      <c r="J48" s="69">
        <v>1</v>
      </c>
      <c r="K48" s="68">
        <f t="shared" si="4"/>
        <v>82.600000000000009</v>
      </c>
      <c r="L48" s="181"/>
      <c r="M48" s="187"/>
      <c r="N48" s="187"/>
      <c r="O48" s="187"/>
      <c r="P48" s="55"/>
    </row>
    <row r="49" spans="2:24" x14ac:dyDescent="0.3">
      <c r="C49" s="173"/>
      <c r="D49" s="188"/>
      <c r="E49" s="189"/>
      <c r="F49" s="92"/>
      <c r="G49" s="86"/>
      <c r="H49" s="86"/>
      <c r="I49" s="190"/>
      <c r="J49" s="166"/>
      <c r="K49" s="111"/>
      <c r="L49" s="111"/>
      <c r="M49" s="111"/>
      <c r="N49" s="111"/>
      <c r="O49" s="111"/>
      <c r="P49" s="111"/>
    </row>
    <row r="50" spans="2:24" x14ac:dyDescent="0.3">
      <c r="B50" s="331"/>
      <c r="C50" s="98">
        <v>2.1</v>
      </c>
      <c r="D50" s="98" t="s">
        <v>16</v>
      </c>
      <c r="E50" s="88"/>
      <c r="F50" s="332"/>
      <c r="G50" s="333"/>
      <c r="H50" s="52"/>
      <c r="I50" s="52"/>
      <c r="J50" s="62"/>
      <c r="K50" s="61"/>
      <c r="L50" s="334"/>
      <c r="M50" s="68"/>
      <c r="N50" s="68"/>
      <c r="O50" s="68"/>
      <c r="P50" s="68"/>
      <c r="T50" s="335"/>
      <c r="U50" s="335"/>
      <c r="V50" s="335"/>
      <c r="W50" s="335"/>
      <c r="X50" s="335"/>
    </row>
    <row r="51" spans="2:24" x14ac:dyDescent="0.3">
      <c r="B51" s="331"/>
      <c r="C51" s="48" t="s">
        <v>444</v>
      </c>
      <c r="D51" s="77" t="s">
        <v>372</v>
      </c>
      <c r="E51" s="88" t="s">
        <v>13</v>
      </c>
      <c r="F51" s="59"/>
      <c r="G51" s="60"/>
      <c r="H51" s="60"/>
      <c r="I51" s="60"/>
      <c r="J51" s="54"/>
      <c r="K51" s="55"/>
      <c r="L51" s="334"/>
      <c r="M51" s="68"/>
      <c r="N51" s="68"/>
      <c r="O51" s="68"/>
      <c r="P51" s="61">
        <f>SUBTOTAL(9,K51:K156)</f>
        <v>864.47000000000037</v>
      </c>
      <c r="T51" s="335"/>
      <c r="U51" s="335"/>
      <c r="V51" s="335"/>
      <c r="W51" s="335"/>
      <c r="X51" s="335"/>
    </row>
    <row r="52" spans="2:24" x14ac:dyDescent="0.3">
      <c r="B52" s="331"/>
      <c r="C52" s="48"/>
      <c r="D52" s="75" t="s">
        <v>145</v>
      </c>
      <c r="E52" s="73"/>
      <c r="F52" s="82"/>
      <c r="G52" s="52"/>
      <c r="H52" s="52"/>
      <c r="I52" s="52"/>
      <c r="J52" s="62"/>
      <c r="K52" s="61"/>
      <c r="L52" s="334"/>
      <c r="M52" s="68"/>
      <c r="N52" s="68"/>
      <c r="O52" s="68"/>
      <c r="P52" s="68"/>
      <c r="T52" s="335"/>
      <c r="U52" s="335"/>
      <c r="V52" s="335"/>
      <c r="W52" s="335"/>
      <c r="X52" s="335"/>
    </row>
    <row r="53" spans="2:24" x14ac:dyDescent="0.3">
      <c r="B53" s="331"/>
      <c r="C53" s="320"/>
      <c r="D53" s="81" t="s">
        <v>115</v>
      </c>
      <c r="E53" s="73"/>
      <c r="F53" s="82"/>
      <c r="G53" s="52"/>
      <c r="H53" s="52"/>
      <c r="I53" s="52"/>
      <c r="J53" s="62"/>
      <c r="K53" s="61"/>
      <c r="L53" s="334"/>
      <c r="M53" s="68"/>
      <c r="N53" s="68"/>
      <c r="O53" s="68"/>
      <c r="P53" s="68"/>
      <c r="T53" s="335"/>
      <c r="U53" s="335"/>
      <c r="V53" s="335"/>
      <c r="W53" s="335"/>
      <c r="X53" s="335"/>
    </row>
    <row r="54" spans="2:24" x14ac:dyDescent="0.3">
      <c r="B54" s="331"/>
      <c r="C54" s="320"/>
      <c r="D54" s="80" t="s">
        <v>168</v>
      </c>
      <c r="E54" s="90" t="s">
        <v>13</v>
      </c>
      <c r="F54" s="66">
        <v>6</v>
      </c>
      <c r="G54" s="67">
        <v>2.1</v>
      </c>
      <c r="H54" s="67"/>
      <c r="I54" s="67"/>
      <c r="J54" s="66">
        <v>1</v>
      </c>
      <c r="K54" s="67">
        <f>F54*J54*G54</f>
        <v>12.600000000000001</v>
      </c>
      <c r="L54" s="334"/>
      <c r="M54" s="68"/>
      <c r="N54" s="68"/>
      <c r="O54" s="68"/>
      <c r="P54" s="68"/>
      <c r="T54" s="335"/>
      <c r="U54" s="335"/>
      <c r="V54" s="335"/>
      <c r="W54" s="335"/>
      <c r="X54" s="335"/>
    </row>
    <row r="55" spans="2:24" x14ac:dyDescent="0.3">
      <c r="B55" s="331"/>
      <c r="C55" s="63"/>
      <c r="D55" s="80" t="s">
        <v>169</v>
      </c>
      <c r="E55" s="90" t="s">
        <v>13</v>
      </c>
      <c r="F55" s="66">
        <v>1</v>
      </c>
      <c r="G55" s="67">
        <f>14.84+4.32+9.31+1.51+0.3</f>
        <v>30.28</v>
      </c>
      <c r="H55" s="67"/>
      <c r="I55" s="67"/>
      <c r="J55" s="66">
        <v>1</v>
      </c>
      <c r="K55" s="67">
        <f>F55*J55*G55</f>
        <v>30.28</v>
      </c>
      <c r="L55" s="334"/>
      <c r="M55" s="68"/>
      <c r="N55" s="68"/>
      <c r="O55" s="68"/>
      <c r="P55" s="68"/>
      <c r="T55" s="335"/>
      <c r="U55" s="335"/>
      <c r="V55" s="335"/>
      <c r="W55" s="335"/>
      <c r="X55" s="335"/>
    </row>
    <row r="56" spans="2:24" x14ac:dyDescent="0.3">
      <c r="B56" s="331"/>
      <c r="C56" s="136"/>
      <c r="D56" s="80" t="s">
        <v>170</v>
      </c>
      <c r="E56" s="90" t="s">
        <v>13</v>
      </c>
      <c r="F56" s="66">
        <v>14</v>
      </c>
      <c r="G56" s="67">
        <v>1.2</v>
      </c>
      <c r="H56" s="67"/>
      <c r="I56" s="67"/>
      <c r="J56" s="66">
        <v>1</v>
      </c>
      <c r="K56" s="67">
        <f>F56*J56*G56</f>
        <v>16.8</v>
      </c>
      <c r="L56" s="334"/>
      <c r="M56" s="68"/>
      <c r="N56" s="68"/>
      <c r="O56" s="68"/>
      <c r="P56" s="68"/>
      <c r="T56" s="335"/>
      <c r="U56" s="335"/>
      <c r="V56" s="335"/>
      <c r="W56" s="335"/>
      <c r="X56" s="335"/>
    </row>
    <row r="57" spans="2:24" x14ac:dyDescent="0.3">
      <c r="B57" s="331"/>
      <c r="C57" s="136"/>
      <c r="D57" s="80" t="s">
        <v>192</v>
      </c>
      <c r="E57" s="90" t="s">
        <v>13</v>
      </c>
      <c r="F57" s="66">
        <v>1</v>
      </c>
      <c r="G57" s="67">
        <v>2.1</v>
      </c>
      <c r="H57" s="67"/>
      <c r="I57" s="67"/>
      <c r="J57" s="66">
        <v>1</v>
      </c>
      <c r="K57" s="67">
        <f t="shared" ref="K57:K58" si="5">F57*J57*G57</f>
        <v>2.1</v>
      </c>
      <c r="L57" s="334"/>
      <c r="M57" s="68"/>
      <c r="N57" s="68"/>
      <c r="O57" s="68"/>
      <c r="P57" s="68"/>
      <c r="T57" s="335"/>
      <c r="U57" s="335"/>
      <c r="V57" s="335"/>
      <c r="W57" s="335"/>
      <c r="X57" s="335"/>
    </row>
    <row r="58" spans="2:24" x14ac:dyDescent="0.3">
      <c r="B58" s="331"/>
      <c r="C58" s="136"/>
      <c r="D58" s="80" t="s">
        <v>193</v>
      </c>
      <c r="E58" s="90" t="s">
        <v>13</v>
      </c>
      <c r="F58" s="66">
        <v>2</v>
      </c>
      <c r="G58" s="67">
        <v>2.1</v>
      </c>
      <c r="H58" s="67"/>
      <c r="I58" s="67"/>
      <c r="J58" s="66">
        <v>1</v>
      </c>
      <c r="K58" s="67">
        <f t="shared" si="5"/>
        <v>4.2</v>
      </c>
      <c r="L58" s="334"/>
      <c r="M58" s="68"/>
      <c r="N58" s="68"/>
      <c r="O58" s="68"/>
      <c r="P58" s="68"/>
      <c r="T58" s="335"/>
      <c r="U58" s="335"/>
      <c r="V58" s="335"/>
      <c r="W58" s="335"/>
      <c r="X58" s="335"/>
    </row>
    <row r="59" spans="2:24" x14ac:dyDescent="0.3">
      <c r="B59" s="331"/>
      <c r="C59" s="136"/>
      <c r="D59" s="81" t="s">
        <v>139</v>
      </c>
      <c r="E59" s="73"/>
      <c r="F59" s="82"/>
      <c r="G59" s="52"/>
      <c r="H59" s="52"/>
      <c r="I59" s="52"/>
      <c r="J59" s="62"/>
      <c r="K59" s="61"/>
      <c r="L59" s="334"/>
      <c r="M59" s="68"/>
      <c r="N59" s="68"/>
      <c r="O59" s="68"/>
      <c r="P59" s="68"/>
      <c r="T59" s="335"/>
      <c r="U59" s="335"/>
      <c r="V59" s="335"/>
      <c r="W59" s="335"/>
      <c r="X59" s="335"/>
    </row>
    <row r="60" spans="2:24" x14ac:dyDescent="0.3">
      <c r="B60" s="331"/>
      <c r="C60" s="136"/>
      <c r="D60" s="80" t="s">
        <v>168</v>
      </c>
      <c r="E60" s="90" t="s">
        <v>13</v>
      </c>
      <c r="F60" s="66">
        <v>8</v>
      </c>
      <c r="G60" s="67">
        <v>2.1</v>
      </c>
      <c r="H60" s="67"/>
      <c r="I60" s="67"/>
      <c r="J60" s="66">
        <v>1</v>
      </c>
      <c r="K60" s="67">
        <f>F60*J60*G60</f>
        <v>16.8</v>
      </c>
      <c r="L60" s="334"/>
      <c r="M60" s="68"/>
      <c r="N60" s="68"/>
      <c r="O60" s="68"/>
      <c r="P60" s="68"/>
      <c r="T60" s="335"/>
      <c r="U60" s="335"/>
      <c r="V60" s="335"/>
      <c r="W60" s="335"/>
      <c r="X60" s="335"/>
    </row>
    <row r="61" spans="2:24" x14ac:dyDescent="0.3">
      <c r="B61" s="331"/>
      <c r="C61" s="136"/>
      <c r="D61" s="80"/>
      <c r="E61" s="90" t="s">
        <v>13</v>
      </c>
      <c r="F61" s="66">
        <v>3</v>
      </c>
      <c r="G61" s="67">
        <v>1.8</v>
      </c>
      <c r="H61" s="67"/>
      <c r="I61" s="67"/>
      <c r="J61" s="66">
        <v>1</v>
      </c>
      <c r="K61" s="67">
        <f>F61*J61*G61</f>
        <v>5.4</v>
      </c>
      <c r="L61" s="334"/>
      <c r="M61" s="68"/>
      <c r="N61" s="68"/>
      <c r="O61" s="68"/>
      <c r="P61" s="68"/>
      <c r="T61" s="335"/>
      <c r="U61" s="335"/>
      <c r="V61" s="335"/>
      <c r="W61" s="335"/>
      <c r="X61" s="335"/>
    </row>
    <row r="62" spans="2:24" x14ac:dyDescent="0.3">
      <c r="B62" s="331"/>
      <c r="C62" s="136"/>
      <c r="D62" s="80" t="s">
        <v>169</v>
      </c>
      <c r="E62" s="90" t="s">
        <v>13</v>
      </c>
      <c r="F62" s="66">
        <v>1</v>
      </c>
      <c r="G62" s="67">
        <f>2.95+10.89+14.83+5.21+0.25+3.08+1.1*10</f>
        <v>48.21</v>
      </c>
      <c r="H62" s="67"/>
      <c r="I62" s="67"/>
      <c r="J62" s="66">
        <v>1</v>
      </c>
      <c r="K62" s="67">
        <f>F62*J62*G62</f>
        <v>48.21</v>
      </c>
      <c r="L62" s="334"/>
      <c r="M62" s="68"/>
      <c r="N62" s="68"/>
      <c r="O62" s="68"/>
      <c r="P62" s="68"/>
      <c r="T62" s="335"/>
      <c r="U62" s="335"/>
      <c r="V62" s="335"/>
      <c r="W62" s="335"/>
      <c r="X62" s="335"/>
    </row>
    <row r="63" spans="2:24" x14ac:dyDescent="0.3">
      <c r="B63" s="331"/>
      <c r="C63" s="136"/>
      <c r="D63" s="80" t="s">
        <v>170</v>
      </c>
      <c r="E63" s="90" t="s">
        <v>13</v>
      </c>
      <c r="F63" s="66">
        <f>17+4*10</f>
        <v>57</v>
      </c>
      <c r="G63" s="67">
        <v>1.2</v>
      </c>
      <c r="H63" s="67"/>
      <c r="I63" s="67"/>
      <c r="J63" s="66">
        <v>1</v>
      </c>
      <c r="K63" s="67">
        <f>F63*J63*G63</f>
        <v>68.399999999999991</v>
      </c>
      <c r="L63" s="334"/>
      <c r="M63" s="68"/>
      <c r="N63" s="68"/>
      <c r="O63" s="68"/>
      <c r="P63" s="68"/>
      <c r="T63" s="335"/>
      <c r="U63" s="335"/>
      <c r="V63" s="335"/>
      <c r="W63" s="335"/>
      <c r="X63" s="335"/>
    </row>
    <row r="64" spans="2:24" x14ac:dyDescent="0.3">
      <c r="B64" s="331"/>
      <c r="C64" s="136"/>
      <c r="D64" s="81" t="s">
        <v>138</v>
      </c>
      <c r="E64" s="73"/>
      <c r="F64" s="82"/>
      <c r="G64" s="52"/>
      <c r="H64" s="52"/>
      <c r="I64" s="52"/>
      <c r="J64" s="62"/>
      <c r="K64" s="61"/>
      <c r="L64" s="334"/>
      <c r="M64" s="68"/>
      <c r="N64" s="68"/>
      <c r="O64" s="68"/>
      <c r="P64" s="68"/>
      <c r="T64" s="335"/>
      <c r="U64" s="335"/>
      <c r="V64" s="335"/>
      <c r="W64" s="335"/>
      <c r="X64" s="335"/>
    </row>
    <row r="65" spans="2:24" x14ac:dyDescent="0.3">
      <c r="B65" s="331"/>
      <c r="C65" s="136"/>
      <c r="D65" s="80" t="s">
        <v>168</v>
      </c>
      <c r="E65" s="90" t="s">
        <v>13</v>
      </c>
      <c r="F65" s="66">
        <v>8</v>
      </c>
      <c r="G65" s="67">
        <v>2.1</v>
      </c>
      <c r="H65" s="67"/>
      <c r="I65" s="67"/>
      <c r="J65" s="66">
        <v>1</v>
      </c>
      <c r="K65" s="67">
        <f>F65*J65*G65</f>
        <v>16.8</v>
      </c>
      <c r="L65" s="334"/>
      <c r="M65" s="68"/>
      <c r="N65" s="68"/>
      <c r="O65" s="68"/>
      <c r="P65" s="68"/>
      <c r="T65" s="335"/>
      <c r="U65" s="335"/>
      <c r="V65" s="335"/>
      <c r="W65" s="335"/>
      <c r="X65" s="335"/>
    </row>
    <row r="66" spans="2:24" x14ac:dyDescent="0.3">
      <c r="B66" s="331"/>
      <c r="C66" s="136"/>
      <c r="D66" s="80"/>
      <c r="E66" s="90" t="s">
        <v>13</v>
      </c>
      <c r="F66" s="66">
        <v>3</v>
      </c>
      <c r="G66" s="67">
        <v>1.8</v>
      </c>
      <c r="H66" s="67"/>
      <c r="I66" s="67"/>
      <c r="J66" s="66">
        <v>1</v>
      </c>
      <c r="K66" s="67">
        <f>F66*J66*G66</f>
        <v>5.4</v>
      </c>
      <c r="L66" s="334"/>
      <c r="M66" s="68"/>
      <c r="N66" s="68"/>
      <c r="O66" s="68"/>
      <c r="P66" s="68"/>
      <c r="T66" s="335"/>
      <c r="U66" s="335"/>
      <c r="V66" s="335"/>
      <c r="W66" s="335"/>
      <c r="X66" s="335"/>
    </row>
    <row r="67" spans="2:24" x14ac:dyDescent="0.3">
      <c r="B67" s="331"/>
      <c r="C67" s="136"/>
      <c r="D67" s="80" t="s">
        <v>169</v>
      </c>
      <c r="E67" s="90" t="s">
        <v>13</v>
      </c>
      <c r="F67" s="66">
        <v>1</v>
      </c>
      <c r="G67" s="67">
        <f>2.95+11.09+15.24+7.89+1.45+1.1*10</f>
        <v>49.620000000000005</v>
      </c>
      <c r="H67" s="67"/>
      <c r="I67" s="67"/>
      <c r="J67" s="66">
        <v>1</v>
      </c>
      <c r="K67" s="67">
        <f>F67*J67*G67</f>
        <v>49.620000000000005</v>
      </c>
      <c r="L67" s="334"/>
      <c r="M67" s="68"/>
      <c r="N67" s="68"/>
      <c r="O67" s="68"/>
      <c r="P67" s="68"/>
      <c r="T67" s="335"/>
      <c r="U67" s="335"/>
      <c r="V67" s="335"/>
      <c r="W67" s="335"/>
      <c r="X67" s="335"/>
    </row>
    <row r="68" spans="2:24" x14ac:dyDescent="0.3">
      <c r="B68" s="331"/>
      <c r="C68" s="136"/>
      <c r="D68" s="80" t="s">
        <v>170</v>
      </c>
      <c r="E68" s="90" t="s">
        <v>13</v>
      </c>
      <c r="F68" s="66">
        <f>15+4*10</f>
        <v>55</v>
      </c>
      <c r="G68" s="67">
        <v>1.2</v>
      </c>
      <c r="H68" s="67"/>
      <c r="I68" s="67"/>
      <c r="J68" s="66">
        <v>1</v>
      </c>
      <c r="K68" s="67">
        <f>F68*J68*G68</f>
        <v>66</v>
      </c>
      <c r="L68" s="334"/>
      <c r="M68" s="68"/>
      <c r="N68" s="68"/>
      <c r="O68" s="68"/>
      <c r="P68" s="68"/>
      <c r="T68" s="335"/>
      <c r="U68" s="335"/>
      <c r="V68" s="335"/>
      <c r="W68" s="335"/>
      <c r="X68" s="335"/>
    </row>
    <row r="69" spans="2:24" x14ac:dyDescent="0.3">
      <c r="B69" s="331"/>
      <c r="C69" s="152"/>
      <c r="D69" s="75"/>
      <c r="E69" s="73"/>
      <c r="F69" s="82"/>
      <c r="G69" s="52"/>
      <c r="H69" s="52"/>
      <c r="I69" s="52"/>
      <c r="J69" s="62"/>
      <c r="K69" s="61"/>
      <c r="L69" s="334"/>
      <c r="M69" s="68"/>
      <c r="N69" s="68"/>
      <c r="O69" s="68"/>
      <c r="P69" s="68"/>
      <c r="T69" s="335"/>
      <c r="U69" s="335"/>
      <c r="V69" s="335"/>
      <c r="W69" s="335"/>
      <c r="X69" s="335"/>
    </row>
    <row r="70" spans="2:24" x14ac:dyDescent="0.3">
      <c r="B70" s="331"/>
      <c r="C70" s="48"/>
      <c r="D70" s="75" t="s">
        <v>127</v>
      </c>
      <c r="E70" s="73"/>
      <c r="F70" s="82"/>
      <c r="G70" s="52"/>
      <c r="H70" s="52"/>
      <c r="I70" s="52"/>
      <c r="J70" s="62"/>
      <c r="K70" s="61"/>
      <c r="L70" s="334"/>
      <c r="M70" s="68"/>
      <c r="N70" s="68"/>
      <c r="O70" s="68"/>
      <c r="P70" s="68"/>
      <c r="T70" s="335"/>
      <c r="U70" s="335"/>
      <c r="V70" s="335"/>
      <c r="W70" s="335"/>
      <c r="X70" s="335"/>
    </row>
    <row r="71" spans="2:24" x14ac:dyDescent="0.3">
      <c r="B71" s="331"/>
      <c r="C71" s="320"/>
      <c r="D71" s="81" t="s">
        <v>115</v>
      </c>
      <c r="E71" s="73"/>
      <c r="F71" s="82"/>
      <c r="G71" s="52"/>
      <c r="H71" s="52"/>
      <c r="I71" s="52"/>
      <c r="J71" s="62"/>
      <c r="K71" s="61"/>
      <c r="L71" s="334"/>
      <c r="M71" s="68"/>
      <c r="N71" s="68"/>
      <c r="O71" s="68"/>
      <c r="P71" s="68"/>
      <c r="T71" s="335"/>
      <c r="U71" s="335"/>
      <c r="V71" s="335"/>
      <c r="W71" s="335"/>
      <c r="X71" s="335"/>
    </row>
    <row r="72" spans="2:24" x14ac:dyDescent="0.3">
      <c r="B72" s="331"/>
      <c r="C72" s="320"/>
      <c r="D72" s="80" t="s">
        <v>194</v>
      </c>
      <c r="E72" s="90" t="s">
        <v>13</v>
      </c>
      <c r="F72" s="66">
        <v>1</v>
      </c>
      <c r="G72" s="67">
        <v>36.61</v>
      </c>
      <c r="H72" s="67"/>
      <c r="I72" s="67"/>
      <c r="J72" s="66">
        <v>1</v>
      </c>
      <c r="K72" s="67">
        <f>F72*J72*G72</f>
        <v>36.61</v>
      </c>
      <c r="L72" s="334"/>
      <c r="M72" s="68"/>
      <c r="N72" s="68"/>
      <c r="O72" s="68"/>
      <c r="P72" s="68"/>
      <c r="T72" s="335"/>
      <c r="U72" s="335"/>
      <c r="V72" s="335"/>
      <c r="W72" s="335"/>
      <c r="X72" s="335"/>
    </row>
    <row r="73" spans="2:24" x14ac:dyDescent="0.3">
      <c r="B73" s="331"/>
      <c r="C73" s="63"/>
      <c r="D73" s="80" t="s">
        <v>195</v>
      </c>
      <c r="E73" s="90" t="s">
        <v>13</v>
      </c>
      <c r="F73" s="66">
        <v>1</v>
      </c>
      <c r="G73" s="67">
        <v>16.330000000000002</v>
      </c>
      <c r="H73" s="67"/>
      <c r="I73" s="67"/>
      <c r="J73" s="66">
        <v>1</v>
      </c>
      <c r="K73" s="67">
        <f>F73*J73*G73</f>
        <v>16.330000000000002</v>
      </c>
      <c r="L73" s="334"/>
      <c r="M73" s="68"/>
      <c r="N73" s="68"/>
      <c r="O73" s="68"/>
      <c r="P73" s="68"/>
      <c r="T73" s="335"/>
      <c r="U73" s="335"/>
      <c r="V73" s="335"/>
      <c r="W73" s="335"/>
      <c r="X73" s="335"/>
    </row>
    <row r="74" spans="2:24" x14ac:dyDescent="0.3">
      <c r="B74" s="331"/>
      <c r="C74" s="136"/>
      <c r="D74" s="80" t="s">
        <v>179</v>
      </c>
      <c r="E74" s="90" t="s">
        <v>13</v>
      </c>
      <c r="F74" s="66">
        <v>18</v>
      </c>
      <c r="G74" s="67"/>
      <c r="H74" s="67"/>
      <c r="I74" s="67">
        <v>0.1</v>
      </c>
      <c r="J74" s="66">
        <v>1</v>
      </c>
      <c r="K74" s="67">
        <f>F74*J74*I74</f>
        <v>1.8</v>
      </c>
      <c r="L74" s="334"/>
      <c r="M74" s="68"/>
      <c r="N74" s="68"/>
      <c r="O74" s="68"/>
      <c r="P74" s="68"/>
      <c r="T74" s="335"/>
      <c r="U74" s="335"/>
      <c r="V74" s="335"/>
      <c r="W74" s="335"/>
      <c r="X74" s="335"/>
    </row>
    <row r="75" spans="2:24" x14ac:dyDescent="0.3">
      <c r="B75" s="331"/>
      <c r="C75" s="136"/>
      <c r="D75" s="80" t="s">
        <v>196</v>
      </c>
      <c r="E75" s="90" t="s">
        <v>13</v>
      </c>
      <c r="F75" s="66">
        <v>1</v>
      </c>
      <c r="G75" s="67">
        <v>32.839999999999996</v>
      </c>
      <c r="H75" s="67"/>
      <c r="I75" s="67"/>
      <c r="J75" s="66">
        <v>1</v>
      </c>
      <c r="K75" s="67">
        <f>F75*J75*G75</f>
        <v>32.839999999999996</v>
      </c>
      <c r="L75" s="334"/>
      <c r="M75" s="68"/>
      <c r="N75" s="68"/>
      <c r="O75" s="68"/>
      <c r="P75" s="68"/>
      <c r="T75" s="335"/>
      <c r="U75" s="335"/>
      <c r="V75" s="335"/>
      <c r="W75" s="335"/>
      <c r="X75" s="335"/>
    </row>
    <row r="76" spans="2:24" x14ac:dyDescent="0.3">
      <c r="B76" s="331"/>
      <c r="C76" s="136"/>
      <c r="D76" s="80" t="s">
        <v>179</v>
      </c>
      <c r="E76" s="90" t="s">
        <v>13</v>
      </c>
      <c r="F76" s="66">
        <v>10</v>
      </c>
      <c r="G76" s="67"/>
      <c r="H76" s="67"/>
      <c r="I76" s="67">
        <v>0.1</v>
      </c>
      <c r="J76" s="66">
        <v>1</v>
      </c>
      <c r="K76" s="67">
        <f>F76*J76*I76</f>
        <v>1</v>
      </c>
      <c r="L76" s="334"/>
      <c r="M76" s="68"/>
      <c r="N76" s="68"/>
      <c r="O76" s="68"/>
      <c r="P76" s="68"/>
      <c r="T76" s="335"/>
      <c r="U76" s="335"/>
      <c r="V76" s="335"/>
      <c r="W76" s="335"/>
      <c r="X76" s="335"/>
    </row>
    <row r="77" spans="2:24" x14ac:dyDescent="0.3">
      <c r="B77" s="331"/>
      <c r="C77" s="136"/>
      <c r="D77" s="80" t="s">
        <v>197</v>
      </c>
      <c r="E77" s="90" t="s">
        <v>13</v>
      </c>
      <c r="F77" s="66">
        <v>1</v>
      </c>
      <c r="G77" s="67">
        <v>29.48</v>
      </c>
      <c r="H77" s="67"/>
      <c r="I77" s="67"/>
      <c r="J77" s="66">
        <v>1</v>
      </c>
      <c r="K77" s="67">
        <f t="shared" ref="K77:K81" si="6">F77*J77*G77</f>
        <v>29.48</v>
      </c>
      <c r="L77" s="104"/>
      <c r="M77" s="68"/>
      <c r="N77" s="68"/>
      <c r="O77" s="68"/>
      <c r="P77" s="68"/>
      <c r="T77" s="335"/>
      <c r="U77" s="335"/>
      <c r="V77" s="335"/>
      <c r="W77" s="335"/>
      <c r="X77" s="335"/>
    </row>
    <row r="78" spans="2:24" x14ac:dyDescent="0.3">
      <c r="B78" s="331"/>
      <c r="C78" s="136"/>
      <c r="D78" s="80" t="s">
        <v>179</v>
      </c>
      <c r="E78" s="90" t="s">
        <v>13</v>
      </c>
      <c r="F78" s="66">
        <v>12</v>
      </c>
      <c r="G78" s="67"/>
      <c r="H78" s="67"/>
      <c r="I78" s="67">
        <v>0.1</v>
      </c>
      <c r="J78" s="66">
        <v>1</v>
      </c>
      <c r="K78" s="67">
        <f>F78*J78*I78</f>
        <v>1.2000000000000002</v>
      </c>
      <c r="L78" s="334"/>
      <c r="M78" s="68"/>
      <c r="N78" s="68"/>
      <c r="O78" s="68"/>
      <c r="P78" s="68"/>
      <c r="T78" s="335"/>
      <c r="U78" s="335"/>
      <c r="V78" s="335"/>
      <c r="W78" s="335"/>
      <c r="X78" s="335"/>
    </row>
    <row r="79" spans="2:24" x14ac:dyDescent="0.3">
      <c r="B79" s="331"/>
      <c r="C79" s="136"/>
      <c r="D79" s="80" t="s">
        <v>198</v>
      </c>
      <c r="E79" s="90" t="s">
        <v>13</v>
      </c>
      <c r="F79" s="66">
        <v>1</v>
      </c>
      <c r="G79" s="67">
        <v>18.02</v>
      </c>
      <c r="H79" s="67"/>
      <c r="I79" s="67"/>
      <c r="J79" s="66">
        <v>1</v>
      </c>
      <c r="K79" s="67">
        <f t="shared" si="6"/>
        <v>18.02</v>
      </c>
      <c r="L79" s="334"/>
      <c r="M79" s="68"/>
      <c r="N79" s="68"/>
      <c r="O79" s="68"/>
      <c r="P79" s="68"/>
      <c r="T79" s="335"/>
      <c r="U79" s="335"/>
      <c r="V79" s="335"/>
      <c r="W79" s="335"/>
      <c r="X79" s="335"/>
    </row>
    <row r="80" spans="2:24" x14ac:dyDescent="0.3">
      <c r="B80" s="331"/>
      <c r="C80" s="136"/>
      <c r="D80" s="80" t="s">
        <v>179</v>
      </c>
      <c r="E80" s="90" t="s">
        <v>13</v>
      </c>
      <c r="F80" s="66">
        <v>7</v>
      </c>
      <c r="G80" s="67"/>
      <c r="H80" s="67"/>
      <c r="I80" s="67">
        <v>0.1</v>
      </c>
      <c r="J80" s="66">
        <v>1</v>
      </c>
      <c r="K80" s="67">
        <f>F80*J80*I80</f>
        <v>0.70000000000000007</v>
      </c>
      <c r="L80" s="334"/>
      <c r="M80" s="68"/>
      <c r="N80" s="68"/>
      <c r="O80" s="68"/>
      <c r="P80" s="68"/>
      <c r="T80" s="335"/>
      <c r="U80" s="335"/>
      <c r="V80" s="335"/>
      <c r="W80" s="335"/>
      <c r="X80" s="335"/>
    </row>
    <row r="81" spans="2:24" x14ac:dyDescent="0.3">
      <c r="B81" s="331"/>
      <c r="C81" s="136"/>
      <c r="D81" s="80" t="s">
        <v>199</v>
      </c>
      <c r="E81" s="90" t="s">
        <v>13</v>
      </c>
      <c r="F81" s="66">
        <v>1</v>
      </c>
      <c r="G81" s="67">
        <v>16.079999999999998</v>
      </c>
      <c r="H81" s="67"/>
      <c r="I81" s="67"/>
      <c r="J81" s="66">
        <v>1</v>
      </c>
      <c r="K81" s="67">
        <f t="shared" si="6"/>
        <v>16.079999999999998</v>
      </c>
      <c r="L81" s="334"/>
      <c r="M81" s="68"/>
      <c r="N81" s="68"/>
      <c r="O81" s="68"/>
      <c r="P81" s="68"/>
      <c r="T81" s="335"/>
      <c r="U81" s="335"/>
      <c r="V81" s="335"/>
      <c r="W81" s="335"/>
      <c r="X81" s="335"/>
    </row>
    <row r="82" spans="2:24" x14ac:dyDescent="0.3">
      <c r="B82" s="331"/>
      <c r="C82" s="136"/>
      <c r="D82" s="80" t="s">
        <v>179</v>
      </c>
      <c r="E82" s="90" t="s">
        <v>13</v>
      </c>
      <c r="F82" s="66">
        <v>4</v>
      </c>
      <c r="G82" s="67"/>
      <c r="H82" s="67"/>
      <c r="I82" s="67">
        <v>0.1</v>
      </c>
      <c r="J82" s="66">
        <v>1</v>
      </c>
      <c r="K82" s="67">
        <f>F82*J82*I82</f>
        <v>0.4</v>
      </c>
      <c r="L82" s="334"/>
      <c r="M82" s="68"/>
      <c r="N82" s="68"/>
      <c r="O82" s="68"/>
      <c r="P82" s="68"/>
      <c r="T82" s="335"/>
      <c r="U82" s="335"/>
      <c r="V82" s="335"/>
      <c r="W82" s="335"/>
      <c r="X82" s="335"/>
    </row>
    <row r="83" spans="2:24" x14ac:dyDescent="0.3">
      <c r="B83" s="331"/>
      <c r="C83" s="136"/>
      <c r="D83" s="81" t="s">
        <v>139</v>
      </c>
      <c r="E83" s="73"/>
      <c r="F83" s="82"/>
      <c r="G83" s="52"/>
      <c r="H83" s="52"/>
      <c r="I83" s="52"/>
      <c r="J83" s="62"/>
      <c r="K83" s="61"/>
      <c r="L83" s="334"/>
      <c r="M83" s="68"/>
      <c r="N83" s="68"/>
      <c r="O83" s="68"/>
      <c r="P83" s="68"/>
      <c r="T83" s="335"/>
      <c r="U83" s="335"/>
      <c r="V83" s="335"/>
      <c r="W83" s="335"/>
      <c r="X83" s="335"/>
    </row>
    <row r="84" spans="2:24" x14ac:dyDescent="0.3">
      <c r="B84" s="331"/>
      <c r="C84" s="136"/>
      <c r="D84" s="80" t="s">
        <v>200</v>
      </c>
      <c r="E84" s="90" t="s">
        <v>13</v>
      </c>
      <c r="F84" s="66">
        <v>1</v>
      </c>
      <c r="G84" s="67">
        <v>36.489999999999995</v>
      </c>
      <c r="H84" s="67"/>
      <c r="I84" s="67"/>
      <c r="J84" s="66">
        <v>1</v>
      </c>
      <c r="K84" s="67">
        <f>F84*J84*G84</f>
        <v>36.489999999999995</v>
      </c>
      <c r="L84" s="334"/>
      <c r="M84" s="68"/>
      <c r="N84" s="68"/>
      <c r="O84" s="68"/>
      <c r="P84" s="68"/>
      <c r="T84" s="335"/>
      <c r="U84" s="335"/>
      <c r="V84" s="335"/>
      <c r="W84" s="335"/>
      <c r="X84" s="335"/>
    </row>
    <row r="85" spans="2:24" x14ac:dyDescent="0.3">
      <c r="B85" s="331"/>
      <c r="C85" s="136"/>
      <c r="D85" s="80" t="s">
        <v>201</v>
      </c>
      <c r="E85" s="90" t="s">
        <v>13</v>
      </c>
      <c r="F85" s="66">
        <v>1</v>
      </c>
      <c r="G85" s="67">
        <v>16.52</v>
      </c>
      <c r="H85" s="67"/>
      <c r="I85" s="67"/>
      <c r="J85" s="66">
        <v>1</v>
      </c>
      <c r="K85" s="67">
        <f>F85*J85*G85</f>
        <v>16.52</v>
      </c>
      <c r="L85" s="334"/>
      <c r="M85" s="68"/>
      <c r="N85" s="68"/>
      <c r="O85" s="68"/>
      <c r="P85" s="68"/>
      <c r="T85" s="335"/>
      <c r="U85" s="335"/>
      <c r="V85" s="335"/>
      <c r="W85" s="335"/>
      <c r="X85" s="335"/>
    </row>
    <row r="86" spans="2:24" x14ac:dyDescent="0.3">
      <c r="B86" s="331"/>
      <c r="C86" s="136"/>
      <c r="D86" s="80" t="s">
        <v>179</v>
      </c>
      <c r="E86" s="90" t="s">
        <v>13</v>
      </c>
      <c r="F86" s="66">
        <v>13</v>
      </c>
      <c r="G86" s="67"/>
      <c r="H86" s="67"/>
      <c r="I86" s="67">
        <v>0.1</v>
      </c>
      <c r="J86" s="66">
        <v>1</v>
      </c>
      <c r="K86" s="67">
        <f>F86*J86*I86</f>
        <v>1.3</v>
      </c>
      <c r="L86" s="334"/>
      <c r="M86" s="68"/>
      <c r="N86" s="68"/>
      <c r="O86" s="68"/>
      <c r="P86" s="68"/>
      <c r="T86" s="335"/>
      <c r="U86" s="335"/>
      <c r="V86" s="335"/>
      <c r="W86" s="335"/>
      <c r="X86" s="335"/>
    </row>
    <row r="87" spans="2:24" x14ac:dyDescent="0.3">
      <c r="B87" s="331"/>
      <c r="C87" s="136"/>
      <c r="D87" s="80" t="s">
        <v>196</v>
      </c>
      <c r="E87" s="90" t="s">
        <v>13</v>
      </c>
      <c r="F87" s="66">
        <v>1</v>
      </c>
      <c r="G87" s="67">
        <v>32.839999999999996</v>
      </c>
      <c r="H87" s="67"/>
      <c r="I87" s="67"/>
      <c r="J87" s="66">
        <v>1</v>
      </c>
      <c r="K87" s="67">
        <f t="shared" ref="K87:K91" si="7">F87*J87*G87</f>
        <v>32.839999999999996</v>
      </c>
      <c r="L87" s="334"/>
      <c r="M87" s="68"/>
      <c r="N87" s="68"/>
      <c r="O87" s="68"/>
      <c r="P87" s="68"/>
      <c r="T87" s="335"/>
      <c r="U87" s="335"/>
      <c r="V87" s="335"/>
      <c r="W87" s="335"/>
      <c r="X87" s="335"/>
    </row>
    <row r="88" spans="2:24" x14ac:dyDescent="0.3">
      <c r="B88" s="331"/>
      <c r="C88" s="136"/>
      <c r="D88" s="80" t="s">
        <v>179</v>
      </c>
      <c r="E88" s="90" t="s">
        <v>13</v>
      </c>
      <c r="F88" s="66">
        <v>10</v>
      </c>
      <c r="G88" s="67"/>
      <c r="H88" s="67"/>
      <c r="I88" s="67">
        <v>0.1</v>
      </c>
      <c r="J88" s="66">
        <v>1</v>
      </c>
      <c r="K88" s="67">
        <f>F88*J88*I88</f>
        <v>1</v>
      </c>
      <c r="L88" s="334"/>
      <c r="M88" s="68"/>
      <c r="N88" s="68"/>
      <c r="O88" s="68"/>
      <c r="P88" s="68"/>
      <c r="T88" s="335"/>
      <c r="U88" s="335"/>
      <c r="V88" s="335"/>
      <c r="W88" s="335"/>
      <c r="X88" s="335"/>
    </row>
    <row r="89" spans="2:24" x14ac:dyDescent="0.3">
      <c r="B89" s="331"/>
      <c r="C89" s="136"/>
      <c r="D89" s="80" t="s">
        <v>202</v>
      </c>
      <c r="E89" s="90" t="s">
        <v>13</v>
      </c>
      <c r="F89" s="66">
        <v>1</v>
      </c>
      <c r="G89" s="67">
        <v>19.900000000000002</v>
      </c>
      <c r="H89" s="67"/>
      <c r="I89" s="67"/>
      <c r="J89" s="66">
        <v>1</v>
      </c>
      <c r="K89" s="67">
        <f t="shared" si="7"/>
        <v>19.900000000000002</v>
      </c>
      <c r="L89" s="334"/>
      <c r="M89" s="68"/>
      <c r="N89" s="68"/>
      <c r="O89" s="68"/>
      <c r="P89" s="68"/>
      <c r="T89" s="335"/>
      <c r="U89" s="335"/>
      <c r="V89" s="335"/>
      <c r="W89" s="335"/>
      <c r="X89" s="335"/>
    </row>
    <row r="90" spans="2:24" x14ac:dyDescent="0.3">
      <c r="B90" s="331"/>
      <c r="C90" s="136"/>
      <c r="D90" s="80" t="s">
        <v>179</v>
      </c>
      <c r="E90" s="90" t="s">
        <v>13</v>
      </c>
      <c r="F90" s="66">
        <v>7</v>
      </c>
      <c r="G90" s="67"/>
      <c r="H90" s="67"/>
      <c r="I90" s="67">
        <v>0.1</v>
      </c>
      <c r="J90" s="66">
        <v>1</v>
      </c>
      <c r="K90" s="67">
        <f>F90*J90*I90</f>
        <v>0.70000000000000007</v>
      </c>
      <c r="L90" s="334"/>
      <c r="M90" s="68"/>
      <c r="N90" s="68"/>
      <c r="O90" s="68"/>
      <c r="P90" s="68"/>
      <c r="T90" s="335"/>
      <c r="U90" s="335"/>
      <c r="V90" s="335"/>
      <c r="W90" s="335"/>
      <c r="X90" s="335"/>
    </row>
    <row r="91" spans="2:24" x14ac:dyDescent="0.3">
      <c r="B91" s="331"/>
      <c r="C91" s="136"/>
      <c r="D91" s="80" t="s">
        <v>203</v>
      </c>
      <c r="E91" s="90" t="s">
        <v>13</v>
      </c>
      <c r="F91" s="66">
        <v>1</v>
      </c>
      <c r="G91" s="67">
        <v>19.25</v>
      </c>
      <c r="H91" s="67"/>
      <c r="I91" s="67"/>
      <c r="J91" s="66">
        <v>1</v>
      </c>
      <c r="K91" s="67">
        <f t="shared" si="7"/>
        <v>19.25</v>
      </c>
      <c r="L91" s="334"/>
      <c r="M91" s="68"/>
      <c r="N91" s="68"/>
      <c r="O91" s="68"/>
      <c r="P91" s="68"/>
      <c r="T91" s="335"/>
      <c r="U91" s="335"/>
      <c r="V91" s="335"/>
      <c r="W91" s="335"/>
      <c r="X91" s="335"/>
    </row>
    <row r="92" spans="2:24" x14ac:dyDescent="0.3">
      <c r="B92" s="331"/>
      <c r="C92" s="136"/>
      <c r="D92" s="80" t="s">
        <v>179</v>
      </c>
      <c r="E92" s="90" t="s">
        <v>13</v>
      </c>
      <c r="F92" s="66">
        <v>6</v>
      </c>
      <c r="G92" s="67"/>
      <c r="H92" s="67"/>
      <c r="I92" s="67">
        <v>0.1</v>
      </c>
      <c r="J92" s="66">
        <v>1</v>
      </c>
      <c r="K92" s="67">
        <f>F92*J92*I92</f>
        <v>0.60000000000000009</v>
      </c>
      <c r="L92" s="334"/>
      <c r="M92" s="68"/>
      <c r="N92" s="68"/>
      <c r="O92" s="68"/>
      <c r="P92" s="68"/>
      <c r="T92" s="335"/>
      <c r="U92" s="335"/>
      <c r="V92" s="335"/>
      <c r="W92" s="335"/>
      <c r="X92" s="335"/>
    </row>
    <row r="93" spans="2:24" x14ac:dyDescent="0.3">
      <c r="B93" s="331"/>
      <c r="C93" s="136"/>
      <c r="D93" s="81" t="s">
        <v>138</v>
      </c>
      <c r="E93" s="73"/>
      <c r="F93" s="82"/>
      <c r="G93" s="52"/>
      <c r="H93" s="52"/>
      <c r="I93" s="52"/>
      <c r="J93" s="62"/>
      <c r="K93" s="61"/>
      <c r="L93" s="334"/>
      <c r="M93" s="68"/>
      <c r="N93" s="68"/>
      <c r="O93" s="68"/>
      <c r="P93" s="68"/>
      <c r="T93" s="335"/>
      <c r="U93" s="335"/>
      <c r="V93" s="335"/>
      <c r="W93" s="335"/>
      <c r="X93" s="335"/>
    </row>
    <row r="94" spans="2:24" x14ac:dyDescent="0.3">
      <c r="B94" s="331"/>
      <c r="C94" s="136"/>
      <c r="D94" s="80" t="s">
        <v>204</v>
      </c>
      <c r="E94" s="90" t="s">
        <v>13</v>
      </c>
      <c r="F94" s="66">
        <v>1</v>
      </c>
      <c r="G94" s="67">
        <v>36.309999999999995</v>
      </c>
      <c r="H94" s="67"/>
      <c r="I94" s="67"/>
      <c r="J94" s="66">
        <v>1</v>
      </c>
      <c r="K94" s="67">
        <f>F94*J94*G94</f>
        <v>36.309999999999995</v>
      </c>
      <c r="L94" s="334"/>
      <c r="M94" s="68"/>
      <c r="N94" s="68"/>
      <c r="O94" s="68"/>
      <c r="P94" s="68"/>
      <c r="T94" s="335"/>
      <c r="U94" s="335"/>
      <c r="V94" s="335"/>
      <c r="W94" s="335"/>
      <c r="X94" s="335"/>
    </row>
    <row r="95" spans="2:24" x14ac:dyDescent="0.3">
      <c r="B95" s="331"/>
      <c r="C95" s="136"/>
      <c r="D95" s="80" t="s">
        <v>205</v>
      </c>
      <c r="E95" s="90" t="s">
        <v>13</v>
      </c>
      <c r="F95" s="66">
        <v>1</v>
      </c>
      <c r="G95" s="67">
        <v>17.23</v>
      </c>
      <c r="H95" s="67"/>
      <c r="I95" s="67"/>
      <c r="J95" s="66">
        <v>1</v>
      </c>
      <c r="K95" s="67">
        <f>F95*J95*G95</f>
        <v>17.23</v>
      </c>
      <c r="L95" s="334"/>
      <c r="M95" s="68"/>
      <c r="N95" s="68"/>
      <c r="O95" s="68"/>
      <c r="P95" s="68"/>
      <c r="T95" s="335"/>
      <c r="U95" s="335"/>
      <c r="V95" s="335"/>
      <c r="W95" s="335"/>
      <c r="X95" s="335"/>
    </row>
    <row r="96" spans="2:24" x14ac:dyDescent="0.3">
      <c r="B96" s="331"/>
      <c r="C96" s="136"/>
      <c r="D96" s="80" t="s">
        <v>179</v>
      </c>
      <c r="E96" s="90" t="s">
        <v>13</v>
      </c>
      <c r="F96" s="66">
        <v>17</v>
      </c>
      <c r="G96" s="67"/>
      <c r="H96" s="67"/>
      <c r="I96" s="67">
        <v>0.1</v>
      </c>
      <c r="J96" s="66">
        <v>1</v>
      </c>
      <c r="K96" s="67">
        <f>F96*J96*I96</f>
        <v>1.7000000000000002</v>
      </c>
      <c r="L96" s="334"/>
      <c r="M96" s="68"/>
      <c r="N96" s="68"/>
      <c r="O96" s="68"/>
      <c r="P96" s="68"/>
      <c r="T96" s="335"/>
      <c r="U96" s="335"/>
      <c r="V96" s="335"/>
      <c r="W96" s="335"/>
      <c r="X96" s="335"/>
    </row>
    <row r="97" spans="2:24" x14ac:dyDescent="0.3">
      <c r="B97" s="331"/>
      <c r="C97" s="136"/>
      <c r="D97" s="80" t="s">
        <v>196</v>
      </c>
      <c r="E97" s="90" t="s">
        <v>13</v>
      </c>
      <c r="F97" s="66">
        <v>1</v>
      </c>
      <c r="G97" s="67">
        <v>32.839999999999996</v>
      </c>
      <c r="H97" s="67"/>
      <c r="I97" s="67"/>
      <c r="J97" s="66">
        <v>1</v>
      </c>
      <c r="K97" s="67">
        <f>F97*J97*G97</f>
        <v>32.839999999999996</v>
      </c>
      <c r="L97" s="334"/>
      <c r="M97" s="68"/>
      <c r="N97" s="68"/>
      <c r="O97" s="68"/>
      <c r="P97" s="68"/>
      <c r="T97" s="335"/>
      <c r="U97" s="335"/>
      <c r="V97" s="335"/>
      <c r="W97" s="335"/>
      <c r="X97" s="335"/>
    </row>
    <row r="98" spans="2:24" x14ac:dyDescent="0.3">
      <c r="B98" s="331"/>
      <c r="C98" s="136"/>
      <c r="D98" s="80" t="s">
        <v>179</v>
      </c>
      <c r="E98" s="90" t="s">
        <v>13</v>
      </c>
      <c r="F98" s="66">
        <v>10</v>
      </c>
      <c r="G98" s="67"/>
      <c r="H98" s="67"/>
      <c r="I98" s="67">
        <v>0.1</v>
      </c>
      <c r="J98" s="66">
        <v>1</v>
      </c>
      <c r="K98" s="67">
        <f>F98*J98*I98</f>
        <v>1</v>
      </c>
      <c r="L98" s="334"/>
      <c r="M98" s="68"/>
      <c r="N98" s="68"/>
      <c r="O98" s="68"/>
      <c r="P98" s="68"/>
      <c r="T98" s="335"/>
      <c r="U98" s="335"/>
      <c r="V98" s="335"/>
      <c r="W98" s="335"/>
      <c r="X98" s="335"/>
    </row>
    <row r="99" spans="2:24" x14ac:dyDescent="0.3">
      <c r="B99" s="331"/>
      <c r="C99" s="136"/>
      <c r="D99" s="80" t="s">
        <v>206</v>
      </c>
      <c r="E99" s="90" t="s">
        <v>13</v>
      </c>
      <c r="F99" s="66">
        <v>1</v>
      </c>
      <c r="G99" s="67">
        <v>28.73</v>
      </c>
      <c r="H99" s="67"/>
      <c r="I99" s="67"/>
      <c r="J99" s="66">
        <v>1</v>
      </c>
      <c r="K99" s="67">
        <f t="shared" ref="K99" si="8">F99*J99*G99</f>
        <v>28.73</v>
      </c>
      <c r="L99" s="334"/>
      <c r="M99" s="68"/>
      <c r="N99" s="68"/>
      <c r="O99" s="68"/>
      <c r="P99" s="68"/>
      <c r="T99" s="335"/>
      <c r="U99" s="335"/>
      <c r="V99" s="335"/>
      <c r="W99" s="335"/>
      <c r="X99" s="335"/>
    </row>
    <row r="100" spans="2:24" x14ac:dyDescent="0.3">
      <c r="B100" s="331"/>
      <c r="C100" s="136"/>
      <c r="D100" s="80" t="s">
        <v>179</v>
      </c>
      <c r="E100" s="90" t="s">
        <v>13</v>
      </c>
      <c r="F100" s="66">
        <v>11</v>
      </c>
      <c r="G100" s="67"/>
      <c r="H100" s="67"/>
      <c r="I100" s="67">
        <v>0.1</v>
      </c>
      <c r="J100" s="66">
        <v>1</v>
      </c>
      <c r="K100" s="67">
        <f>F100*J100*I100</f>
        <v>1.1000000000000001</v>
      </c>
      <c r="L100" s="334"/>
      <c r="M100" s="68"/>
      <c r="N100" s="68"/>
      <c r="O100" s="68"/>
      <c r="P100" s="68"/>
      <c r="T100" s="335"/>
      <c r="U100" s="335"/>
      <c r="V100" s="335"/>
      <c r="W100" s="335"/>
      <c r="X100" s="335"/>
    </row>
    <row r="101" spans="2:24" x14ac:dyDescent="0.3">
      <c r="B101" s="331"/>
      <c r="C101" s="152"/>
      <c r="D101" s="75"/>
      <c r="E101" s="73"/>
      <c r="F101" s="82"/>
      <c r="G101" s="52"/>
      <c r="H101" s="52"/>
      <c r="I101" s="52"/>
      <c r="J101" s="62"/>
      <c r="K101" s="61"/>
      <c r="L101" s="334"/>
      <c r="M101" s="68"/>
      <c r="N101" s="68"/>
      <c r="O101" s="68"/>
      <c r="P101" s="68"/>
      <c r="T101" s="335"/>
      <c r="U101" s="335"/>
      <c r="V101" s="335"/>
      <c r="W101" s="335"/>
      <c r="X101" s="335"/>
    </row>
    <row r="102" spans="2:24" x14ac:dyDescent="0.3">
      <c r="B102" s="331"/>
      <c r="C102" s="152"/>
      <c r="D102" s="75" t="s">
        <v>182</v>
      </c>
      <c r="E102" s="73"/>
      <c r="F102" s="82"/>
      <c r="G102" s="52"/>
      <c r="H102" s="52"/>
      <c r="I102" s="52"/>
      <c r="J102" s="62"/>
      <c r="K102" s="61"/>
      <c r="L102" s="334"/>
      <c r="M102" s="68"/>
      <c r="N102" s="68"/>
      <c r="O102" s="68"/>
      <c r="P102" s="68"/>
      <c r="T102" s="335"/>
      <c r="U102" s="335"/>
      <c r="V102" s="335"/>
      <c r="W102" s="335"/>
      <c r="X102" s="335"/>
    </row>
    <row r="103" spans="2:24" x14ac:dyDescent="0.3">
      <c r="B103" s="331"/>
      <c r="C103" s="152"/>
      <c r="D103" s="81" t="s">
        <v>115</v>
      </c>
      <c r="E103" s="73"/>
      <c r="F103" s="82"/>
      <c r="G103" s="52"/>
      <c r="H103" s="52"/>
      <c r="I103" s="52"/>
      <c r="J103" s="62"/>
      <c r="K103" s="61"/>
      <c r="L103" s="334"/>
      <c r="M103" s="68"/>
      <c r="N103" s="68"/>
      <c r="O103" s="68"/>
      <c r="P103" s="68"/>
      <c r="T103" s="335"/>
      <c r="U103" s="335"/>
      <c r="V103" s="335"/>
      <c r="W103" s="335"/>
      <c r="X103" s="335"/>
    </row>
    <row r="104" spans="2:24" x14ac:dyDescent="0.3">
      <c r="B104" s="331"/>
      <c r="C104" s="152"/>
      <c r="D104" s="80" t="s">
        <v>207</v>
      </c>
      <c r="E104" s="90" t="s">
        <v>13</v>
      </c>
      <c r="F104" s="66">
        <v>1</v>
      </c>
      <c r="G104" s="67">
        <v>1.9</v>
      </c>
      <c r="H104" s="67"/>
      <c r="I104" s="67"/>
      <c r="J104" s="66">
        <v>1</v>
      </c>
      <c r="K104" s="67">
        <f t="shared" ref="K104:K123" si="9">F104*J104*G104</f>
        <v>1.9</v>
      </c>
      <c r="L104" s="334"/>
      <c r="M104" s="68"/>
      <c r="N104" s="68"/>
      <c r="O104" s="68"/>
      <c r="P104" s="68"/>
      <c r="T104" s="335"/>
      <c r="U104" s="335"/>
      <c r="V104" s="335"/>
      <c r="W104" s="335"/>
      <c r="X104" s="335"/>
    </row>
    <row r="105" spans="2:24" x14ac:dyDescent="0.3">
      <c r="B105" s="331"/>
      <c r="C105" s="152"/>
      <c r="D105" s="81"/>
      <c r="E105" s="90" t="s">
        <v>13</v>
      </c>
      <c r="F105" s="66">
        <v>1</v>
      </c>
      <c r="G105" s="67">
        <v>0.6</v>
      </c>
      <c r="H105" s="67"/>
      <c r="I105" s="67"/>
      <c r="J105" s="66">
        <v>1</v>
      </c>
      <c r="K105" s="67">
        <f t="shared" si="9"/>
        <v>0.6</v>
      </c>
      <c r="L105" s="334"/>
      <c r="M105" s="68"/>
      <c r="N105" s="68"/>
      <c r="O105" s="68"/>
      <c r="P105" s="68"/>
      <c r="T105" s="335"/>
      <c r="U105" s="335"/>
      <c r="V105" s="335"/>
      <c r="W105" s="335"/>
      <c r="X105" s="335"/>
    </row>
    <row r="106" spans="2:24" x14ac:dyDescent="0.3">
      <c r="B106" s="331"/>
      <c r="C106" s="152"/>
      <c r="D106" s="80" t="s">
        <v>179</v>
      </c>
      <c r="E106" s="90" t="s">
        <v>13</v>
      </c>
      <c r="F106" s="66">
        <v>1</v>
      </c>
      <c r="G106" s="67">
        <v>0.85</v>
      </c>
      <c r="H106" s="67"/>
      <c r="I106" s="67"/>
      <c r="J106" s="66">
        <v>1</v>
      </c>
      <c r="K106" s="67">
        <f t="shared" si="9"/>
        <v>0.85</v>
      </c>
      <c r="L106" s="334"/>
      <c r="M106" s="68"/>
      <c r="N106" s="68"/>
      <c r="O106" s="68"/>
      <c r="P106" s="68"/>
      <c r="T106" s="335"/>
      <c r="U106" s="335"/>
      <c r="V106" s="335"/>
      <c r="W106" s="335"/>
      <c r="X106" s="335"/>
    </row>
    <row r="107" spans="2:24" x14ac:dyDescent="0.3">
      <c r="B107" s="331"/>
      <c r="C107" s="152"/>
      <c r="D107" s="80"/>
      <c r="E107" s="90" t="s">
        <v>13</v>
      </c>
      <c r="F107" s="66">
        <v>2</v>
      </c>
      <c r="G107" s="67">
        <v>0.75</v>
      </c>
      <c r="H107" s="67"/>
      <c r="I107" s="67"/>
      <c r="J107" s="66">
        <v>1</v>
      </c>
      <c r="K107" s="67">
        <f t="shared" si="9"/>
        <v>1.5</v>
      </c>
      <c r="L107" s="334"/>
      <c r="M107" s="68"/>
      <c r="N107" s="68"/>
      <c r="O107" s="68"/>
      <c r="P107" s="68"/>
      <c r="T107" s="335"/>
      <c r="U107" s="335"/>
      <c r="V107" s="335"/>
      <c r="W107" s="335"/>
      <c r="X107" s="335"/>
    </row>
    <row r="108" spans="2:24" x14ac:dyDescent="0.3">
      <c r="B108" s="331"/>
      <c r="C108" s="152"/>
      <c r="D108" s="80" t="s">
        <v>208</v>
      </c>
      <c r="E108" s="90" t="s">
        <v>13</v>
      </c>
      <c r="F108" s="66">
        <v>1</v>
      </c>
      <c r="G108" s="67">
        <v>1.9</v>
      </c>
      <c r="H108" s="67"/>
      <c r="I108" s="67"/>
      <c r="J108" s="66">
        <v>1</v>
      </c>
      <c r="K108" s="67">
        <f t="shared" si="9"/>
        <v>1.9</v>
      </c>
      <c r="L108" s="334"/>
      <c r="M108" s="68"/>
      <c r="N108" s="68"/>
      <c r="O108" s="68"/>
      <c r="P108" s="61"/>
      <c r="T108" s="335"/>
      <c r="U108" s="335"/>
      <c r="V108" s="335"/>
      <c r="W108" s="335"/>
      <c r="X108" s="335"/>
    </row>
    <row r="109" spans="2:24" x14ac:dyDescent="0.3">
      <c r="B109" s="331"/>
      <c r="C109" s="152"/>
      <c r="D109" s="81"/>
      <c r="E109" s="90" t="s">
        <v>13</v>
      </c>
      <c r="F109" s="66">
        <v>1</v>
      </c>
      <c r="G109" s="67">
        <v>0.6</v>
      </c>
      <c r="H109" s="67"/>
      <c r="I109" s="67"/>
      <c r="J109" s="66">
        <v>1</v>
      </c>
      <c r="K109" s="67">
        <f t="shared" si="9"/>
        <v>0.6</v>
      </c>
      <c r="L109" s="334"/>
      <c r="M109" s="68"/>
      <c r="N109" s="68"/>
      <c r="O109" s="68"/>
      <c r="P109" s="68"/>
      <c r="T109" s="335"/>
      <c r="U109" s="335"/>
      <c r="V109" s="335"/>
      <c r="W109" s="335"/>
      <c r="X109" s="335"/>
    </row>
    <row r="110" spans="2:24" x14ac:dyDescent="0.3">
      <c r="B110" s="331"/>
      <c r="C110" s="152"/>
      <c r="D110" s="80" t="s">
        <v>179</v>
      </c>
      <c r="E110" s="90" t="s">
        <v>13</v>
      </c>
      <c r="F110" s="66">
        <v>1</v>
      </c>
      <c r="G110" s="67">
        <v>0.85</v>
      </c>
      <c r="H110" s="67"/>
      <c r="I110" s="67"/>
      <c r="J110" s="66">
        <v>1</v>
      </c>
      <c r="K110" s="67">
        <f t="shared" si="9"/>
        <v>0.85</v>
      </c>
      <c r="L110" s="334"/>
      <c r="M110" s="68"/>
      <c r="N110" s="68"/>
      <c r="O110" s="68"/>
      <c r="P110" s="68"/>
      <c r="T110" s="335"/>
      <c r="U110" s="335"/>
      <c r="V110" s="335"/>
      <c r="W110" s="335"/>
      <c r="X110" s="335"/>
    </row>
    <row r="111" spans="2:24" x14ac:dyDescent="0.3">
      <c r="B111" s="331"/>
      <c r="C111" s="152"/>
      <c r="D111" s="80"/>
      <c r="E111" s="90" t="s">
        <v>13</v>
      </c>
      <c r="F111" s="66">
        <v>2</v>
      </c>
      <c r="G111" s="67">
        <v>0.75</v>
      </c>
      <c r="H111" s="67"/>
      <c r="I111" s="67"/>
      <c r="J111" s="66">
        <v>1</v>
      </c>
      <c r="K111" s="67">
        <f t="shared" si="9"/>
        <v>1.5</v>
      </c>
      <c r="L111" s="334"/>
      <c r="M111" s="68"/>
      <c r="N111" s="68"/>
      <c r="O111" s="68"/>
      <c r="P111" s="68"/>
      <c r="T111" s="335"/>
      <c r="U111" s="335"/>
      <c r="V111" s="335"/>
      <c r="W111" s="335"/>
      <c r="X111" s="335"/>
    </row>
    <row r="112" spans="2:24" x14ac:dyDescent="0.3">
      <c r="B112" s="331"/>
      <c r="C112" s="152"/>
      <c r="D112" s="80" t="s">
        <v>209</v>
      </c>
      <c r="E112" s="90" t="s">
        <v>13</v>
      </c>
      <c r="F112" s="66">
        <v>1</v>
      </c>
      <c r="G112" s="67">
        <v>0.9</v>
      </c>
      <c r="H112" s="67"/>
      <c r="I112" s="67"/>
      <c r="J112" s="66">
        <v>1</v>
      </c>
      <c r="K112" s="67">
        <f t="shared" si="9"/>
        <v>0.9</v>
      </c>
      <c r="L112" s="334"/>
      <c r="M112" s="68"/>
      <c r="N112" s="68"/>
      <c r="O112" s="68"/>
      <c r="P112" s="68"/>
      <c r="T112" s="335"/>
      <c r="U112" s="335"/>
      <c r="V112" s="335"/>
      <c r="W112" s="335"/>
      <c r="X112" s="335"/>
    </row>
    <row r="113" spans="2:24" x14ac:dyDescent="0.3">
      <c r="B113" s="331"/>
      <c r="C113" s="152"/>
      <c r="D113" s="80"/>
      <c r="E113" s="90" t="s">
        <v>13</v>
      </c>
      <c r="F113" s="66">
        <v>1</v>
      </c>
      <c r="G113" s="67">
        <v>0.6</v>
      </c>
      <c r="H113" s="67"/>
      <c r="I113" s="67"/>
      <c r="J113" s="66">
        <v>1</v>
      </c>
      <c r="K113" s="67">
        <f t="shared" si="9"/>
        <v>0.6</v>
      </c>
      <c r="L113" s="334"/>
      <c r="M113" s="68"/>
      <c r="N113" s="68"/>
      <c r="O113" s="68"/>
      <c r="P113" s="68"/>
      <c r="T113" s="335"/>
      <c r="U113" s="335"/>
      <c r="V113" s="335"/>
      <c r="W113" s="335"/>
      <c r="X113" s="335"/>
    </row>
    <row r="114" spans="2:24" x14ac:dyDescent="0.3">
      <c r="B114" s="331"/>
      <c r="C114" s="152"/>
      <c r="D114" s="80" t="s">
        <v>179</v>
      </c>
      <c r="E114" s="90" t="s">
        <v>13</v>
      </c>
      <c r="F114" s="66">
        <v>1</v>
      </c>
      <c r="G114" s="67">
        <v>0.85</v>
      </c>
      <c r="H114" s="67"/>
      <c r="I114" s="67"/>
      <c r="J114" s="66">
        <v>1</v>
      </c>
      <c r="K114" s="67">
        <f t="shared" si="9"/>
        <v>0.85</v>
      </c>
      <c r="L114" s="334"/>
      <c r="M114" s="68"/>
      <c r="N114" s="68"/>
      <c r="O114" s="68"/>
      <c r="P114" s="68"/>
      <c r="T114" s="335"/>
      <c r="U114" s="335"/>
      <c r="V114" s="335"/>
      <c r="W114" s="335"/>
      <c r="X114" s="335"/>
    </row>
    <row r="115" spans="2:24" x14ac:dyDescent="0.3">
      <c r="B115" s="331"/>
      <c r="C115" s="152"/>
      <c r="D115" s="80"/>
      <c r="E115" s="90" t="s">
        <v>13</v>
      </c>
      <c r="F115" s="66">
        <v>2</v>
      </c>
      <c r="G115" s="67">
        <v>0.75</v>
      </c>
      <c r="H115" s="67"/>
      <c r="I115" s="67"/>
      <c r="J115" s="66">
        <v>1</v>
      </c>
      <c r="K115" s="67">
        <f t="shared" si="9"/>
        <v>1.5</v>
      </c>
      <c r="L115" s="334"/>
      <c r="M115" s="68"/>
      <c r="N115" s="68"/>
      <c r="O115" s="68"/>
      <c r="P115" s="68"/>
      <c r="T115" s="335"/>
      <c r="U115" s="335"/>
      <c r="V115" s="335"/>
      <c r="W115" s="335"/>
      <c r="X115" s="335"/>
    </row>
    <row r="116" spans="2:24" x14ac:dyDescent="0.3">
      <c r="B116" s="331"/>
      <c r="C116" s="152"/>
      <c r="D116" s="80" t="s">
        <v>210</v>
      </c>
      <c r="E116" s="90" t="s">
        <v>13</v>
      </c>
      <c r="F116" s="66">
        <v>1</v>
      </c>
      <c r="G116" s="67">
        <v>0.9</v>
      </c>
      <c r="H116" s="67"/>
      <c r="I116" s="67"/>
      <c r="J116" s="66">
        <v>1</v>
      </c>
      <c r="K116" s="67">
        <f t="shared" si="9"/>
        <v>0.9</v>
      </c>
      <c r="L116" s="334"/>
      <c r="M116" s="68"/>
      <c r="N116" s="68"/>
      <c r="O116" s="68"/>
      <c r="P116" s="68"/>
      <c r="T116" s="335"/>
      <c r="U116" s="335"/>
      <c r="V116" s="335"/>
      <c r="W116" s="335"/>
      <c r="X116" s="335"/>
    </row>
    <row r="117" spans="2:24" x14ac:dyDescent="0.3">
      <c r="B117" s="331"/>
      <c r="C117" s="152"/>
      <c r="D117" s="80"/>
      <c r="E117" s="90" t="s">
        <v>13</v>
      </c>
      <c r="F117" s="66">
        <v>1</v>
      </c>
      <c r="G117" s="67">
        <v>0.6</v>
      </c>
      <c r="H117" s="67"/>
      <c r="I117" s="67"/>
      <c r="J117" s="66">
        <v>1</v>
      </c>
      <c r="K117" s="67">
        <f t="shared" si="9"/>
        <v>0.6</v>
      </c>
      <c r="L117" s="334"/>
      <c r="M117" s="68"/>
      <c r="N117" s="68"/>
      <c r="O117" s="68"/>
      <c r="P117" s="68"/>
      <c r="T117" s="335"/>
      <c r="U117" s="335"/>
      <c r="V117" s="335"/>
      <c r="W117" s="335"/>
      <c r="X117" s="335"/>
    </row>
    <row r="118" spans="2:24" x14ac:dyDescent="0.3">
      <c r="B118" s="331"/>
      <c r="C118" s="152"/>
      <c r="D118" s="80" t="s">
        <v>179</v>
      </c>
      <c r="E118" s="90" t="s">
        <v>13</v>
      </c>
      <c r="F118" s="66">
        <v>1</v>
      </c>
      <c r="G118" s="67">
        <v>0.85</v>
      </c>
      <c r="H118" s="67"/>
      <c r="I118" s="67"/>
      <c r="J118" s="66">
        <v>1</v>
      </c>
      <c r="K118" s="67">
        <f t="shared" si="9"/>
        <v>0.85</v>
      </c>
      <c r="L118" s="334"/>
      <c r="M118" s="68"/>
      <c r="N118" s="68"/>
      <c r="O118" s="68"/>
      <c r="P118" s="68"/>
      <c r="T118" s="335"/>
      <c r="U118" s="335"/>
      <c r="V118" s="335"/>
      <c r="W118" s="335"/>
      <c r="X118" s="335"/>
    </row>
    <row r="119" spans="2:24" x14ac:dyDescent="0.3">
      <c r="B119" s="331"/>
      <c r="C119" s="152"/>
      <c r="D119" s="80"/>
      <c r="E119" s="90" t="s">
        <v>13</v>
      </c>
      <c r="F119" s="66">
        <v>2</v>
      </c>
      <c r="G119" s="67">
        <v>0.75</v>
      </c>
      <c r="H119" s="67"/>
      <c r="I119" s="67"/>
      <c r="J119" s="66">
        <v>1</v>
      </c>
      <c r="K119" s="67">
        <f t="shared" si="9"/>
        <v>1.5</v>
      </c>
      <c r="L119" s="334"/>
      <c r="M119" s="68"/>
      <c r="N119" s="68"/>
      <c r="O119" s="68"/>
      <c r="P119" s="68"/>
      <c r="T119" s="335"/>
      <c r="U119" s="335"/>
      <c r="V119" s="335"/>
      <c r="W119" s="335"/>
      <c r="X119" s="335"/>
    </row>
    <row r="120" spans="2:24" x14ac:dyDescent="0.3">
      <c r="B120" s="331"/>
      <c r="C120" s="152"/>
      <c r="D120" s="80" t="s">
        <v>199</v>
      </c>
      <c r="E120" s="90" t="s">
        <v>13</v>
      </c>
      <c r="F120" s="66">
        <v>1</v>
      </c>
      <c r="G120" s="67">
        <v>0.9</v>
      </c>
      <c r="H120" s="67"/>
      <c r="I120" s="67"/>
      <c r="J120" s="66">
        <v>1</v>
      </c>
      <c r="K120" s="67">
        <f t="shared" si="9"/>
        <v>0.9</v>
      </c>
      <c r="L120" s="334"/>
      <c r="M120" s="68"/>
      <c r="N120" s="68"/>
      <c r="O120" s="68"/>
      <c r="P120" s="68"/>
      <c r="T120" s="335"/>
      <c r="U120" s="335"/>
      <c r="V120" s="335"/>
      <c r="W120" s="335"/>
      <c r="X120" s="335"/>
    </row>
    <row r="121" spans="2:24" x14ac:dyDescent="0.3">
      <c r="B121" s="331"/>
      <c r="C121" s="152"/>
      <c r="D121" s="80"/>
      <c r="E121" s="90" t="s">
        <v>13</v>
      </c>
      <c r="F121" s="66">
        <v>2</v>
      </c>
      <c r="G121" s="67">
        <v>0.6</v>
      </c>
      <c r="H121" s="67"/>
      <c r="I121" s="67"/>
      <c r="J121" s="66">
        <v>1</v>
      </c>
      <c r="K121" s="67">
        <f t="shared" si="9"/>
        <v>1.2</v>
      </c>
      <c r="L121" s="334"/>
      <c r="M121" s="68"/>
      <c r="N121" s="68"/>
      <c r="O121" s="68"/>
      <c r="P121" s="68"/>
      <c r="T121" s="335"/>
      <c r="U121" s="335"/>
      <c r="V121" s="335"/>
      <c r="W121" s="335"/>
      <c r="X121" s="335"/>
    </row>
    <row r="122" spans="2:24" x14ac:dyDescent="0.3">
      <c r="B122" s="331"/>
      <c r="C122" s="152"/>
      <c r="D122" s="80" t="s">
        <v>179</v>
      </c>
      <c r="E122" s="90" t="s">
        <v>13</v>
      </c>
      <c r="F122" s="66">
        <v>2</v>
      </c>
      <c r="G122" s="67">
        <v>0.85</v>
      </c>
      <c r="H122" s="67"/>
      <c r="I122" s="67"/>
      <c r="J122" s="66">
        <v>1</v>
      </c>
      <c r="K122" s="67">
        <f t="shared" si="9"/>
        <v>1.7</v>
      </c>
      <c r="L122" s="334"/>
      <c r="M122" s="68"/>
      <c r="N122" s="68"/>
      <c r="O122" s="68"/>
      <c r="P122" s="68"/>
      <c r="T122" s="335"/>
      <c r="U122" s="335"/>
      <c r="V122" s="335"/>
      <c r="W122" s="335"/>
      <c r="X122" s="335"/>
    </row>
    <row r="123" spans="2:24" x14ac:dyDescent="0.3">
      <c r="B123" s="331"/>
      <c r="C123" s="152"/>
      <c r="D123" s="80"/>
      <c r="E123" s="90" t="s">
        <v>13</v>
      </c>
      <c r="F123" s="66">
        <v>2</v>
      </c>
      <c r="G123" s="67">
        <v>0.75</v>
      </c>
      <c r="H123" s="67"/>
      <c r="I123" s="67"/>
      <c r="J123" s="66">
        <v>1</v>
      </c>
      <c r="K123" s="67">
        <f t="shared" si="9"/>
        <v>1.5</v>
      </c>
      <c r="L123" s="334"/>
      <c r="M123" s="68"/>
      <c r="N123" s="68"/>
      <c r="O123" s="68"/>
      <c r="P123" s="68"/>
      <c r="T123" s="335"/>
      <c r="U123" s="335"/>
      <c r="V123" s="335"/>
      <c r="W123" s="335"/>
      <c r="X123" s="335"/>
    </row>
    <row r="124" spans="2:24" x14ac:dyDescent="0.3">
      <c r="B124" s="331"/>
      <c r="C124" s="152"/>
      <c r="D124" s="81" t="s">
        <v>139</v>
      </c>
      <c r="E124" s="73"/>
      <c r="F124" s="82"/>
      <c r="G124" s="52"/>
      <c r="H124" s="52"/>
      <c r="I124" s="52"/>
      <c r="J124" s="62"/>
      <c r="K124" s="61"/>
      <c r="L124" s="334"/>
      <c r="M124" s="68"/>
      <c r="N124" s="68"/>
      <c r="O124" s="68"/>
      <c r="P124" s="68"/>
      <c r="T124" s="335"/>
      <c r="U124" s="335"/>
      <c r="V124" s="335"/>
      <c r="W124" s="335"/>
      <c r="X124" s="335"/>
    </row>
    <row r="125" spans="2:24" x14ac:dyDescent="0.3">
      <c r="B125" s="331"/>
      <c r="C125" s="152"/>
      <c r="D125" s="80" t="s">
        <v>211</v>
      </c>
      <c r="E125" s="90" t="s">
        <v>13</v>
      </c>
      <c r="F125" s="66">
        <v>1</v>
      </c>
      <c r="G125" s="67">
        <v>1.75</v>
      </c>
      <c r="H125" s="67"/>
      <c r="I125" s="67"/>
      <c r="J125" s="66">
        <v>1</v>
      </c>
      <c r="K125" s="67">
        <f t="shared" ref="K125:K136" si="10">F125*J125*G125</f>
        <v>1.75</v>
      </c>
      <c r="L125" s="334"/>
      <c r="M125" s="68"/>
      <c r="N125" s="68"/>
      <c r="O125" s="68"/>
      <c r="P125" s="68"/>
      <c r="T125" s="335"/>
      <c r="U125" s="335"/>
      <c r="V125" s="335"/>
      <c r="W125" s="335"/>
      <c r="X125" s="335"/>
    </row>
    <row r="126" spans="2:24" x14ac:dyDescent="0.3">
      <c r="B126" s="331"/>
      <c r="C126" s="152"/>
      <c r="D126" s="81"/>
      <c r="E126" s="90" t="s">
        <v>13</v>
      </c>
      <c r="F126" s="66">
        <v>1</v>
      </c>
      <c r="G126" s="67">
        <v>0.6</v>
      </c>
      <c r="H126" s="67"/>
      <c r="I126" s="67"/>
      <c r="J126" s="66">
        <v>1</v>
      </c>
      <c r="K126" s="67">
        <f t="shared" si="10"/>
        <v>0.6</v>
      </c>
      <c r="L126" s="334"/>
      <c r="M126" s="68"/>
      <c r="N126" s="68"/>
      <c r="O126" s="68"/>
      <c r="P126" s="68"/>
      <c r="T126" s="335"/>
      <c r="U126" s="335"/>
      <c r="V126" s="335"/>
      <c r="W126" s="335"/>
      <c r="X126" s="335"/>
    </row>
    <row r="127" spans="2:24" x14ac:dyDescent="0.3">
      <c r="B127" s="331"/>
      <c r="C127" s="152"/>
      <c r="D127" s="80" t="s">
        <v>179</v>
      </c>
      <c r="E127" s="90" t="s">
        <v>13</v>
      </c>
      <c r="F127" s="66">
        <v>1</v>
      </c>
      <c r="G127" s="67">
        <v>0.85</v>
      </c>
      <c r="H127" s="67"/>
      <c r="I127" s="67"/>
      <c r="J127" s="66">
        <v>1</v>
      </c>
      <c r="K127" s="67">
        <f t="shared" si="10"/>
        <v>0.85</v>
      </c>
      <c r="L127" s="334"/>
      <c r="M127" s="68"/>
      <c r="N127" s="68"/>
      <c r="O127" s="68"/>
      <c r="P127" s="68"/>
      <c r="T127" s="335"/>
      <c r="U127" s="335"/>
      <c r="V127" s="335"/>
      <c r="W127" s="335"/>
      <c r="X127" s="335"/>
    </row>
    <row r="128" spans="2:24" x14ac:dyDescent="0.3">
      <c r="B128" s="331"/>
      <c r="C128" s="152"/>
      <c r="D128" s="80"/>
      <c r="E128" s="90" t="s">
        <v>13</v>
      </c>
      <c r="F128" s="66">
        <v>2</v>
      </c>
      <c r="G128" s="67">
        <v>0.75</v>
      </c>
      <c r="H128" s="67"/>
      <c r="I128" s="67"/>
      <c r="J128" s="66">
        <v>1</v>
      </c>
      <c r="K128" s="67">
        <f t="shared" si="10"/>
        <v>1.5</v>
      </c>
      <c r="L128" s="334"/>
      <c r="M128" s="68"/>
      <c r="N128" s="68"/>
      <c r="O128" s="68"/>
      <c r="P128" s="68"/>
      <c r="T128" s="335"/>
      <c r="U128" s="335"/>
      <c r="V128" s="335"/>
      <c r="W128" s="335"/>
      <c r="X128" s="335"/>
    </row>
    <row r="129" spans="2:24" x14ac:dyDescent="0.3">
      <c r="B129" s="331"/>
      <c r="C129" s="152"/>
      <c r="D129" s="80" t="s">
        <v>200</v>
      </c>
      <c r="E129" s="90" t="s">
        <v>13</v>
      </c>
      <c r="F129" s="66">
        <v>1</v>
      </c>
      <c r="G129" s="67">
        <f>2.3+2.3+2.8+5.36+5.04</f>
        <v>17.8</v>
      </c>
      <c r="H129" s="67"/>
      <c r="I129" s="67"/>
      <c r="J129" s="66">
        <v>1</v>
      </c>
      <c r="K129" s="67">
        <f t="shared" si="10"/>
        <v>17.8</v>
      </c>
      <c r="L129" s="334"/>
      <c r="M129" s="68"/>
      <c r="N129" s="68"/>
      <c r="O129" s="68"/>
      <c r="P129" s="68"/>
      <c r="T129" s="335"/>
      <c r="U129" s="335"/>
      <c r="V129" s="335"/>
      <c r="W129" s="335"/>
      <c r="X129" s="335"/>
    </row>
    <row r="130" spans="2:24" x14ac:dyDescent="0.3">
      <c r="B130" s="331"/>
      <c r="C130" s="152"/>
      <c r="D130" s="81"/>
      <c r="E130" s="90" t="s">
        <v>13</v>
      </c>
      <c r="F130" s="66">
        <v>6</v>
      </c>
      <c r="G130" s="67">
        <v>0.6</v>
      </c>
      <c r="H130" s="67"/>
      <c r="I130" s="67"/>
      <c r="J130" s="66">
        <v>1</v>
      </c>
      <c r="K130" s="67">
        <f t="shared" si="10"/>
        <v>3.5999999999999996</v>
      </c>
      <c r="L130" s="334"/>
      <c r="M130" s="68"/>
      <c r="N130" s="68"/>
      <c r="O130" s="68"/>
      <c r="P130" s="68"/>
      <c r="T130" s="335"/>
      <c r="U130" s="335"/>
      <c r="V130" s="335"/>
      <c r="W130" s="335"/>
      <c r="X130" s="335"/>
    </row>
    <row r="131" spans="2:24" x14ac:dyDescent="0.3">
      <c r="B131" s="331"/>
      <c r="C131" s="152"/>
      <c r="D131" s="80" t="s">
        <v>179</v>
      </c>
      <c r="E131" s="90" t="s">
        <v>13</v>
      </c>
      <c r="F131" s="66">
        <v>7</v>
      </c>
      <c r="G131" s="67">
        <v>0.85</v>
      </c>
      <c r="H131" s="67"/>
      <c r="I131" s="67"/>
      <c r="J131" s="66">
        <v>1</v>
      </c>
      <c r="K131" s="67">
        <f t="shared" si="10"/>
        <v>5.95</v>
      </c>
      <c r="L131" s="334"/>
      <c r="M131" s="68"/>
      <c r="N131" s="68"/>
      <c r="O131" s="68"/>
      <c r="P131" s="68"/>
      <c r="T131" s="335"/>
      <c r="U131" s="335"/>
      <c r="V131" s="335"/>
      <c r="W131" s="335"/>
      <c r="X131" s="335"/>
    </row>
    <row r="132" spans="2:24" ht="10.95" customHeight="1" x14ac:dyDescent="0.3">
      <c r="B132" s="331"/>
      <c r="C132" s="152"/>
      <c r="D132" s="80"/>
      <c r="E132" s="90" t="s">
        <v>13</v>
      </c>
      <c r="F132" s="66">
        <v>30</v>
      </c>
      <c r="G132" s="67">
        <v>0.75</v>
      </c>
      <c r="H132" s="67"/>
      <c r="I132" s="67"/>
      <c r="J132" s="66">
        <v>1</v>
      </c>
      <c r="K132" s="67">
        <f t="shared" si="10"/>
        <v>22.5</v>
      </c>
      <c r="L132" s="61"/>
      <c r="M132" s="61"/>
      <c r="N132" s="61"/>
      <c r="O132" s="61"/>
      <c r="P132" s="61"/>
    </row>
    <row r="133" spans="2:24" x14ac:dyDescent="0.3">
      <c r="B133" s="331"/>
      <c r="C133" s="152"/>
      <c r="D133" s="80" t="s">
        <v>202</v>
      </c>
      <c r="E133" s="90" t="s">
        <v>13</v>
      </c>
      <c r="F133" s="66">
        <v>1</v>
      </c>
      <c r="G133" s="67">
        <v>2.85</v>
      </c>
      <c r="H133" s="67"/>
      <c r="I133" s="67"/>
      <c r="J133" s="66">
        <v>1</v>
      </c>
      <c r="K133" s="67">
        <f t="shared" si="10"/>
        <v>2.85</v>
      </c>
      <c r="L133" s="68"/>
      <c r="M133" s="68"/>
      <c r="N133" s="68"/>
      <c r="O133" s="68"/>
      <c r="P133" s="68"/>
    </row>
    <row r="134" spans="2:24" ht="12" x14ac:dyDescent="0.3">
      <c r="B134" s="331"/>
      <c r="C134" s="152"/>
      <c r="D134" s="81"/>
      <c r="E134" s="90" t="s">
        <v>13</v>
      </c>
      <c r="F134" s="66">
        <v>2</v>
      </c>
      <c r="G134" s="67">
        <v>0.6</v>
      </c>
      <c r="H134" s="67"/>
      <c r="I134" s="67"/>
      <c r="J134" s="66">
        <v>1</v>
      </c>
      <c r="K134" s="67">
        <f t="shared" si="10"/>
        <v>1.2</v>
      </c>
      <c r="L134" s="61"/>
      <c r="M134" s="61"/>
      <c r="N134" s="61"/>
      <c r="O134" s="61"/>
      <c r="P134" s="337"/>
    </row>
    <row r="135" spans="2:24" x14ac:dyDescent="0.3">
      <c r="B135" s="331"/>
      <c r="C135" s="152"/>
      <c r="D135" s="80" t="s">
        <v>179</v>
      </c>
      <c r="E135" s="90" t="s">
        <v>13</v>
      </c>
      <c r="F135" s="66">
        <v>2</v>
      </c>
      <c r="G135" s="67">
        <v>0.85</v>
      </c>
      <c r="H135" s="67"/>
      <c r="I135" s="67"/>
      <c r="J135" s="66">
        <v>1</v>
      </c>
      <c r="K135" s="67">
        <f t="shared" si="10"/>
        <v>1.7</v>
      </c>
      <c r="L135" s="168"/>
      <c r="M135" s="68"/>
      <c r="N135" s="68"/>
      <c r="O135" s="68"/>
      <c r="P135" s="68"/>
    </row>
    <row r="136" spans="2:24" x14ac:dyDescent="0.3">
      <c r="B136" s="331"/>
      <c r="C136" s="152"/>
      <c r="D136" s="80"/>
      <c r="E136" s="90" t="s">
        <v>13</v>
      </c>
      <c r="F136" s="66">
        <v>6</v>
      </c>
      <c r="G136" s="67">
        <v>0.75</v>
      </c>
      <c r="H136" s="67"/>
      <c r="I136" s="67"/>
      <c r="J136" s="66">
        <v>1</v>
      </c>
      <c r="K136" s="67">
        <f t="shared" si="10"/>
        <v>4.5</v>
      </c>
      <c r="L136" s="334"/>
      <c r="M136" s="61"/>
      <c r="N136" s="61"/>
      <c r="O136" s="61"/>
      <c r="P136" s="61"/>
    </row>
    <row r="137" spans="2:24" x14ac:dyDescent="0.3">
      <c r="C137" s="152"/>
      <c r="D137" s="81" t="s">
        <v>138</v>
      </c>
      <c r="E137" s="73"/>
      <c r="F137" s="82"/>
      <c r="G137" s="52"/>
      <c r="H137" s="52"/>
      <c r="I137" s="52"/>
      <c r="J137" s="62"/>
      <c r="K137" s="61"/>
      <c r="L137" s="60"/>
      <c r="M137" s="100"/>
      <c r="N137" s="100"/>
      <c r="O137" s="100"/>
      <c r="P137" s="100"/>
    </row>
    <row r="138" spans="2:24" x14ac:dyDescent="0.3">
      <c r="C138" s="152"/>
      <c r="D138" s="80" t="s">
        <v>211</v>
      </c>
      <c r="E138" s="90" t="s">
        <v>13</v>
      </c>
      <c r="F138" s="66">
        <v>1</v>
      </c>
      <c r="G138" s="67">
        <v>3.55</v>
      </c>
      <c r="H138" s="67"/>
      <c r="I138" s="67"/>
      <c r="J138" s="66">
        <v>1</v>
      </c>
      <c r="K138" s="67">
        <f t="shared" ref="K138:K145" si="11">F138*J138*G138</f>
        <v>3.55</v>
      </c>
      <c r="L138" s="60"/>
      <c r="M138" s="100"/>
      <c r="N138" s="100"/>
      <c r="O138" s="100"/>
      <c r="P138" s="100"/>
    </row>
    <row r="139" spans="2:24" x14ac:dyDescent="0.3">
      <c r="C139" s="152"/>
      <c r="D139" s="81"/>
      <c r="E139" s="90" t="s">
        <v>13</v>
      </c>
      <c r="F139" s="66">
        <v>1</v>
      </c>
      <c r="G139" s="67">
        <v>0.6</v>
      </c>
      <c r="H139" s="67"/>
      <c r="I139" s="67"/>
      <c r="J139" s="66">
        <v>1</v>
      </c>
      <c r="K139" s="67">
        <f t="shared" si="11"/>
        <v>0.6</v>
      </c>
      <c r="L139" s="55"/>
      <c r="M139" s="55"/>
      <c r="N139" s="55"/>
      <c r="O139" s="55"/>
      <c r="P139" s="55"/>
    </row>
    <row r="140" spans="2:24" x14ac:dyDescent="0.3">
      <c r="C140" s="152"/>
      <c r="D140" s="80" t="s">
        <v>179</v>
      </c>
      <c r="E140" s="90" t="s">
        <v>13</v>
      </c>
      <c r="F140" s="66">
        <v>1</v>
      </c>
      <c r="G140" s="67">
        <v>0.85</v>
      </c>
      <c r="H140" s="67"/>
      <c r="I140" s="67"/>
      <c r="J140" s="66">
        <v>1</v>
      </c>
      <c r="K140" s="67">
        <f t="shared" si="11"/>
        <v>0.85</v>
      </c>
      <c r="L140" s="61"/>
      <c r="M140" s="61"/>
      <c r="N140" s="61"/>
      <c r="O140" s="61"/>
      <c r="P140" s="61"/>
    </row>
    <row r="141" spans="2:24" x14ac:dyDescent="0.3">
      <c r="C141" s="152"/>
      <c r="D141" s="80"/>
      <c r="E141" s="90" t="s">
        <v>13</v>
      </c>
      <c r="F141" s="66">
        <v>4</v>
      </c>
      <c r="G141" s="67">
        <v>0.75</v>
      </c>
      <c r="H141" s="67"/>
      <c r="I141" s="67"/>
      <c r="J141" s="66">
        <v>1</v>
      </c>
      <c r="K141" s="67">
        <f t="shared" si="11"/>
        <v>3</v>
      </c>
      <c r="L141" s="71"/>
      <c r="M141" s="61"/>
      <c r="N141" s="61"/>
      <c r="O141" s="61"/>
      <c r="P141" s="61"/>
    </row>
    <row r="142" spans="2:24" x14ac:dyDescent="0.3">
      <c r="C142" s="152"/>
      <c r="D142" s="80" t="s">
        <v>206</v>
      </c>
      <c r="E142" s="90" t="s">
        <v>13</v>
      </c>
      <c r="F142" s="66">
        <v>1</v>
      </c>
      <c r="G142" s="67">
        <v>5.89</v>
      </c>
      <c r="H142" s="67"/>
      <c r="I142" s="67"/>
      <c r="J142" s="66">
        <v>1</v>
      </c>
      <c r="K142" s="67">
        <f t="shared" si="11"/>
        <v>5.89</v>
      </c>
      <c r="L142" s="70"/>
      <c r="M142" s="68"/>
      <c r="N142" s="68"/>
      <c r="O142" s="68"/>
      <c r="P142" s="68"/>
    </row>
    <row r="143" spans="2:24" x14ac:dyDescent="0.3">
      <c r="C143" s="152"/>
      <c r="D143" s="81"/>
      <c r="E143" s="90" t="s">
        <v>13</v>
      </c>
      <c r="F143" s="66">
        <v>0</v>
      </c>
      <c r="G143" s="67">
        <v>0.6</v>
      </c>
      <c r="H143" s="67"/>
      <c r="I143" s="67"/>
      <c r="J143" s="66">
        <v>1</v>
      </c>
      <c r="K143" s="67">
        <f t="shared" si="11"/>
        <v>0</v>
      </c>
      <c r="L143" s="71"/>
      <c r="M143" s="61"/>
      <c r="N143" s="61"/>
      <c r="O143" s="61"/>
      <c r="P143" s="61"/>
    </row>
    <row r="144" spans="2:24" x14ac:dyDescent="0.3">
      <c r="C144" s="152"/>
      <c r="D144" s="80" t="s">
        <v>179</v>
      </c>
      <c r="E144" s="90" t="s">
        <v>13</v>
      </c>
      <c r="F144" s="66">
        <v>0</v>
      </c>
      <c r="G144" s="67">
        <v>0.85</v>
      </c>
      <c r="H144" s="67"/>
      <c r="I144" s="67"/>
      <c r="J144" s="66">
        <v>1</v>
      </c>
      <c r="K144" s="67">
        <f t="shared" si="11"/>
        <v>0</v>
      </c>
      <c r="L144" s="70"/>
      <c r="M144" s="68"/>
      <c r="N144" s="68"/>
      <c r="O144" s="68"/>
      <c r="P144" s="68"/>
    </row>
    <row r="145" spans="3:16" x14ac:dyDescent="0.3">
      <c r="C145" s="152"/>
      <c r="D145" s="80"/>
      <c r="E145" s="90" t="s">
        <v>13</v>
      </c>
      <c r="F145" s="66">
        <v>10</v>
      </c>
      <c r="G145" s="67">
        <v>0.75</v>
      </c>
      <c r="H145" s="67"/>
      <c r="I145" s="67"/>
      <c r="J145" s="66">
        <v>1</v>
      </c>
      <c r="K145" s="67">
        <f t="shared" si="11"/>
        <v>7.5</v>
      </c>
      <c r="L145" s="70"/>
      <c r="M145" s="68"/>
      <c r="N145" s="68"/>
      <c r="O145" s="68"/>
      <c r="P145" s="68"/>
    </row>
    <row r="146" spans="3:16" x14ac:dyDescent="0.3">
      <c r="C146" s="152"/>
      <c r="D146" s="75"/>
      <c r="E146" s="73"/>
      <c r="F146" s="82"/>
      <c r="G146" s="52"/>
      <c r="H146" s="52"/>
      <c r="I146" s="52"/>
      <c r="J146" s="62"/>
      <c r="K146" s="61"/>
      <c r="L146" s="70"/>
      <c r="M146" s="68"/>
      <c r="N146" s="68"/>
      <c r="O146" s="68"/>
      <c r="P146" s="68"/>
    </row>
    <row r="147" spans="3:16" x14ac:dyDescent="0.3">
      <c r="C147" s="152"/>
      <c r="D147" s="75" t="s">
        <v>144</v>
      </c>
      <c r="E147" s="73"/>
      <c r="F147" s="82"/>
      <c r="G147" s="52"/>
      <c r="H147" s="52"/>
      <c r="I147" s="52"/>
      <c r="J147" s="62"/>
      <c r="K147" s="61"/>
      <c r="L147" s="71"/>
      <c r="M147" s="61"/>
      <c r="N147" s="61"/>
      <c r="O147" s="61"/>
      <c r="P147" s="61"/>
    </row>
    <row r="148" spans="3:16" x14ac:dyDescent="0.3">
      <c r="C148" s="152"/>
      <c r="D148" s="81" t="s">
        <v>115</v>
      </c>
      <c r="E148" s="73"/>
      <c r="F148" s="82"/>
      <c r="G148" s="52"/>
      <c r="H148" s="52"/>
      <c r="I148" s="52"/>
      <c r="J148" s="62"/>
      <c r="K148" s="61"/>
      <c r="L148" s="70"/>
      <c r="M148" s="70"/>
      <c r="N148" s="68"/>
      <c r="O148" s="68"/>
      <c r="P148" s="68"/>
    </row>
    <row r="149" spans="3:16" x14ac:dyDescent="0.3">
      <c r="C149" s="152"/>
      <c r="D149" s="80" t="s">
        <v>209</v>
      </c>
      <c r="E149" s="90" t="s">
        <v>13</v>
      </c>
      <c r="F149" s="66">
        <v>2</v>
      </c>
      <c r="G149" s="67">
        <v>1.3</v>
      </c>
      <c r="H149" s="67"/>
      <c r="I149" s="67"/>
      <c r="J149" s="66">
        <v>1</v>
      </c>
      <c r="K149" s="67">
        <f>F149*J149*G149</f>
        <v>2.6</v>
      </c>
      <c r="L149" s="71"/>
      <c r="M149" s="61"/>
      <c r="N149" s="61"/>
      <c r="O149" s="61"/>
      <c r="P149" s="61"/>
    </row>
    <row r="150" spans="3:16" x14ac:dyDescent="0.3">
      <c r="C150" s="152"/>
      <c r="D150" s="80" t="s">
        <v>210</v>
      </c>
      <c r="E150" s="90" t="s">
        <v>13</v>
      </c>
      <c r="F150" s="66">
        <v>2</v>
      </c>
      <c r="G150" s="67">
        <v>1.3</v>
      </c>
      <c r="H150" s="67"/>
      <c r="I150" s="67"/>
      <c r="J150" s="66">
        <v>1</v>
      </c>
      <c r="K150" s="67">
        <f>F150*J150*G150</f>
        <v>2.6</v>
      </c>
      <c r="L150" s="70"/>
      <c r="M150" s="68"/>
      <c r="N150" s="68"/>
      <c r="O150" s="68"/>
      <c r="P150" s="68"/>
    </row>
    <row r="151" spans="3:16" x14ac:dyDescent="0.3">
      <c r="C151" s="152"/>
      <c r="D151" s="81" t="s">
        <v>139</v>
      </c>
      <c r="E151" s="73"/>
      <c r="F151" s="82"/>
      <c r="G151" s="52"/>
      <c r="H151" s="52"/>
      <c r="I151" s="52"/>
      <c r="J151" s="62"/>
      <c r="K151" s="61"/>
      <c r="L151" s="70"/>
      <c r="M151" s="68"/>
      <c r="N151" s="68"/>
      <c r="O151" s="68"/>
      <c r="P151" s="68"/>
    </row>
    <row r="152" spans="3:16" x14ac:dyDescent="0.3">
      <c r="C152" s="152"/>
      <c r="D152" s="80" t="s">
        <v>212</v>
      </c>
      <c r="E152" s="90" t="s">
        <v>13</v>
      </c>
      <c r="F152" s="66">
        <v>2</v>
      </c>
      <c r="G152" s="67">
        <v>1</v>
      </c>
      <c r="H152" s="67"/>
      <c r="I152" s="67"/>
      <c r="J152" s="66">
        <v>1</v>
      </c>
      <c r="K152" s="67">
        <f>F152*J152*G152</f>
        <v>2</v>
      </c>
      <c r="L152" s="70"/>
      <c r="M152" s="68"/>
      <c r="N152" s="68"/>
      <c r="O152" s="68"/>
      <c r="P152" s="68"/>
    </row>
    <row r="153" spans="3:16" x14ac:dyDescent="0.3">
      <c r="C153" s="152"/>
      <c r="D153" s="80" t="s">
        <v>200</v>
      </c>
      <c r="E153" s="90" t="s">
        <v>13</v>
      </c>
      <c r="F153" s="66">
        <v>2</v>
      </c>
      <c r="G153" s="67">
        <v>0.9</v>
      </c>
      <c r="H153" s="67"/>
      <c r="I153" s="67"/>
      <c r="J153" s="66">
        <v>1</v>
      </c>
      <c r="K153" s="67">
        <f t="shared" ref="K153" si="12">F153*J153*G153</f>
        <v>1.8</v>
      </c>
      <c r="L153" s="71"/>
      <c r="M153" s="61"/>
      <c r="N153" s="61"/>
      <c r="O153" s="61"/>
      <c r="P153" s="61"/>
    </row>
    <row r="154" spans="3:16" x14ac:dyDescent="0.3">
      <c r="C154" s="152"/>
      <c r="D154" s="81" t="s">
        <v>138</v>
      </c>
      <c r="E154" s="73"/>
      <c r="F154" s="82"/>
      <c r="G154" s="52"/>
      <c r="H154" s="52"/>
      <c r="I154" s="52"/>
      <c r="J154" s="62"/>
      <c r="K154" s="61"/>
      <c r="L154" s="70"/>
      <c r="M154" s="68"/>
      <c r="N154" s="68"/>
      <c r="O154" s="68"/>
      <c r="P154" s="68"/>
    </row>
    <row r="155" spans="3:16" x14ac:dyDescent="0.3">
      <c r="C155" s="152"/>
      <c r="D155" s="80" t="s">
        <v>212</v>
      </c>
      <c r="E155" s="90" t="s">
        <v>13</v>
      </c>
      <c r="F155" s="66">
        <v>2</v>
      </c>
      <c r="G155" s="67">
        <v>1</v>
      </c>
      <c r="H155" s="67"/>
      <c r="I155" s="67"/>
      <c r="J155" s="66">
        <v>1</v>
      </c>
      <c r="K155" s="67">
        <f>F155*J155*G155</f>
        <v>2</v>
      </c>
      <c r="L155" s="70"/>
      <c r="M155" s="68"/>
      <c r="N155" s="68"/>
      <c r="O155" s="68"/>
      <c r="P155" s="68"/>
    </row>
    <row r="156" spans="3:16" x14ac:dyDescent="0.3">
      <c r="C156" s="56"/>
      <c r="D156" s="94"/>
      <c r="E156" s="58"/>
      <c r="F156" s="59"/>
      <c r="G156" s="60"/>
      <c r="H156" s="60"/>
      <c r="I156" s="60"/>
      <c r="J156" s="62"/>
      <c r="K156" s="61"/>
      <c r="L156" s="71"/>
      <c r="M156" s="61"/>
      <c r="N156" s="61"/>
      <c r="O156" s="61"/>
      <c r="P156" s="61"/>
    </row>
  </sheetData>
  <autoFilter ref="C16:P20" xr:uid="{00000000-0009-0000-0000-000003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rintOptions gridLines="1"/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etrado7" filterMode="1"/>
  <dimension ref="A1:AD140"/>
  <sheetViews>
    <sheetView view="pageBreakPreview" zoomScaleNormal="85" zoomScaleSheetLayoutView="100" workbookViewId="0">
      <selection activeCell="D57" sqref="D57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131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9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30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30" s="283" customFormat="1" ht="13.2" x14ac:dyDescent="0.3">
      <c r="A18" s="276"/>
      <c r="B18" s="277"/>
      <c r="C18" s="307">
        <v>1</v>
      </c>
      <c r="D18" s="278" t="s">
        <v>131</v>
      </c>
      <c r="E18" s="318"/>
      <c r="F18" s="319"/>
      <c r="G18" s="310"/>
      <c r="H18" s="310"/>
      <c r="I18" s="310"/>
      <c r="J18" s="280"/>
      <c r="K18" s="281"/>
      <c r="L18" s="281"/>
      <c r="M18" s="186"/>
      <c r="N18" s="186"/>
      <c r="O18" s="186"/>
      <c r="P18" s="186"/>
    </row>
    <row r="19" spans="1:30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59"/>
      <c r="K19" s="60"/>
      <c r="L19" s="60"/>
      <c r="M19" s="129"/>
      <c r="N19" s="129"/>
      <c r="O19" s="129"/>
      <c r="P19" s="129"/>
    </row>
    <row r="20" spans="1:30" s="130" customFormat="1" x14ac:dyDescent="0.2">
      <c r="A20" s="123"/>
      <c r="B20" s="124"/>
      <c r="C20" s="452" t="s">
        <v>395</v>
      </c>
      <c r="D20" s="453" t="s">
        <v>386</v>
      </c>
      <c r="E20" s="88"/>
      <c r="F20" s="51"/>
      <c r="G20" s="52"/>
      <c r="H20" s="52"/>
      <c r="I20" s="52"/>
      <c r="J20" s="59"/>
      <c r="K20" s="60"/>
      <c r="L20" s="60"/>
      <c r="M20" s="129"/>
      <c r="N20" s="129"/>
      <c r="O20" s="129"/>
      <c r="P20" s="129"/>
    </row>
    <row r="21" spans="1:30" s="130" customFormat="1" x14ac:dyDescent="0.2">
      <c r="A21" s="123"/>
      <c r="B21" s="124"/>
      <c r="C21" s="442" t="s">
        <v>398</v>
      </c>
      <c r="D21" s="443" t="s">
        <v>384</v>
      </c>
      <c r="E21" s="444" t="s">
        <v>12</v>
      </c>
      <c r="F21" s="4"/>
      <c r="G21" s="5"/>
      <c r="H21" s="5"/>
      <c r="I21" s="5"/>
      <c r="J21" s="7"/>
      <c r="K21" s="445"/>
      <c r="L21" s="445"/>
      <c r="M21" s="129"/>
      <c r="N21" s="129"/>
      <c r="O21" s="129"/>
      <c r="P21" s="445">
        <f>SUM(L23:L26)</f>
        <v>99.484000000000009</v>
      </c>
    </row>
    <row r="22" spans="1:30" s="130" customFormat="1" x14ac:dyDescent="0.2">
      <c r="A22" s="123"/>
      <c r="B22" s="124"/>
      <c r="C22" s="6"/>
      <c r="D22" s="19" t="s">
        <v>111</v>
      </c>
      <c r="E22" s="446"/>
      <c r="F22" s="7"/>
      <c r="G22" s="8"/>
      <c r="H22" s="8"/>
      <c r="I22" s="8"/>
      <c r="J22" s="7"/>
      <c r="K22" s="9"/>
      <c r="L22" s="9"/>
      <c r="M22" s="129"/>
      <c r="N22" s="129"/>
      <c r="O22" s="129"/>
      <c r="P22" s="129"/>
    </row>
    <row r="23" spans="1:30" s="130" customFormat="1" x14ac:dyDescent="0.2">
      <c r="A23" s="123"/>
      <c r="B23" s="124"/>
      <c r="C23" s="10"/>
      <c r="D23" s="447" t="s">
        <v>385</v>
      </c>
      <c r="E23" s="448" t="s">
        <v>12</v>
      </c>
      <c r="F23" s="449">
        <v>8</v>
      </c>
      <c r="G23" s="450">
        <v>1.1399999999999999</v>
      </c>
      <c r="H23" s="450"/>
      <c r="I23" s="450">
        <f>6.25-1</f>
        <v>5.25</v>
      </c>
      <c r="J23" s="449">
        <v>1</v>
      </c>
      <c r="K23" s="451"/>
      <c r="L23" s="451">
        <f t="shared" ref="L23:L26" si="0">IF(F23="","",PRODUCT(F23:J23))</f>
        <v>47.879999999999995</v>
      </c>
      <c r="M23" s="129"/>
      <c r="N23" s="129"/>
      <c r="O23" s="129"/>
      <c r="P23" s="129"/>
    </row>
    <row r="24" spans="1:30" s="130" customFormat="1" x14ac:dyDescent="0.2">
      <c r="A24" s="123"/>
      <c r="B24" s="124"/>
      <c r="C24" s="10"/>
      <c r="D24" s="447"/>
      <c r="E24" s="448" t="s">
        <v>12</v>
      </c>
      <c r="F24" s="449">
        <v>4</v>
      </c>
      <c r="G24" s="450">
        <v>0.95</v>
      </c>
      <c r="H24" s="450"/>
      <c r="I24" s="450">
        <f>6.25-1</f>
        <v>5.25</v>
      </c>
      <c r="J24" s="449">
        <v>1</v>
      </c>
      <c r="K24" s="451"/>
      <c r="L24" s="451">
        <f t="shared" si="0"/>
        <v>19.95</v>
      </c>
      <c r="M24" s="129"/>
      <c r="N24" s="129"/>
      <c r="O24" s="129"/>
      <c r="P24" s="129"/>
    </row>
    <row r="25" spans="1:30" s="130" customFormat="1" x14ac:dyDescent="0.2">
      <c r="A25" s="123"/>
      <c r="B25" s="124"/>
      <c r="C25" s="10"/>
      <c r="D25" s="447"/>
      <c r="E25" s="448" t="s">
        <v>12</v>
      </c>
      <c r="F25" s="449">
        <v>4</v>
      </c>
      <c r="G25" s="450">
        <v>1.1399999999999999</v>
      </c>
      <c r="H25" s="450"/>
      <c r="I25" s="450">
        <f>6.25-1-0.35</f>
        <v>4.9000000000000004</v>
      </c>
      <c r="J25" s="449">
        <v>1</v>
      </c>
      <c r="K25" s="451"/>
      <c r="L25" s="451">
        <f t="shared" si="0"/>
        <v>22.344000000000001</v>
      </c>
      <c r="M25" s="129"/>
      <c r="N25" s="129"/>
      <c r="O25" s="129"/>
      <c r="P25" s="129"/>
    </row>
    <row r="26" spans="1:30" s="130" customFormat="1" x14ac:dyDescent="0.2">
      <c r="A26" s="123"/>
      <c r="B26" s="124"/>
      <c r="C26" s="10"/>
      <c r="D26" s="447"/>
      <c r="E26" s="448" t="s">
        <v>12</v>
      </c>
      <c r="F26" s="449">
        <v>2</v>
      </c>
      <c r="G26" s="450">
        <v>0.95</v>
      </c>
      <c r="H26" s="450"/>
      <c r="I26" s="450">
        <f>6.25-1-0.35</f>
        <v>4.9000000000000004</v>
      </c>
      <c r="J26" s="449">
        <v>1</v>
      </c>
      <c r="K26" s="451"/>
      <c r="L26" s="451">
        <f t="shared" si="0"/>
        <v>9.31</v>
      </c>
      <c r="M26" s="129"/>
      <c r="N26" s="129"/>
      <c r="O26" s="129"/>
      <c r="P26" s="129"/>
    </row>
    <row r="27" spans="1:30" s="130" customFormat="1" x14ac:dyDescent="0.2">
      <c r="A27" s="123"/>
      <c r="B27" s="124"/>
      <c r="C27" s="125"/>
      <c r="D27" s="126"/>
      <c r="E27" s="88"/>
      <c r="F27" s="51"/>
      <c r="G27" s="52"/>
      <c r="H27" s="52"/>
      <c r="I27" s="52"/>
      <c r="J27" s="59"/>
      <c r="K27" s="60"/>
      <c r="L27" s="60"/>
      <c r="M27" s="129"/>
      <c r="N27" s="129"/>
      <c r="O27" s="129"/>
      <c r="P27" s="129"/>
    </row>
    <row r="28" spans="1:30" s="110" customFormat="1" x14ac:dyDescent="0.2">
      <c r="A28" s="107">
        <v>2</v>
      </c>
      <c r="B28" s="108"/>
      <c r="C28" s="97" t="s">
        <v>423</v>
      </c>
      <c r="D28" s="98" t="s">
        <v>28</v>
      </c>
      <c r="E28" s="88"/>
      <c r="F28" s="51"/>
      <c r="G28" s="52"/>
      <c r="H28" s="52"/>
      <c r="I28" s="52"/>
      <c r="J28" s="59"/>
      <c r="K28" s="60"/>
      <c r="L28" s="60"/>
      <c r="M28" s="100"/>
      <c r="N28" s="100"/>
      <c r="O28" s="100"/>
      <c r="P28" s="100"/>
    </row>
    <row r="29" spans="1:30" x14ac:dyDescent="0.2">
      <c r="C29" s="48" t="s">
        <v>424</v>
      </c>
      <c r="D29" s="77" t="s">
        <v>158</v>
      </c>
      <c r="E29" s="58" t="s">
        <v>14</v>
      </c>
      <c r="F29" s="69"/>
      <c r="G29" s="67"/>
      <c r="H29" s="67"/>
      <c r="I29" s="67"/>
      <c r="J29" s="69"/>
      <c r="K29" s="68"/>
      <c r="L29" s="157"/>
      <c r="M29" s="157"/>
      <c r="N29" s="157"/>
      <c r="O29" s="157"/>
      <c r="P29" s="55">
        <f>SUM(O29:O33)</f>
        <v>4</v>
      </c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158"/>
      <c r="AC29" s="158"/>
      <c r="AD29" s="158"/>
    </row>
    <row r="30" spans="1:30" ht="20.399999999999999" x14ac:dyDescent="0.2">
      <c r="C30" s="48"/>
      <c r="D30" s="83" t="s">
        <v>166</v>
      </c>
      <c r="E30" s="50"/>
      <c r="F30" s="154"/>
      <c r="G30" s="52"/>
      <c r="H30" s="52"/>
      <c r="I30" s="52"/>
      <c r="J30" s="155"/>
      <c r="K30" s="138"/>
      <c r="L30" s="138"/>
      <c r="M30" s="138"/>
      <c r="N30" s="138"/>
      <c r="O30" s="138"/>
      <c r="P30" s="157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</row>
    <row r="31" spans="1:30" x14ac:dyDescent="0.2">
      <c r="C31" s="26"/>
      <c r="D31" s="79" t="s">
        <v>140</v>
      </c>
      <c r="E31" s="73"/>
      <c r="F31" s="82"/>
      <c r="G31" s="52"/>
      <c r="H31" s="52"/>
      <c r="I31" s="52"/>
      <c r="J31" s="62"/>
      <c r="K31" s="61"/>
      <c r="L31" s="61"/>
      <c r="M31" s="61"/>
      <c r="N31" s="61"/>
      <c r="O31" s="61"/>
      <c r="P31" s="157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</row>
    <row r="32" spans="1:30" x14ac:dyDescent="0.2">
      <c r="C32" s="26"/>
      <c r="D32" s="80" t="s">
        <v>217</v>
      </c>
      <c r="E32" s="65" t="s">
        <v>14</v>
      </c>
      <c r="F32" s="69">
        <v>2</v>
      </c>
      <c r="G32" s="67"/>
      <c r="H32" s="67"/>
      <c r="I32" s="67"/>
      <c r="J32" s="66">
        <v>2</v>
      </c>
      <c r="K32" s="68"/>
      <c r="L32" s="68"/>
      <c r="M32" s="68"/>
      <c r="N32" s="68"/>
      <c r="O32" s="68">
        <f t="shared" ref="O32" si="1">IF(F32="","",PRODUCT(F32:J32))</f>
        <v>4</v>
      </c>
      <c r="P32" s="157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158"/>
      <c r="AC32" s="158"/>
      <c r="AD32" s="158"/>
    </row>
    <row r="33" spans="1:30" x14ac:dyDescent="0.2">
      <c r="C33" s="26"/>
      <c r="D33" s="80"/>
      <c r="E33" s="65"/>
      <c r="F33" s="69"/>
      <c r="G33" s="67"/>
      <c r="H33" s="67"/>
      <c r="I33" s="67"/>
      <c r="J33" s="66"/>
      <c r="K33" s="68"/>
      <c r="L33" s="68"/>
      <c r="M33" s="68"/>
      <c r="N33" s="68"/>
      <c r="O33" s="68"/>
      <c r="P33" s="157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158"/>
      <c r="AB33" s="158"/>
      <c r="AC33" s="158"/>
      <c r="AD33" s="158"/>
    </row>
    <row r="34" spans="1:30" x14ac:dyDescent="0.3">
      <c r="A34" s="104">
        <v>3</v>
      </c>
      <c r="B34" s="331"/>
      <c r="C34" s="48" t="s">
        <v>425</v>
      </c>
      <c r="D34" s="77" t="s">
        <v>159</v>
      </c>
      <c r="E34" s="88"/>
      <c r="F34" s="332"/>
      <c r="G34" s="333"/>
      <c r="H34" s="52"/>
      <c r="I34" s="52"/>
      <c r="J34" s="62"/>
      <c r="K34" s="61"/>
      <c r="L34" s="334"/>
      <c r="M34" s="68"/>
      <c r="N34" s="68"/>
      <c r="O34" s="68"/>
      <c r="P34" s="55">
        <f>SUM(O34:O44)</f>
        <v>11</v>
      </c>
      <c r="T34" s="335"/>
      <c r="U34" s="335"/>
      <c r="V34" s="335"/>
      <c r="W34" s="335"/>
      <c r="X34" s="335"/>
    </row>
    <row r="35" spans="1:30" x14ac:dyDescent="0.3">
      <c r="C35" s="63"/>
      <c r="D35" s="83" t="s">
        <v>25</v>
      </c>
      <c r="E35" s="50" t="s">
        <v>12</v>
      </c>
      <c r="F35" s="51"/>
      <c r="G35" s="52"/>
      <c r="H35" s="52"/>
      <c r="I35" s="53"/>
      <c r="J35" s="54"/>
      <c r="K35" s="55"/>
      <c r="L35" s="55"/>
      <c r="M35" s="55"/>
      <c r="N35" s="55"/>
      <c r="O35" s="61"/>
      <c r="P35" s="68"/>
    </row>
    <row r="36" spans="1:30" x14ac:dyDescent="0.3">
      <c r="C36" s="63"/>
      <c r="D36" s="79" t="s">
        <v>112</v>
      </c>
      <c r="E36" s="73"/>
      <c r="F36" s="82"/>
      <c r="G36" s="52"/>
      <c r="H36" s="52"/>
      <c r="I36" s="52"/>
      <c r="J36" s="62"/>
      <c r="K36" s="61"/>
      <c r="L36" s="61"/>
      <c r="M36" s="61"/>
      <c r="N36" s="61"/>
      <c r="O36" s="68" t="str">
        <f t="shared" ref="O36:O39" si="2">IF(F36="","",PRODUCT(F36:J36))</f>
        <v/>
      </c>
      <c r="P36" s="68"/>
    </row>
    <row r="37" spans="1:30" x14ac:dyDescent="0.3">
      <c r="C37" s="63"/>
      <c r="D37" s="80" t="s">
        <v>213</v>
      </c>
      <c r="E37" s="65" t="s">
        <v>12</v>
      </c>
      <c r="F37" s="66">
        <v>1</v>
      </c>
      <c r="G37" s="67"/>
      <c r="H37" s="67"/>
      <c r="I37" s="67"/>
      <c r="J37" s="66">
        <v>1</v>
      </c>
      <c r="K37" s="68"/>
      <c r="L37" s="68"/>
      <c r="M37" s="68"/>
      <c r="N37" s="68"/>
      <c r="O37" s="68">
        <f t="shared" si="2"/>
        <v>1</v>
      </c>
      <c r="P37" s="68"/>
    </row>
    <row r="38" spans="1:30" x14ac:dyDescent="0.3">
      <c r="C38" s="63"/>
      <c r="D38" s="79" t="s">
        <v>107</v>
      </c>
      <c r="E38" s="73"/>
      <c r="F38" s="82"/>
      <c r="G38" s="52"/>
      <c r="H38" s="52"/>
      <c r="I38" s="52"/>
      <c r="J38" s="62"/>
      <c r="K38" s="61"/>
      <c r="L38" s="61"/>
      <c r="M38" s="61"/>
      <c r="N38" s="61"/>
      <c r="O38" s="68" t="str">
        <f t="shared" si="2"/>
        <v/>
      </c>
      <c r="P38" s="68"/>
    </row>
    <row r="39" spans="1:30" x14ac:dyDescent="0.3">
      <c r="C39" s="63"/>
      <c r="D39" s="80" t="s">
        <v>214</v>
      </c>
      <c r="E39" s="65" t="s">
        <v>12</v>
      </c>
      <c r="F39" s="66">
        <v>6</v>
      </c>
      <c r="G39" s="67"/>
      <c r="H39" s="67"/>
      <c r="I39" s="67"/>
      <c r="J39" s="66">
        <v>1</v>
      </c>
      <c r="K39" s="68"/>
      <c r="L39" s="68"/>
      <c r="M39" s="68"/>
      <c r="N39" s="68"/>
      <c r="O39" s="68">
        <f t="shared" si="2"/>
        <v>6</v>
      </c>
      <c r="P39" s="68"/>
    </row>
    <row r="40" spans="1:30" x14ac:dyDescent="0.2">
      <c r="C40" s="63"/>
      <c r="D40" s="77"/>
      <c r="E40" s="65"/>
      <c r="F40" s="69"/>
      <c r="G40" s="67"/>
      <c r="H40" s="67"/>
      <c r="I40" s="67"/>
      <c r="J40" s="69"/>
      <c r="K40" s="68"/>
      <c r="L40" s="157"/>
      <c r="M40" s="157"/>
      <c r="N40" s="157"/>
      <c r="O40" s="68"/>
      <c r="P40" s="68"/>
    </row>
    <row r="41" spans="1:30" ht="20.399999999999999" x14ac:dyDescent="0.3">
      <c r="C41" s="63"/>
      <c r="D41" s="83" t="s">
        <v>215</v>
      </c>
      <c r="E41" s="88" t="s">
        <v>12</v>
      </c>
      <c r="F41" s="51"/>
      <c r="G41" s="52"/>
      <c r="H41" s="52"/>
      <c r="I41" s="53"/>
      <c r="J41" s="54"/>
      <c r="K41" s="55"/>
      <c r="L41" s="55"/>
      <c r="M41" s="55"/>
      <c r="N41" s="55"/>
      <c r="O41" s="61"/>
      <c r="P41" s="68"/>
    </row>
    <row r="42" spans="1:30" x14ac:dyDescent="0.3">
      <c r="C42" s="63"/>
      <c r="D42" s="76" t="s">
        <v>111</v>
      </c>
      <c r="E42" s="88"/>
      <c r="F42" s="104"/>
      <c r="G42" s="104"/>
      <c r="H42" s="104"/>
      <c r="I42" s="104"/>
      <c r="J42" s="104"/>
      <c r="K42" s="104"/>
      <c r="L42" s="104"/>
      <c r="M42" s="104"/>
      <c r="N42" s="104"/>
      <c r="P42" s="68"/>
    </row>
    <row r="43" spans="1:30" x14ac:dyDescent="0.3">
      <c r="C43" s="63"/>
      <c r="D43" s="64" t="s">
        <v>216</v>
      </c>
      <c r="E43" s="90" t="s">
        <v>12</v>
      </c>
      <c r="F43" s="66">
        <v>2</v>
      </c>
      <c r="G43" s="67"/>
      <c r="H43" s="67"/>
      <c r="I43" s="67"/>
      <c r="J43" s="66">
        <v>2</v>
      </c>
      <c r="K43" s="68"/>
      <c r="L43" s="68"/>
      <c r="M43" s="68"/>
      <c r="N43" s="68"/>
      <c r="O43" s="68">
        <f t="shared" ref="O43" si="3">IF(F43="","",PRODUCT(F43:J43))</f>
        <v>4</v>
      </c>
      <c r="P43" s="68"/>
    </row>
    <row r="44" spans="1:30" x14ac:dyDescent="0.3">
      <c r="C44" s="63"/>
      <c r="D44" s="80"/>
      <c r="E44" s="90"/>
      <c r="F44" s="66"/>
      <c r="G44" s="67"/>
      <c r="H44" s="67"/>
      <c r="I44" s="67"/>
      <c r="J44" s="66"/>
      <c r="K44" s="67"/>
      <c r="L44" s="67"/>
      <c r="M44" s="68"/>
      <c r="N44" s="68"/>
      <c r="O44" s="68"/>
      <c r="P44" s="68"/>
    </row>
    <row r="45" spans="1:30" x14ac:dyDescent="0.3">
      <c r="C45" s="97" t="s">
        <v>426</v>
      </c>
      <c r="D45" s="97" t="s">
        <v>29</v>
      </c>
      <c r="E45" s="101"/>
      <c r="F45" s="51"/>
      <c r="G45" s="52"/>
      <c r="H45" s="52"/>
      <c r="I45" s="109"/>
      <c r="J45" s="99"/>
      <c r="K45" s="100"/>
      <c r="L45" s="100"/>
      <c r="M45" s="100"/>
      <c r="N45" s="100"/>
      <c r="O45" s="100"/>
      <c r="P45" s="100"/>
    </row>
    <row r="46" spans="1:30" x14ac:dyDescent="0.3">
      <c r="C46" s="48" t="s">
        <v>427</v>
      </c>
      <c r="D46" s="49" t="s">
        <v>160</v>
      </c>
      <c r="E46" s="50" t="s">
        <v>13</v>
      </c>
      <c r="F46" s="51"/>
      <c r="G46" s="52"/>
      <c r="H46" s="52"/>
      <c r="I46" s="53"/>
      <c r="J46" s="54"/>
      <c r="K46" s="55"/>
      <c r="L46" s="55"/>
      <c r="M46" s="55"/>
      <c r="N46" s="55"/>
      <c r="O46" s="55"/>
      <c r="P46" s="55">
        <f>SUM(K46:K55)</f>
        <v>679.7700000000001</v>
      </c>
    </row>
    <row r="47" spans="1:30" s="150" customFormat="1" x14ac:dyDescent="0.2">
      <c r="A47" s="184"/>
      <c r="B47" s="149"/>
      <c r="C47" s="180"/>
      <c r="D47" s="80" t="s">
        <v>140</v>
      </c>
      <c r="E47" s="65" t="s">
        <v>13</v>
      </c>
      <c r="F47" s="69">
        <v>8</v>
      </c>
      <c r="G47" s="67">
        <f>(2*1.5)+0.15</f>
        <v>3.15</v>
      </c>
      <c r="H47" s="67"/>
      <c r="I47" s="67"/>
      <c r="J47" s="69">
        <v>1</v>
      </c>
      <c r="K47" s="68">
        <f>PRODUCT(F47:J47)</f>
        <v>25.2</v>
      </c>
      <c r="L47" s="181"/>
      <c r="M47" s="182"/>
      <c r="N47" s="182"/>
      <c r="O47" s="183"/>
      <c r="P47" s="55"/>
    </row>
    <row r="48" spans="1:30" s="150" customFormat="1" ht="13.2" x14ac:dyDescent="0.2">
      <c r="A48" s="184"/>
      <c r="B48" s="149"/>
      <c r="C48" s="185"/>
      <c r="D48" s="80"/>
      <c r="E48" s="65" t="s">
        <v>13</v>
      </c>
      <c r="F48" s="69">
        <v>1</v>
      </c>
      <c r="G48" s="67">
        <f>(2*2)+0.15</f>
        <v>4.1500000000000004</v>
      </c>
      <c r="H48" s="67"/>
      <c r="I48" s="67"/>
      <c r="J48" s="69">
        <v>1</v>
      </c>
      <c r="K48" s="68">
        <f t="shared" ref="K48:K49" si="4">PRODUCT(F48:J48)</f>
        <v>4.1500000000000004</v>
      </c>
      <c r="L48" s="181"/>
      <c r="M48" s="186"/>
      <c r="N48" s="186"/>
      <c r="O48" s="186"/>
      <c r="P48" s="55"/>
    </row>
    <row r="49" spans="1:16" s="150" customFormat="1" ht="13.2" x14ac:dyDescent="0.2">
      <c r="A49" s="184"/>
      <c r="B49" s="149"/>
      <c r="C49" s="185"/>
      <c r="D49" s="187"/>
      <c r="E49" s="65" t="s">
        <v>13</v>
      </c>
      <c r="F49" s="69">
        <v>12</v>
      </c>
      <c r="G49" s="67">
        <f>2.75</f>
        <v>2.75</v>
      </c>
      <c r="H49" s="67"/>
      <c r="I49" s="67"/>
      <c r="J49" s="69">
        <v>1</v>
      </c>
      <c r="K49" s="68">
        <f t="shared" si="4"/>
        <v>33</v>
      </c>
      <c r="L49" s="181"/>
      <c r="M49" s="186"/>
      <c r="N49" s="186"/>
      <c r="O49" s="186"/>
      <c r="P49" s="55"/>
    </row>
    <row r="50" spans="1:16" s="150" customFormat="1" ht="13.2" x14ac:dyDescent="0.2">
      <c r="A50" s="184"/>
      <c r="B50" s="149"/>
      <c r="C50" s="185"/>
      <c r="D50" s="80" t="s">
        <v>111</v>
      </c>
      <c r="E50" s="65" t="s">
        <v>13</v>
      </c>
      <c r="F50" s="69">
        <v>34</v>
      </c>
      <c r="G50" s="67">
        <f>(2*3.07)+0.15</f>
        <v>6.29</v>
      </c>
      <c r="H50" s="67"/>
      <c r="I50" s="67"/>
      <c r="J50" s="69">
        <v>1</v>
      </c>
      <c r="K50" s="68">
        <f>PRODUCT(F50:J50)</f>
        <v>213.86</v>
      </c>
      <c r="L50" s="181"/>
      <c r="M50" s="186"/>
      <c r="N50" s="186"/>
      <c r="O50" s="186"/>
      <c r="P50" s="55"/>
    </row>
    <row r="51" spans="1:16" s="150" customFormat="1" x14ac:dyDescent="0.2">
      <c r="A51" s="184"/>
      <c r="B51" s="149"/>
      <c r="C51" s="187"/>
      <c r="D51" s="80" t="s">
        <v>139</v>
      </c>
      <c r="E51" s="65" t="s">
        <v>13</v>
      </c>
      <c r="F51" s="69">
        <v>22</v>
      </c>
      <c r="G51" s="67">
        <f>(2*2.17)+0.15</f>
        <v>4.49</v>
      </c>
      <c r="H51" s="67"/>
      <c r="I51" s="67"/>
      <c r="J51" s="69">
        <v>1</v>
      </c>
      <c r="K51" s="68">
        <f t="shared" ref="K51:K54" si="5">PRODUCT(F51:J51)</f>
        <v>98.78</v>
      </c>
      <c r="L51" s="181"/>
      <c r="M51" s="187"/>
      <c r="N51" s="187"/>
      <c r="O51" s="187"/>
      <c r="P51" s="55"/>
    </row>
    <row r="52" spans="1:16" s="150" customFormat="1" x14ac:dyDescent="0.2">
      <c r="A52" s="184"/>
      <c r="B52" s="149"/>
      <c r="C52" s="187"/>
      <c r="D52" s="80"/>
      <c r="E52" s="65" t="s">
        <v>13</v>
      </c>
      <c r="F52" s="69">
        <v>14</v>
      </c>
      <c r="G52" s="67">
        <f xml:space="preserve"> (2*2.92) + 0.15</f>
        <v>5.99</v>
      </c>
      <c r="H52" s="67"/>
      <c r="I52" s="67"/>
      <c r="J52" s="69">
        <v>1</v>
      </c>
      <c r="K52" s="68">
        <f t="shared" si="5"/>
        <v>83.86</v>
      </c>
      <c r="L52" s="181"/>
      <c r="M52" s="187"/>
      <c r="N52" s="187"/>
      <c r="O52" s="187"/>
      <c r="P52" s="55"/>
    </row>
    <row r="53" spans="1:16" s="150" customFormat="1" x14ac:dyDescent="0.2">
      <c r="A53" s="184"/>
      <c r="B53" s="149"/>
      <c r="C53" s="187"/>
      <c r="D53" s="80" t="s">
        <v>138</v>
      </c>
      <c r="E53" s="65" t="s">
        <v>13</v>
      </c>
      <c r="F53" s="69">
        <v>26</v>
      </c>
      <c r="G53" s="67">
        <f>(2*2.1)+0.15</f>
        <v>4.3500000000000005</v>
      </c>
      <c r="H53" s="67"/>
      <c r="I53" s="67"/>
      <c r="J53" s="69">
        <v>1</v>
      </c>
      <c r="K53" s="68">
        <f t="shared" si="5"/>
        <v>113.10000000000001</v>
      </c>
      <c r="L53" s="181"/>
      <c r="M53" s="187"/>
      <c r="N53" s="187"/>
      <c r="O53" s="187"/>
      <c r="P53" s="55"/>
    </row>
    <row r="54" spans="1:16" s="150" customFormat="1" x14ac:dyDescent="0.2">
      <c r="A54" s="184"/>
      <c r="B54" s="149"/>
      <c r="C54" s="187"/>
      <c r="D54" s="338"/>
      <c r="E54" s="65" t="s">
        <v>13</v>
      </c>
      <c r="F54" s="69">
        <v>18</v>
      </c>
      <c r="G54" s="67">
        <f xml:space="preserve"> (2*2.92) + 0.15</f>
        <v>5.99</v>
      </c>
      <c r="H54" s="67"/>
      <c r="I54" s="67"/>
      <c r="J54" s="69">
        <v>1</v>
      </c>
      <c r="K54" s="68">
        <f t="shared" si="5"/>
        <v>107.82000000000001</v>
      </c>
      <c r="L54" s="181"/>
      <c r="M54" s="187"/>
      <c r="N54" s="187"/>
      <c r="O54" s="187"/>
      <c r="P54" s="55"/>
    </row>
    <row r="55" spans="1:16" x14ac:dyDescent="0.3">
      <c r="C55" s="173"/>
      <c r="D55" s="188"/>
      <c r="E55" s="189"/>
      <c r="F55" s="92"/>
      <c r="G55" s="86"/>
      <c r="H55" s="86"/>
      <c r="I55" s="190"/>
      <c r="J55" s="166"/>
      <c r="K55" s="111"/>
      <c r="L55" s="111"/>
      <c r="M55" s="111"/>
      <c r="N55" s="111"/>
      <c r="O55" s="111"/>
      <c r="P55" s="111"/>
    </row>
    <row r="56" spans="1:16" s="110" customFormat="1" x14ac:dyDescent="0.2">
      <c r="A56" s="107">
        <v>2</v>
      </c>
      <c r="B56" s="108"/>
      <c r="C56" s="97" t="s">
        <v>428</v>
      </c>
      <c r="D56" s="98" t="s">
        <v>16</v>
      </c>
      <c r="E56" s="88"/>
      <c r="F56" s="51"/>
      <c r="G56" s="52"/>
      <c r="H56" s="52"/>
      <c r="I56" s="52"/>
      <c r="J56" s="59"/>
      <c r="K56" s="60"/>
      <c r="L56" s="60"/>
      <c r="M56" s="100"/>
      <c r="N56" s="100"/>
      <c r="O56" s="100"/>
      <c r="P56" s="100"/>
    </row>
    <row r="57" spans="1:16" x14ac:dyDescent="0.3">
      <c r="C57" s="48" t="s">
        <v>430</v>
      </c>
      <c r="D57" s="77" t="s">
        <v>372</v>
      </c>
      <c r="E57" s="88" t="s">
        <v>13</v>
      </c>
      <c r="F57" s="59"/>
      <c r="G57" s="60"/>
      <c r="H57" s="60"/>
      <c r="I57" s="60"/>
      <c r="J57" s="54"/>
      <c r="K57" s="55"/>
      <c r="L57" s="55"/>
      <c r="M57" s="55"/>
      <c r="N57" s="55"/>
      <c r="O57" s="55"/>
      <c r="P57" s="55">
        <f>SUM(K57:K140)</f>
        <v>855.85</v>
      </c>
    </row>
    <row r="58" spans="1:16" x14ac:dyDescent="0.3">
      <c r="C58" s="48"/>
      <c r="D58" s="75" t="s">
        <v>145</v>
      </c>
      <c r="E58" s="73"/>
      <c r="F58" s="82"/>
      <c r="G58" s="52"/>
      <c r="H58" s="52"/>
      <c r="I58" s="52"/>
      <c r="J58" s="62"/>
      <c r="K58" s="61"/>
      <c r="L58" s="138"/>
      <c r="M58" s="138"/>
      <c r="N58" s="138"/>
      <c r="O58" s="138"/>
      <c r="P58" s="55"/>
    </row>
    <row r="59" spans="1:16" x14ac:dyDescent="0.3">
      <c r="C59" s="87"/>
      <c r="D59" s="81" t="s">
        <v>140</v>
      </c>
      <c r="E59" s="73"/>
      <c r="F59" s="82"/>
      <c r="G59" s="52"/>
      <c r="H59" s="52"/>
      <c r="I59" s="52"/>
      <c r="J59" s="62"/>
      <c r="K59" s="61"/>
      <c r="L59" s="68"/>
      <c r="M59" s="61"/>
      <c r="N59" s="61"/>
      <c r="O59" s="61"/>
      <c r="P59" s="61"/>
    </row>
    <row r="60" spans="1:16" x14ac:dyDescent="0.3">
      <c r="C60" s="87"/>
      <c r="D60" s="80" t="s">
        <v>171</v>
      </c>
      <c r="E60" s="90" t="s">
        <v>13</v>
      </c>
      <c r="F60" s="66">
        <v>1</v>
      </c>
      <c r="G60" s="67">
        <v>2.1</v>
      </c>
      <c r="H60" s="67"/>
      <c r="I60" s="67"/>
      <c r="J60" s="66">
        <v>1</v>
      </c>
      <c r="K60" s="67">
        <f>F60*J60*G60</f>
        <v>2.1</v>
      </c>
      <c r="L60" s="68"/>
      <c r="M60" s="61"/>
      <c r="N60" s="61"/>
      <c r="O60" s="61"/>
      <c r="P60" s="61"/>
    </row>
    <row r="61" spans="1:16" x14ac:dyDescent="0.3">
      <c r="C61" s="63"/>
      <c r="D61" s="80" t="s">
        <v>212</v>
      </c>
      <c r="E61" s="90" t="s">
        <v>13</v>
      </c>
      <c r="F61" s="66">
        <v>1</v>
      </c>
      <c r="G61" s="67">
        <v>12.23</v>
      </c>
      <c r="H61" s="67"/>
      <c r="I61" s="67"/>
      <c r="J61" s="66">
        <v>1</v>
      </c>
      <c r="K61" s="67">
        <f>F61*J61*G61</f>
        <v>12.23</v>
      </c>
      <c r="L61" s="68"/>
      <c r="M61" s="61"/>
      <c r="N61" s="61"/>
      <c r="O61" s="61"/>
      <c r="P61" s="61"/>
    </row>
    <row r="62" spans="1:16" x14ac:dyDescent="0.3">
      <c r="C62" s="63"/>
      <c r="D62" s="80" t="s">
        <v>218</v>
      </c>
      <c r="E62" s="90" t="s">
        <v>13</v>
      </c>
      <c r="F62" s="66">
        <v>6</v>
      </c>
      <c r="G62" s="67">
        <v>1.5</v>
      </c>
      <c r="H62" s="67"/>
      <c r="I62" s="67"/>
      <c r="J62" s="66">
        <v>1</v>
      </c>
      <c r="K62" s="67">
        <f>F62*J62*G62</f>
        <v>9</v>
      </c>
      <c r="L62" s="68"/>
      <c r="M62" s="61"/>
      <c r="N62" s="61"/>
      <c r="O62" s="61"/>
      <c r="P62" s="61"/>
    </row>
    <row r="63" spans="1:16" x14ac:dyDescent="0.3">
      <c r="C63" s="63"/>
      <c r="D63" s="81" t="s">
        <v>115</v>
      </c>
      <c r="E63" s="73"/>
      <c r="F63" s="82"/>
      <c r="G63" s="52"/>
      <c r="H63" s="52"/>
      <c r="I63" s="52"/>
      <c r="J63" s="62"/>
      <c r="K63" s="61"/>
      <c r="L63" s="68"/>
      <c r="M63" s="61"/>
      <c r="N63" s="61"/>
      <c r="O63" s="61"/>
      <c r="P63" s="61"/>
    </row>
    <row r="64" spans="1:16" x14ac:dyDescent="0.3">
      <c r="C64" s="63"/>
      <c r="D64" s="80" t="s">
        <v>169</v>
      </c>
      <c r="E64" s="90" t="s">
        <v>13</v>
      </c>
      <c r="F64" s="66">
        <v>1</v>
      </c>
      <c r="G64" s="67">
        <f>16.18+12.89+1.79+1.2*15</f>
        <v>48.86</v>
      </c>
      <c r="H64" s="67"/>
      <c r="I64" s="67"/>
      <c r="J64" s="66">
        <v>1</v>
      </c>
      <c r="K64" s="67">
        <f>F64*J64*G64</f>
        <v>48.86</v>
      </c>
      <c r="L64" s="68"/>
      <c r="M64" s="61"/>
      <c r="N64" s="61"/>
      <c r="O64" s="61"/>
      <c r="P64" s="61"/>
    </row>
    <row r="65" spans="3:16" x14ac:dyDescent="0.3">
      <c r="C65" s="63"/>
      <c r="D65" s="80" t="s">
        <v>170</v>
      </c>
      <c r="E65" s="90" t="s">
        <v>13</v>
      </c>
      <c r="F65" s="66">
        <f>6+4*15</f>
        <v>66</v>
      </c>
      <c r="G65" s="67">
        <v>1.2</v>
      </c>
      <c r="H65" s="67"/>
      <c r="I65" s="67"/>
      <c r="J65" s="66">
        <v>1</v>
      </c>
      <c r="K65" s="67">
        <f>F65*J65*G65</f>
        <v>79.2</v>
      </c>
      <c r="L65" s="68"/>
      <c r="M65" s="61"/>
      <c r="N65" s="61"/>
      <c r="O65" s="61"/>
      <c r="P65" s="61"/>
    </row>
    <row r="66" spans="3:16" x14ac:dyDescent="0.3">
      <c r="C66" s="63"/>
      <c r="D66" s="80" t="s">
        <v>168</v>
      </c>
      <c r="E66" s="90" t="s">
        <v>13</v>
      </c>
      <c r="F66" s="66">
        <v>2</v>
      </c>
      <c r="G66" s="67">
        <v>1.8</v>
      </c>
      <c r="H66" s="67"/>
      <c r="I66" s="67"/>
      <c r="J66" s="66">
        <v>1</v>
      </c>
      <c r="K66" s="67">
        <f>F66*J66*G66</f>
        <v>3.6</v>
      </c>
      <c r="L66" s="68"/>
      <c r="M66" s="61"/>
      <c r="N66" s="61"/>
      <c r="O66" s="61"/>
      <c r="P66" s="61"/>
    </row>
    <row r="67" spans="3:16" x14ac:dyDescent="0.3">
      <c r="C67" s="63"/>
      <c r="D67" s="81" t="s">
        <v>139</v>
      </c>
      <c r="E67" s="73"/>
      <c r="F67" s="82"/>
      <c r="G67" s="52"/>
      <c r="H67" s="52"/>
      <c r="I67" s="52"/>
      <c r="J67" s="62"/>
      <c r="K67" s="61"/>
      <c r="L67" s="68"/>
      <c r="M67" s="61"/>
      <c r="N67" s="61"/>
      <c r="O67" s="61"/>
      <c r="P67" s="61"/>
    </row>
    <row r="68" spans="3:16" x14ac:dyDescent="0.3">
      <c r="C68" s="63"/>
      <c r="D68" s="80" t="s">
        <v>169</v>
      </c>
      <c r="E68" s="90" t="s">
        <v>13</v>
      </c>
      <c r="F68" s="66">
        <v>1</v>
      </c>
      <c r="G68" s="67">
        <f>30.6+2.25+1.2*15</f>
        <v>50.85</v>
      </c>
      <c r="H68" s="67"/>
      <c r="I68" s="67"/>
      <c r="J68" s="66">
        <v>1</v>
      </c>
      <c r="K68" s="67">
        <f>F68*J68*G68</f>
        <v>50.85</v>
      </c>
      <c r="L68" s="68"/>
      <c r="M68" s="61"/>
      <c r="N68" s="61"/>
      <c r="O68" s="61"/>
      <c r="P68" s="61"/>
    </row>
    <row r="69" spans="3:16" x14ac:dyDescent="0.3">
      <c r="C69" s="63"/>
      <c r="D69" s="80" t="s">
        <v>170</v>
      </c>
      <c r="E69" s="90" t="s">
        <v>13</v>
      </c>
      <c r="F69" s="66">
        <f>4+4*15</f>
        <v>64</v>
      </c>
      <c r="G69" s="67">
        <v>1.2</v>
      </c>
      <c r="H69" s="67"/>
      <c r="I69" s="67"/>
      <c r="J69" s="66">
        <v>1</v>
      </c>
      <c r="K69" s="67">
        <f>F69*J69*G69</f>
        <v>76.8</v>
      </c>
      <c r="L69" s="68"/>
      <c r="M69" s="61"/>
      <c r="N69" s="61"/>
      <c r="O69" s="61"/>
      <c r="P69" s="61"/>
    </row>
    <row r="70" spans="3:16" x14ac:dyDescent="0.3">
      <c r="C70" s="63"/>
      <c r="D70" s="81" t="s">
        <v>138</v>
      </c>
      <c r="E70" s="73"/>
      <c r="F70" s="82"/>
      <c r="G70" s="52"/>
      <c r="H70" s="52"/>
      <c r="I70" s="52"/>
      <c r="J70" s="62"/>
      <c r="K70" s="61"/>
      <c r="L70" s="68"/>
      <c r="M70" s="61"/>
      <c r="N70" s="61"/>
      <c r="O70" s="61"/>
      <c r="P70" s="61"/>
    </row>
    <row r="71" spans="3:16" x14ac:dyDescent="0.3">
      <c r="C71" s="63"/>
      <c r="D71" s="80" t="s">
        <v>169</v>
      </c>
      <c r="E71" s="90" t="s">
        <v>13</v>
      </c>
      <c r="F71" s="66">
        <v>1</v>
      </c>
      <c r="G71" s="67">
        <f>2+3.79+3.8+3.8+3.8+3.8+4.98+0.85+1.2*15</f>
        <v>44.820000000000007</v>
      </c>
      <c r="H71" s="67"/>
      <c r="I71" s="67"/>
      <c r="J71" s="66">
        <v>1</v>
      </c>
      <c r="K71" s="67">
        <f>F71*J71*G71</f>
        <v>44.820000000000007</v>
      </c>
      <c r="L71" s="68"/>
      <c r="M71" s="61"/>
      <c r="N71" s="61"/>
      <c r="O71" s="61"/>
      <c r="P71" s="61"/>
    </row>
    <row r="72" spans="3:16" x14ac:dyDescent="0.3">
      <c r="C72" s="63"/>
      <c r="D72" s="80" t="s">
        <v>170</v>
      </c>
      <c r="E72" s="90" t="s">
        <v>13</v>
      </c>
      <c r="F72" s="66">
        <f>16+4*15</f>
        <v>76</v>
      </c>
      <c r="G72" s="67">
        <v>1.2</v>
      </c>
      <c r="H72" s="67"/>
      <c r="I72" s="67"/>
      <c r="J72" s="66">
        <v>1</v>
      </c>
      <c r="K72" s="67">
        <f>F72*J72*G72</f>
        <v>91.2</v>
      </c>
      <c r="L72" s="68"/>
      <c r="M72" s="61"/>
      <c r="N72" s="61"/>
      <c r="O72" s="61"/>
      <c r="P72" s="61"/>
    </row>
    <row r="73" spans="3:16" x14ac:dyDescent="0.3">
      <c r="C73" s="63"/>
      <c r="D73" s="75"/>
      <c r="E73" s="73"/>
      <c r="F73" s="82"/>
      <c r="G73" s="52"/>
      <c r="H73" s="52"/>
      <c r="I73" s="52"/>
      <c r="J73" s="62"/>
      <c r="K73" s="61"/>
      <c r="L73" s="68"/>
      <c r="M73" s="61"/>
      <c r="N73" s="61"/>
      <c r="O73" s="61"/>
      <c r="P73" s="61"/>
    </row>
    <row r="74" spans="3:16" x14ac:dyDescent="0.3">
      <c r="C74" s="63"/>
      <c r="D74" s="75" t="s">
        <v>127</v>
      </c>
      <c r="E74" s="73"/>
      <c r="F74" s="82"/>
      <c r="G74" s="52"/>
      <c r="H74" s="52"/>
      <c r="I74" s="52"/>
      <c r="J74" s="62"/>
      <c r="K74" s="61"/>
      <c r="L74" s="68"/>
      <c r="M74" s="61"/>
      <c r="N74" s="61"/>
      <c r="O74" s="61"/>
      <c r="P74" s="61"/>
    </row>
    <row r="75" spans="3:16" x14ac:dyDescent="0.3">
      <c r="C75" s="63"/>
      <c r="D75" s="81" t="s">
        <v>140</v>
      </c>
      <c r="E75" s="88"/>
      <c r="F75" s="51"/>
      <c r="G75" s="52"/>
      <c r="H75" s="52"/>
      <c r="I75" s="52"/>
      <c r="J75" s="59"/>
      <c r="K75" s="60"/>
      <c r="L75" s="68"/>
      <c r="M75" s="61"/>
      <c r="N75" s="61"/>
      <c r="O75" s="61"/>
      <c r="P75" s="61"/>
    </row>
    <row r="76" spans="3:16" x14ac:dyDescent="0.3">
      <c r="C76" s="63"/>
      <c r="D76" s="80" t="s">
        <v>219</v>
      </c>
      <c r="E76" s="90" t="s">
        <v>13</v>
      </c>
      <c r="F76" s="66">
        <v>1</v>
      </c>
      <c r="G76" s="67">
        <v>26.549999999999997</v>
      </c>
      <c r="H76" s="67"/>
      <c r="I76" s="67"/>
      <c r="J76" s="66">
        <v>1</v>
      </c>
      <c r="K76" s="67">
        <f t="shared" ref="K76:K80" si="6">F76*J76*G76</f>
        <v>26.549999999999997</v>
      </c>
      <c r="L76" s="68"/>
      <c r="M76" s="61"/>
      <c r="N76" s="61"/>
      <c r="O76" s="61"/>
      <c r="P76" s="61"/>
    </row>
    <row r="77" spans="3:16" x14ac:dyDescent="0.3">
      <c r="C77" s="63"/>
      <c r="D77" s="80" t="s">
        <v>179</v>
      </c>
      <c r="E77" s="90" t="s">
        <v>13</v>
      </c>
      <c r="F77" s="66">
        <v>6</v>
      </c>
      <c r="G77" s="67"/>
      <c r="H77" s="67"/>
      <c r="I77" s="67">
        <v>0.1</v>
      </c>
      <c r="J77" s="66">
        <v>1</v>
      </c>
      <c r="K77" s="67">
        <f>F77*J77*I77</f>
        <v>0.60000000000000009</v>
      </c>
      <c r="L77" s="68"/>
      <c r="M77" s="61"/>
      <c r="N77" s="61"/>
      <c r="O77" s="61"/>
      <c r="P77" s="61"/>
    </row>
    <row r="78" spans="3:16" x14ac:dyDescent="0.3">
      <c r="C78" s="63"/>
      <c r="D78" s="80" t="s">
        <v>220</v>
      </c>
      <c r="E78" s="90" t="s">
        <v>13</v>
      </c>
      <c r="F78" s="66">
        <v>1</v>
      </c>
      <c r="G78" s="67">
        <v>27.21</v>
      </c>
      <c r="H78" s="67"/>
      <c r="I78" s="67"/>
      <c r="J78" s="66">
        <v>1</v>
      </c>
      <c r="K78" s="67">
        <f t="shared" si="6"/>
        <v>27.21</v>
      </c>
      <c r="L78" s="68"/>
      <c r="M78" s="61"/>
      <c r="N78" s="61"/>
      <c r="O78" s="61"/>
      <c r="P78" s="61"/>
    </row>
    <row r="79" spans="3:16" x14ac:dyDescent="0.3">
      <c r="C79" s="63"/>
      <c r="D79" s="80" t="s">
        <v>179</v>
      </c>
      <c r="E79" s="90" t="s">
        <v>13</v>
      </c>
      <c r="F79" s="66">
        <v>5</v>
      </c>
      <c r="G79" s="67"/>
      <c r="H79" s="67"/>
      <c r="I79" s="67">
        <v>0.1</v>
      </c>
      <c r="J79" s="66">
        <v>1</v>
      </c>
      <c r="K79" s="67">
        <f>F79*J79*I79</f>
        <v>0.5</v>
      </c>
      <c r="L79" s="68"/>
      <c r="M79" s="61"/>
      <c r="N79" s="61"/>
      <c r="O79" s="61"/>
      <c r="P79" s="61"/>
    </row>
    <row r="80" spans="3:16" x14ac:dyDescent="0.3">
      <c r="C80" s="63"/>
      <c r="D80" s="80" t="s">
        <v>221</v>
      </c>
      <c r="E80" s="90" t="s">
        <v>13</v>
      </c>
      <c r="F80" s="66">
        <v>1</v>
      </c>
      <c r="G80" s="67">
        <v>56.44</v>
      </c>
      <c r="H80" s="67"/>
      <c r="I80" s="67"/>
      <c r="J80" s="66">
        <v>1</v>
      </c>
      <c r="K80" s="67">
        <f t="shared" si="6"/>
        <v>56.44</v>
      </c>
      <c r="L80" s="68"/>
      <c r="M80" s="61"/>
      <c r="N80" s="61"/>
      <c r="O80" s="61"/>
      <c r="P80" s="61"/>
    </row>
    <row r="81" spans="3:16" x14ac:dyDescent="0.3">
      <c r="C81" s="63"/>
      <c r="D81" s="80" t="s">
        <v>179</v>
      </c>
      <c r="E81" s="90" t="s">
        <v>13</v>
      </c>
      <c r="F81" s="66">
        <v>18</v>
      </c>
      <c r="G81" s="67"/>
      <c r="H81" s="67"/>
      <c r="I81" s="67">
        <v>0.1</v>
      </c>
      <c r="J81" s="66">
        <v>1</v>
      </c>
      <c r="K81" s="67">
        <f>F81*J81*I81</f>
        <v>1.8</v>
      </c>
      <c r="L81" s="68"/>
      <c r="M81" s="61"/>
      <c r="N81" s="61"/>
      <c r="O81" s="61"/>
      <c r="P81" s="61"/>
    </row>
    <row r="82" spans="3:16" x14ac:dyDescent="0.3">
      <c r="C82" s="63"/>
      <c r="D82" s="80" t="s">
        <v>173</v>
      </c>
      <c r="E82" s="90" t="s">
        <v>13</v>
      </c>
      <c r="F82" s="66">
        <v>1</v>
      </c>
      <c r="G82" s="67">
        <v>14.139999999999999</v>
      </c>
      <c r="H82" s="67"/>
      <c r="I82" s="67"/>
      <c r="J82" s="66">
        <v>1</v>
      </c>
      <c r="K82" s="67">
        <f>F82*J82*G82</f>
        <v>14.139999999999999</v>
      </c>
      <c r="L82" s="68"/>
      <c r="M82" s="61"/>
      <c r="N82" s="61"/>
      <c r="O82" s="61"/>
      <c r="P82" s="61"/>
    </row>
    <row r="83" spans="3:16" x14ac:dyDescent="0.3">
      <c r="C83" s="63"/>
      <c r="D83" s="80" t="s">
        <v>179</v>
      </c>
      <c r="E83" s="90" t="s">
        <v>13</v>
      </c>
      <c r="F83" s="66">
        <v>3</v>
      </c>
      <c r="G83" s="67"/>
      <c r="H83" s="67"/>
      <c r="I83" s="67">
        <v>0.1</v>
      </c>
      <c r="J83" s="66">
        <v>1</v>
      </c>
      <c r="K83" s="67">
        <f>F83*J83*I83</f>
        <v>0.30000000000000004</v>
      </c>
      <c r="L83" s="68"/>
      <c r="M83" s="61"/>
      <c r="N83" s="61"/>
      <c r="O83" s="61"/>
      <c r="P83" s="61"/>
    </row>
    <row r="84" spans="3:16" x14ac:dyDescent="0.3">
      <c r="C84" s="63"/>
      <c r="D84" s="81" t="s">
        <v>115</v>
      </c>
      <c r="E84" s="73"/>
      <c r="F84" s="82"/>
      <c r="G84" s="52"/>
      <c r="H84" s="52"/>
      <c r="I84" s="52"/>
      <c r="J84" s="62"/>
      <c r="K84" s="61"/>
      <c r="L84" s="68"/>
      <c r="M84" s="61"/>
      <c r="N84" s="61"/>
      <c r="O84" s="61"/>
      <c r="P84" s="61"/>
    </row>
    <row r="85" spans="3:16" x14ac:dyDescent="0.3">
      <c r="C85" s="63"/>
      <c r="D85" s="80" t="s">
        <v>222</v>
      </c>
      <c r="E85" s="90" t="s">
        <v>13</v>
      </c>
      <c r="F85" s="66">
        <v>1</v>
      </c>
      <c r="G85" s="67">
        <v>61.489999999999995</v>
      </c>
      <c r="H85" s="67"/>
      <c r="I85" s="67"/>
      <c r="J85" s="66">
        <v>1</v>
      </c>
      <c r="K85" s="67">
        <f>F85*J85*G85</f>
        <v>61.489999999999995</v>
      </c>
      <c r="L85" s="68"/>
      <c r="M85" s="61"/>
      <c r="N85" s="61"/>
      <c r="O85" s="61"/>
      <c r="P85" s="61"/>
    </row>
    <row r="86" spans="3:16" x14ac:dyDescent="0.3">
      <c r="C86" s="63"/>
      <c r="D86" s="80" t="s">
        <v>179</v>
      </c>
      <c r="E86" s="90" t="s">
        <v>13</v>
      </c>
      <c r="F86" s="66">
        <v>45</v>
      </c>
      <c r="G86" s="67"/>
      <c r="H86" s="67"/>
      <c r="I86" s="67">
        <v>0.1</v>
      </c>
      <c r="J86" s="66">
        <v>1</v>
      </c>
      <c r="K86" s="67">
        <f>F86*J86*I86</f>
        <v>4.5</v>
      </c>
      <c r="L86" s="68"/>
      <c r="M86" s="61"/>
      <c r="N86" s="61"/>
      <c r="O86" s="61"/>
      <c r="P86" s="61"/>
    </row>
    <row r="87" spans="3:16" x14ac:dyDescent="0.3">
      <c r="C87" s="63"/>
      <c r="D87" s="80" t="s">
        <v>223</v>
      </c>
      <c r="E87" s="90" t="s">
        <v>13</v>
      </c>
      <c r="F87" s="66">
        <v>1</v>
      </c>
      <c r="G87" s="67">
        <v>5.03</v>
      </c>
      <c r="H87" s="67"/>
      <c r="I87" s="67"/>
      <c r="J87" s="66">
        <v>1</v>
      </c>
      <c r="K87" s="67">
        <f>F87*J87*G87</f>
        <v>5.03</v>
      </c>
      <c r="L87" s="68"/>
      <c r="M87" s="61"/>
      <c r="N87" s="61"/>
      <c r="O87" s="61"/>
      <c r="P87" s="61"/>
    </row>
    <row r="88" spans="3:16" x14ac:dyDescent="0.3">
      <c r="C88" s="63"/>
      <c r="D88" s="80" t="s">
        <v>179</v>
      </c>
      <c r="E88" s="90" t="s">
        <v>13</v>
      </c>
      <c r="F88" s="66">
        <v>3</v>
      </c>
      <c r="G88" s="67"/>
      <c r="H88" s="67"/>
      <c r="I88" s="67">
        <v>0.1</v>
      </c>
      <c r="J88" s="66">
        <v>1</v>
      </c>
      <c r="K88" s="67">
        <f>F88*J88*I88</f>
        <v>0.30000000000000004</v>
      </c>
      <c r="L88" s="68"/>
      <c r="M88" s="61"/>
      <c r="N88" s="61"/>
      <c r="O88" s="61"/>
      <c r="P88" s="61"/>
    </row>
    <row r="89" spans="3:16" x14ac:dyDescent="0.3">
      <c r="C89" s="63"/>
      <c r="D89" s="81" t="s">
        <v>139</v>
      </c>
      <c r="E89" s="73"/>
      <c r="F89" s="82"/>
      <c r="G89" s="52"/>
      <c r="H89" s="52"/>
      <c r="I89" s="52"/>
      <c r="J89" s="62"/>
      <c r="K89" s="61"/>
      <c r="L89" s="68"/>
      <c r="M89" s="61"/>
      <c r="N89" s="61"/>
      <c r="O89" s="61"/>
      <c r="P89" s="61"/>
    </row>
    <row r="90" spans="3:16" x14ac:dyDescent="0.3">
      <c r="C90" s="63"/>
      <c r="D90" s="80" t="s">
        <v>224</v>
      </c>
      <c r="E90" s="90" t="s">
        <v>13</v>
      </c>
      <c r="F90" s="66">
        <v>1</v>
      </c>
      <c r="G90" s="67">
        <v>23.23</v>
      </c>
      <c r="H90" s="67"/>
      <c r="I90" s="67"/>
      <c r="J90" s="66">
        <v>1</v>
      </c>
      <c r="K90" s="67">
        <f>F90*J90*G90</f>
        <v>23.23</v>
      </c>
      <c r="L90" s="68"/>
      <c r="M90" s="61"/>
      <c r="N90" s="61"/>
      <c r="O90" s="61"/>
      <c r="P90" s="61"/>
    </row>
    <row r="91" spans="3:16" x14ac:dyDescent="0.3">
      <c r="C91" s="63"/>
      <c r="D91" s="80" t="s">
        <v>179</v>
      </c>
      <c r="E91" s="90" t="s">
        <v>13</v>
      </c>
      <c r="F91" s="66">
        <v>16</v>
      </c>
      <c r="G91" s="67"/>
      <c r="H91" s="67"/>
      <c r="I91" s="67">
        <v>0.1</v>
      </c>
      <c r="J91" s="66">
        <v>1</v>
      </c>
      <c r="K91" s="67">
        <f>F91*J91*I91</f>
        <v>1.6</v>
      </c>
      <c r="L91" s="68"/>
      <c r="M91" s="61"/>
      <c r="N91" s="61"/>
      <c r="O91" s="61"/>
      <c r="P91" s="61"/>
    </row>
    <row r="92" spans="3:16" x14ac:dyDescent="0.3">
      <c r="C92" s="63"/>
      <c r="D92" s="80" t="s">
        <v>225</v>
      </c>
      <c r="E92" s="90" t="s">
        <v>13</v>
      </c>
      <c r="F92" s="66">
        <v>1</v>
      </c>
      <c r="G92" s="67">
        <v>37.590000000000003</v>
      </c>
      <c r="H92" s="67"/>
      <c r="I92" s="67"/>
      <c r="J92" s="66">
        <v>1</v>
      </c>
      <c r="K92" s="67">
        <f>F92*J92*G92</f>
        <v>37.590000000000003</v>
      </c>
      <c r="L92" s="68"/>
      <c r="M92" s="61"/>
      <c r="N92" s="61"/>
      <c r="O92" s="61"/>
      <c r="P92" s="61"/>
    </row>
    <row r="93" spans="3:16" x14ac:dyDescent="0.3">
      <c r="C93" s="63"/>
      <c r="D93" s="81" t="s">
        <v>138</v>
      </c>
      <c r="E93" s="73"/>
      <c r="F93" s="82"/>
      <c r="G93" s="52"/>
      <c r="H93" s="52"/>
      <c r="I93" s="52"/>
      <c r="J93" s="62"/>
      <c r="K93" s="61"/>
      <c r="L93" s="68"/>
      <c r="M93" s="61"/>
      <c r="N93" s="61"/>
      <c r="O93" s="61"/>
      <c r="P93" s="61"/>
    </row>
    <row r="94" spans="3:16" x14ac:dyDescent="0.3">
      <c r="C94" s="63"/>
      <c r="D94" s="80" t="s">
        <v>226</v>
      </c>
      <c r="E94" s="90" t="s">
        <v>13</v>
      </c>
      <c r="F94" s="66">
        <v>1</v>
      </c>
      <c r="G94" s="67">
        <v>39.06</v>
      </c>
      <c r="H94" s="67"/>
      <c r="I94" s="67"/>
      <c r="J94" s="66">
        <v>1</v>
      </c>
      <c r="K94" s="67">
        <f>F94*J94*G94</f>
        <v>39.06</v>
      </c>
      <c r="L94" s="68"/>
      <c r="M94" s="61"/>
      <c r="N94" s="61"/>
      <c r="O94" s="61"/>
      <c r="P94" s="61"/>
    </row>
    <row r="95" spans="3:16" x14ac:dyDescent="0.3">
      <c r="C95" s="63"/>
      <c r="D95" s="80" t="s">
        <v>179</v>
      </c>
      <c r="E95" s="90" t="s">
        <v>13</v>
      </c>
      <c r="F95" s="66">
        <v>16</v>
      </c>
      <c r="G95" s="67"/>
      <c r="H95" s="67"/>
      <c r="I95" s="67">
        <v>0.1</v>
      </c>
      <c r="J95" s="66">
        <v>1</v>
      </c>
      <c r="K95" s="67">
        <f>F95*J95*I95</f>
        <v>1.6</v>
      </c>
      <c r="L95" s="68"/>
      <c r="M95" s="61"/>
      <c r="N95" s="61"/>
      <c r="O95" s="61"/>
      <c r="P95" s="61"/>
    </row>
    <row r="96" spans="3:16" x14ac:dyDescent="0.3">
      <c r="C96" s="63"/>
      <c r="D96" s="80" t="s">
        <v>227</v>
      </c>
      <c r="E96" s="90" t="s">
        <v>13</v>
      </c>
      <c r="F96" s="66">
        <v>1</v>
      </c>
      <c r="G96" s="67">
        <v>39.46</v>
      </c>
      <c r="H96" s="67"/>
      <c r="I96" s="67"/>
      <c r="J96" s="66">
        <v>1</v>
      </c>
      <c r="K96" s="67">
        <f>F96*J96*G96</f>
        <v>39.46</v>
      </c>
      <c r="L96" s="68"/>
      <c r="M96" s="61"/>
      <c r="N96" s="61"/>
      <c r="O96" s="61"/>
      <c r="P96" s="61"/>
    </row>
    <row r="97" spans="3:16" x14ac:dyDescent="0.3">
      <c r="C97" s="63"/>
      <c r="D97" s="80" t="s">
        <v>179</v>
      </c>
      <c r="E97" s="90" t="s">
        <v>13</v>
      </c>
      <c r="F97" s="66">
        <v>20</v>
      </c>
      <c r="G97" s="67"/>
      <c r="H97" s="67"/>
      <c r="I97" s="67">
        <v>0.1</v>
      </c>
      <c r="J97" s="66">
        <v>1</v>
      </c>
      <c r="K97" s="67">
        <f>F97*J97*I97</f>
        <v>2</v>
      </c>
      <c r="L97" s="68"/>
      <c r="M97" s="61"/>
      <c r="N97" s="61"/>
      <c r="O97" s="61"/>
      <c r="P97" s="61"/>
    </row>
    <row r="98" spans="3:16" x14ac:dyDescent="0.3">
      <c r="C98" s="63"/>
      <c r="D98" s="80" t="s">
        <v>204</v>
      </c>
      <c r="E98" s="90" t="s">
        <v>13</v>
      </c>
      <c r="F98" s="66">
        <v>1</v>
      </c>
      <c r="G98" s="67">
        <v>40.450000000000003</v>
      </c>
      <c r="H98" s="67"/>
      <c r="I98" s="67"/>
      <c r="J98" s="66">
        <v>1</v>
      </c>
      <c r="K98" s="67">
        <f t="shared" ref="K98:K102" si="7">F98*J98*G98</f>
        <v>40.450000000000003</v>
      </c>
      <c r="L98" s="68"/>
      <c r="M98" s="61"/>
      <c r="N98" s="61"/>
      <c r="O98" s="61"/>
      <c r="P98" s="61"/>
    </row>
    <row r="99" spans="3:16" x14ac:dyDescent="0.3">
      <c r="C99" s="63"/>
      <c r="D99" s="80" t="s">
        <v>179</v>
      </c>
      <c r="E99" s="90" t="s">
        <v>13</v>
      </c>
      <c r="F99" s="66">
        <v>20</v>
      </c>
      <c r="G99" s="67"/>
      <c r="H99" s="67"/>
      <c r="I99" s="67">
        <v>0.1</v>
      </c>
      <c r="J99" s="66">
        <v>1</v>
      </c>
      <c r="K99" s="67">
        <f>F99*J99*I99</f>
        <v>2</v>
      </c>
      <c r="L99" s="68"/>
      <c r="M99" s="61"/>
      <c r="N99" s="61"/>
      <c r="O99" s="61"/>
      <c r="P99" s="61"/>
    </row>
    <row r="100" spans="3:16" x14ac:dyDescent="0.3">
      <c r="C100" s="63"/>
      <c r="D100" s="80" t="s">
        <v>228</v>
      </c>
      <c r="E100" s="90" t="s">
        <v>13</v>
      </c>
      <c r="F100" s="66">
        <v>1</v>
      </c>
      <c r="G100" s="67">
        <v>18.28</v>
      </c>
      <c r="H100" s="67"/>
      <c r="I100" s="67"/>
      <c r="J100" s="66">
        <v>1</v>
      </c>
      <c r="K100" s="67">
        <f t="shared" si="7"/>
        <v>18.28</v>
      </c>
      <c r="L100" s="68"/>
      <c r="M100" s="61"/>
      <c r="N100" s="61"/>
      <c r="O100" s="61"/>
      <c r="P100" s="61"/>
    </row>
    <row r="101" spans="3:16" x14ac:dyDescent="0.3">
      <c r="C101" s="63"/>
      <c r="D101" s="80" t="s">
        <v>179</v>
      </c>
      <c r="E101" s="90" t="s">
        <v>13</v>
      </c>
      <c r="F101" s="66">
        <v>8</v>
      </c>
      <c r="G101" s="67"/>
      <c r="H101" s="67"/>
      <c r="I101" s="67">
        <v>0.1</v>
      </c>
      <c r="J101" s="66">
        <v>1</v>
      </c>
      <c r="K101" s="67">
        <f>F101*J101*I101</f>
        <v>0.8</v>
      </c>
      <c r="L101" s="68"/>
      <c r="M101" s="61"/>
      <c r="N101" s="61"/>
      <c r="O101" s="61"/>
      <c r="P101" s="61"/>
    </row>
    <row r="102" spans="3:16" x14ac:dyDescent="0.3">
      <c r="C102" s="63"/>
      <c r="D102" s="80" t="s">
        <v>229</v>
      </c>
      <c r="E102" s="90" t="s">
        <v>13</v>
      </c>
      <c r="F102" s="66">
        <v>1</v>
      </c>
      <c r="G102" s="67">
        <v>16.86</v>
      </c>
      <c r="H102" s="67"/>
      <c r="I102" s="67"/>
      <c r="J102" s="66">
        <v>1</v>
      </c>
      <c r="K102" s="67">
        <f t="shared" si="7"/>
        <v>16.86</v>
      </c>
      <c r="L102" s="68"/>
      <c r="M102" s="61"/>
      <c r="N102" s="61"/>
      <c r="O102" s="61"/>
      <c r="P102" s="61"/>
    </row>
    <row r="103" spans="3:16" x14ac:dyDescent="0.3">
      <c r="C103" s="63"/>
      <c r="D103" s="80" t="s">
        <v>179</v>
      </c>
      <c r="E103" s="90" t="s">
        <v>13</v>
      </c>
      <c r="F103" s="66">
        <v>3</v>
      </c>
      <c r="G103" s="67"/>
      <c r="H103" s="67"/>
      <c r="I103" s="67">
        <v>0.1</v>
      </c>
      <c r="J103" s="66">
        <v>1</v>
      </c>
      <c r="K103" s="67">
        <f>F103*J103*I103</f>
        <v>0.30000000000000004</v>
      </c>
      <c r="L103" s="68"/>
      <c r="M103" s="61"/>
      <c r="N103" s="61"/>
      <c r="O103" s="61"/>
      <c r="P103" s="61"/>
    </row>
    <row r="104" spans="3:16" x14ac:dyDescent="0.3">
      <c r="C104" s="63"/>
      <c r="D104" s="75"/>
      <c r="E104" s="73"/>
      <c r="F104" s="82"/>
      <c r="G104" s="52"/>
      <c r="H104" s="52"/>
      <c r="I104" s="52"/>
      <c r="J104" s="62"/>
      <c r="K104" s="61"/>
      <c r="L104" s="68"/>
      <c r="M104" s="61"/>
      <c r="N104" s="61"/>
      <c r="O104" s="61"/>
      <c r="P104" s="61"/>
    </row>
    <row r="105" spans="3:16" x14ac:dyDescent="0.3">
      <c r="C105" s="63"/>
      <c r="D105" s="75" t="s">
        <v>182</v>
      </c>
      <c r="E105" s="73"/>
      <c r="F105" s="82"/>
      <c r="G105" s="52"/>
      <c r="H105" s="52"/>
      <c r="I105" s="52"/>
      <c r="J105" s="62"/>
      <c r="K105" s="61"/>
      <c r="L105" s="68"/>
      <c r="M105" s="61"/>
      <c r="N105" s="61"/>
      <c r="O105" s="61"/>
      <c r="P105" s="61"/>
    </row>
    <row r="106" spans="3:16" x14ac:dyDescent="0.3">
      <c r="C106" s="63"/>
      <c r="D106" s="81" t="s">
        <v>138</v>
      </c>
      <c r="E106" s="73"/>
      <c r="F106" s="82"/>
      <c r="G106" s="52"/>
      <c r="H106" s="52"/>
      <c r="I106" s="52"/>
      <c r="J106" s="62"/>
      <c r="K106" s="61"/>
      <c r="L106" s="68"/>
      <c r="M106" s="61"/>
      <c r="N106" s="61"/>
      <c r="O106" s="61"/>
      <c r="P106" s="61"/>
    </row>
    <row r="107" spans="3:16" x14ac:dyDescent="0.3">
      <c r="C107" s="63"/>
      <c r="D107" s="80" t="s">
        <v>226</v>
      </c>
      <c r="E107" s="90" t="s">
        <v>13</v>
      </c>
      <c r="F107" s="66">
        <v>1</v>
      </c>
      <c r="G107" s="67">
        <v>3.8</v>
      </c>
      <c r="H107" s="67"/>
      <c r="I107" s="67"/>
      <c r="J107" s="66">
        <v>1</v>
      </c>
      <c r="K107" s="67">
        <f>F107*J107*G107</f>
        <v>3.8</v>
      </c>
      <c r="L107" s="68"/>
      <c r="M107" s="61"/>
      <c r="N107" s="61"/>
      <c r="O107" s="61"/>
      <c r="P107" s="61"/>
    </row>
    <row r="108" spans="3:16" x14ac:dyDescent="0.3">
      <c r="C108" s="63"/>
      <c r="D108" s="81"/>
      <c r="E108" s="90" t="s">
        <v>13</v>
      </c>
      <c r="F108" s="66">
        <v>2</v>
      </c>
      <c r="G108" s="67">
        <v>0.6</v>
      </c>
      <c r="H108" s="67"/>
      <c r="I108" s="67"/>
      <c r="J108" s="66">
        <v>1</v>
      </c>
      <c r="K108" s="67">
        <f t="shared" ref="K108:K110" si="8">F108*J108*G108</f>
        <v>1.2</v>
      </c>
      <c r="L108" s="68"/>
      <c r="M108" s="61"/>
      <c r="N108" s="61"/>
      <c r="O108" s="61"/>
      <c r="P108" s="61"/>
    </row>
    <row r="109" spans="3:16" x14ac:dyDescent="0.3">
      <c r="C109" s="63"/>
      <c r="D109" s="80" t="s">
        <v>179</v>
      </c>
      <c r="E109" s="90" t="s">
        <v>13</v>
      </c>
      <c r="F109" s="66">
        <v>2</v>
      </c>
      <c r="G109" s="67">
        <v>0.85</v>
      </c>
      <c r="H109" s="67"/>
      <c r="I109" s="67"/>
      <c r="J109" s="66">
        <v>1</v>
      </c>
      <c r="K109" s="67">
        <f t="shared" si="8"/>
        <v>1.7</v>
      </c>
      <c r="L109" s="68"/>
      <c r="M109" s="61"/>
      <c r="N109" s="61"/>
      <c r="O109" s="61"/>
      <c r="P109" s="61"/>
    </row>
    <row r="110" spans="3:16" x14ac:dyDescent="0.3">
      <c r="C110" s="63"/>
      <c r="D110" s="80"/>
      <c r="E110" s="90" t="s">
        <v>13</v>
      </c>
      <c r="F110" s="66">
        <v>6</v>
      </c>
      <c r="G110" s="67">
        <v>0.75</v>
      </c>
      <c r="H110" s="67"/>
      <c r="I110" s="67"/>
      <c r="J110" s="66">
        <v>1</v>
      </c>
      <c r="K110" s="67">
        <f t="shared" si="8"/>
        <v>4.5</v>
      </c>
      <c r="L110" s="68"/>
      <c r="M110" s="61"/>
      <c r="N110" s="61"/>
      <c r="O110" s="61"/>
      <c r="P110" s="61"/>
    </row>
    <row r="111" spans="3:16" x14ac:dyDescent="0.3">
      <c r="C111" s="63"/>
      <c r="D111" s="75"/>
      <c r="E111" s="73"/>
      <c r="F111" s="82"/>
      <c r="G111" s="52"/>
      <c r="H111" s="52"/>
      <c r="I111" s="52"/>
      <c r="J111" s="62"/>
      <c r="K111" s="61"/>
      <c r="L111" s="68"/>
      <c r="M111" s="61"/>
      <c r="N111" s="61"/>
      <c r="O111" s="61"/>
      <c r="P111" s="61"/>
    </row>
    <row r="112" spans="3:16" x14ac:dyDescent="0.3">
      <c r="C112" s="63"/>
      <c r="D112" s="75" t="s">
        <v>144</v>
      </c>
      <c r="E112" s="73"/>
      <c r="F112" s="82"/>
      <c r="G112" s="52"/>
      <c r="H112" s="52"/>
      <c r="I112" s="52"/>
      <c r="J112" s="62"/>
      <c r="K112" s="61"/>
      <c r="L112" s="68"/>
      <c r="M112" s="61"/>
      <c r="N112" s="61"/>
      <c r="O112" s="61"/>
      <c r="P112" s="61"/>
    </row>
    <row r="113" spans="3:16" x14ac:dyDescent="0.3">
      <c r="C113" s="63"/>
      <c r="D113" s="81" t="s">
        <v>140</v>
      </c>
      <c r="E113" s="88"/>
      <c r="F113" s="51"/>
      <c r="G113" s="52"/>
      <c r="H113" s="52"/>
      <c r="I113" s="52"/>
      <c r="J113" s="59"/>
      <c r="K113" s="60"/>
      <c r="L113" s="68"/>
      <c r="M113" s="61"/>
      <c r="N113" s="61"/>
      <c r="O113" s="61"/>
      <c r="P113" s="61"/>
    </row>
    <row r="114" spans="3:16" x14ac:dyDescent="0.3">
      <c r="C114" s="63"/>
      <c r="D114" s="80" t="s">
        <v>230</v>
      </c>
      <c r="E114" s="90" t="s">
        <v>13</v>
      </c>
      <c r="F114" s="66">
        <v>2</v>
      </c>
      <c r="G114" s="67">
        <v>1.25</v>
      </c>
      <c r="H114" s="67"/>
      <c r="I114" s="67"/>
      <c r="J114" s="66">
        <v>1</v>
      </c>
      <c r="K114" s="67">
        <f>F114*J114*G114</f>
        <v>2.5</v>
      </c>
      <c r="L114" s="68"/>
      <c r="M114" s="61"/>
      <c r="N114" s="61"/>
      <c r="O114" s="61"/>
      <c r="P114" s="61"/>
    </row>
    <row r="115" spans="3:16" x14ac:dyDescent="0.3">
      <c r="C115" s="63"/>
      <c r="D115" s="80" t="s">
        <v>212</v>
      </c>
      <c r="E115" s="90" t="s">
        <v>13</v>
      </c>
      <c r="F115" s="66">
        <v>2</v>
      </c>
      <c r="G115" s="67">
        <v>0.7</v>
      </c>
      <c r="H115" s="67"/>
      <c r="I115" s="67"/>
      <c r="J115" s="66">
        <v>1</v>
      </c>
      <c r="K115" s="67">
        <f>F115*J115*G115</f>
        <v>1.4</v>
      </c>
      <c r="L115" s="68"/>
      <c r="M115" s="61"/>
      <c r="N115" s="61"/>
      <c r="O115" s="61"/>
      <c r="P115" s="61"/>
    </row>
    <row r="116" spans="3:16" s="3" customFormat="1" hidden="1" x14ac:dyDescent="0.3">
      <c r="C116" s="10"/>
      <c r="D116" s="11"/>
      <c r="E116" s="21" t="s">
        <v>12</v>
      </c>
      <c r="F116" s="12">
        <v>1</v>
      </c>
      <c r="G116" s="13">
        <v>0.6</v>
      </c>
      <c r="H116" s="17">
        <v>2.95</v>
      </c>
      <c r="I116" s="13"/>
      <c r="J116" s="12">
        <v>1</v>
      </c>
      <c r="K116" s="13"/>
      <c r="L116" s="13">
        <f t="shared" ref="L116:L121" si="9">IF(F116="","",PRODUCT(F116:J116))</f>
        <v>1.77</v>
      </c>
      <c r="M116" s="2"/>
      <c r="N116" s="2"/>
      <c r="O116" s="2"/>
      <c r="P116" s="2"/>
    </row>
    <row r="117" spans="3:16" s="3" customFormat="1" hidden="1" x14ac:dyDescent="0.3">
      <c r="C117" s="10"/>
      <c r="D117" s="11" t="s">
        <v>82</v>
      </c>
      <c r="E117" s="21" t="s">
        <v>12</v>
      </c>
      <c r="F117" s="12">
        <v>1</v>
      </c>
      <c r="G117" s="13">
        <v>1.05</v>
      </c>
      <c r="H117" s="17">
        <v>2.95</v>
      </c>
      <c r="I117" s="13"/>
      <c r="J117" s="12">
        <v>1</v>
      </c>
      <c r="K117" s="13"/>
      <c r="L117" s="13">
        <f t="shared" si="9"/>
        <v>3.0975000000000001</v>
      </c>
      <c r="M117" s="2"/>
      <c r="N117" s="2"/>
      <c r="O117" s="2"/>
      <c r="P117" s="2"/>
    </row>
    <row r="118" spans="3:16" s="3" customFormat="1" hidden="1" x14ac:dyDescent="0.3">
      <c r="C118" s="10"/>
      <c r="D118" s="11"/>
      <c r="E118" s="21" t="s">
        <v>12</v>
      </c>
      <c r="F118" s="12">
        <v>1</v>
      </c>
      <c r="G118" s="13">
        <v>1.45</v>
      </c>
      <c r="H118" s="17">
        <v>2.95</v>
      </c>
      <c r="I118" s="13"/>
      <c r="J118" s="12">
        <v>1</v>
      </c>
      <c r="K118" s="13"/>
      <c r="L118" s="13">
        <f t="shared" si="9"/>
        <v>4.2774999999999999</v>
      </c>
      <c r="M118" s="2"/>
      <c r="N118" s="2"/>
      <c r="O118" s="2"/>
      <c r="P118" s="2"/>
    </row>
    <row r="119" spans="3:16" s="3" customFormat="1" hidden="1" x14ac:dyDescent="0.3">
      <c r="C119" s="10"/>
      <c r="D119" s="11" t="s">
        <v>83</v>
      </c>
      <c r="E119" s="21" t="s">
        <v>12</v>
      </c>
      <c r="F119" s="12">
        <v>1</v>
      </c>
      <c r="G119" s="13">
        <v>1.8</v>
      </c>
      <c r="H119" s="17">
        <v>2.95</v>
      </c>
      <c r="I119" s="13"/>
      <c r="J119" s="12">
        <v>1</v>
      </c>
      <c r="K119" s="13"/>
      <c r="L119" s="13">
        <f t="shared" si="9"/>
        <v>5.3100000000000005</v>
      </c>
      <c r="M119" s="2"/>
      <c r="N119" s="2"/>
      <c r="O119" s="2"/>
      <c r="P119" s="2"/>
    </row>
    <row r="120" spans="3:16" s="3" customFormat="1" hidden="1" x14ac:dyDescent="0.3">
      <c r="C120" s="10"/>
      <c r="D120" s="11"/>
      <c r="E120" s="21" t="s">
        <v>12</v>
      </c>
      <c r="F120" s="12">
        <v>1</v>
      </c>
      <c r="G120" s="13">
        <v>0.6</v>
      </c>
      <c r="H120" s="17">
        <v>2.95</v>
      </c>
      <c r="I120" s="13"/>
      <c r="J120" s="12">
        <v>1</v>
      </c>
      <c r="K120" s="13"/>
      <c r="L120" s="13">
        <f t="shared" si="9"/>
        <v>1.77</v>
      </c>
      <c r="M120" s="2"/>
      <c r="N120" s="2"/>
      <c r="O120" s="2"/>
      <c r="P120" s="2"/>
    </row>
    <row r="121" spans="3:16" s="3" customFormat="1" hidden="1" x14ac:dyDescent="0.3">
      <c r="C121" s="10"/>
      <c r="D121" s="11" t="s">
        <v>84</v>
      </c>
      <c r="E121" s="21" t="s">
        <v>12</v>
      </c>
      <c r="F121" s="12">
        <v>2</v>
      </c>
      <c r="G121" s="13">
        <v>1.4</v>
      </c>
      <c r="H121" s="17">
        <v>2.95</v>
      </c>
      <c r="I121" s="13"/>
      <c r="J121" s="12">
        <v>1</v>
      </c>
      <c r="K121" s="13"/>
      <c r="L121" s="13">
        <f t="shared" si="9"/>
        <v>8.26</v>
      </c>
      <c r="M121" s="2"/>
      <c r="N121" s="2"/>
      <c r="O121" s="2"/>
      <c r="P121" s="2"/>
    </row>
    <row r="122" spans="3:16" s="3" customFormat="1" hidden="1" x14ac:dyDescent="0.3">
      <c r="C122" s="6"/>
      <c r="D122" s="16" t="s">
        <v>60</v>
      </c>
      <c r="E122" s="23"/>
      <c r="F122" s="7"/>
      <c r="G122" s="8"/>
      <c r="H122" s="8"/>
      <c r="I122" s="8" t="s">
        <v>64</v>
      </c>
      <c r="J122" s="7"/>
      <c r="K122" s="8"/>
      <c r="L122" s="8"/>
      <c r="M122" s="9"/>
      <c r="N122" s="9"/>
      <c r="O122" s="9"/>
      <c r="P122" s="9"/>
    </row>
    <row r="123" spans="3:16" s="3" customFormat="1" hidden="1" x14ac:dyDescent="0.3">
      <c r="C123" s="10"/>
      <c r="D123" s="11" t="s">
        <v>85</v>
      </c>
      <c r="E123" s="21" t="s">
        <v>12</v>
      </c>
      <c r="F123" s="12">
        <v>1</v>
      </c>
      <c r="G123" s="13">
        <v>2.35</v>
      </c>
      <c r="H123" s="13"/>
      <c r="I123" s="13">
        <v>0.65</v>
      </c>
      <c r="J123" s="12">
        <v>1</v>
      </c>
      <c r="K123" s="13"/>
      <c r="L123" s="13">
        <f t="shared" ref="L123:L133" si="10">IF(F123="","",PRODUCT(F123:J123))</f>
        <v>1.5275000000000001</v>
      </c>
      <c r="M123" s="2"/>
      <c r="N123" s="2"/>
      <c r="O123" s="2"/>
      <c r="P123" s="2"/>
    </row>
    <row r="124" spans="3:16" s="3" customFormat="1" hidden="1" x14ac:dyDescent="0.3">
      <c r="C124" s="10"/>
      <c r="D124" s="11" t="s">
        <v>86</v>
      </c>
      <c r="E124" s="21" t="s">
        <v>12</v>
      </c>
      <c r="F124" s="12">
        <v>1</v>
      </c>
      <c r="G124" s="13">
        <v>2.35</v>
      </c>
      <c r="H124" s="13"/>
      <c r="I124" s="13">
        <v>0.65</v>
      </c>
      <c r="J124" s="12">
        <v>1</v>
      </c>
      <c r="K124" s="13"/>
      <c r="L124" s="13">
        <f t="shared" si="10"/>
        <v>1.5275000000000001</v>
      </c>
      <c r="M124" s="2"/>
      <c r="N124" s="2"/>
      <c r="O124" s="2"/>
      <c r="P124" s="2"/>
    </row>
    <row r="125" spans="3:16" s="3" customFormat="1" hidden="1" x14ac:dyDescent="0.3">
      <c r="C125" s="10"/>
      <c r="D125" s="11" t="s">
        <v>87</v>
      </c>
      <c r="E125" s="21" t="s">
        <v>12</v>
      </c>
      <c r="F125" s="12">
        <v>1</v>
      </c>
      <c r="G125" s="13">
        <v>2</v>
      </c>
      <c r="H125" s="13"/>
      <c r="I125" s="13">
        <v>0.65</v>
      </c>
      <c r="J125" s="12">
        <v>1</v>
      </c>
      <c r="K125" s="13"/>
      <c r="L125" s="13">
        <f t="shared" si="10"/>
        <v>1.3</v>
      </c>
      <c r="M125" s="2"/>
      <c r="N125" s="2"/>
      <c r="O125" s="2"/>
      <c r="P125" s="2"/>
    </row>
    <row r="126" spans="3:16" s="3" customFormat="1" hidden="1" x14ac:dyDescent="0.3">
      <c r="C126" s="10"/>
      <c r="D126" s="11" t="s">
        <v>88</v>
      </c>
      <c r="E126" s="21" t="s">
        <v>12</v>
      </c>
      <c r="F126" s="12">
        <v>1</v>
      </c>
      <c r="G126" s="13">
        <v>3.55</v>
      </c>
      <c r="H126" s="13"/>
      <c r="I126" s="13">
        <v>0.65</v>
      </c>
      <c r="J126" s="12">
        <v>1</v>
      </c>
      <c r="K126" s="13"/>
      <c r="L126" s="13">
        <f t="shared" si="10"/>
        <v>2.3075000000000001</v>
      </c>
      <c r="M126" s="2"/>
      <c r="N126" s="2"/>
      <c r="O126" s="2"/>
      <c r="P126" s="2"/>
    </row>
    <row r="127" spans="3:16" s="3" customFormat="1" hidden="1" x14ac:dyDescent="0.3">
      <c r="C127" s="10"/>
      <c r="D127" s="11" t="s">
        <v>89</v>
      </c>
      <c r="E127" s="21" t="s">
        <v>12</v>
      </c>
      <c r="F127" s="12">
        <v>1</v>
      </c>
      <c r="G127" s="13">
        <v>3.3</v>
      </c>
      <c r="H127" s="13"/>
      <c r="I127" s="13">
        <v>0.65</v>
      </c>
      <c r="J127" s="12">
        <v>1</v>
      </c>
      <c r="K127" s="13"/>
      <c r="L127" s="13">
        <f t="shared" si="10"/>
        <v>2.145</v>
      </c>
      <c r="M127" s="2"/>
      <c r="N127" s="2"/>
      <c r="O127" s="2"/>
      <c r="P127" s="2"/>
    </row>
    <row r="128" spans="3:16" s="3" customFormat="1" hidden="1" x14ac:dyDescent="0.3">
      <c r="C128" s="10"/>
      <c r="D128" s="11" t="s">
        <v>90</v>
      </c>
      <c r="E128" s="21" t="s">
        <v>12</v>
      </c>
      <c r="F128" s="12">
        <v>1</v>
      </c>
      <c r="G128" s="13">
        <v>2.3199999999999998</v>
      </c>
      <c r="H128" s="13"/>
      <c r="I128" s="13">
        <v>0.45</v>
      </c>
      <c r="J128" s="12">
        <v>1</v>
      </c>
      <c r="K128" s="13"/>
      <c r="L128" s="13">
        <f t="shared" si="10"/>
        <v>1.044</v>
      </c>
      <c r="M128" s="2"/>
      <c r="N128" s="2"/>
      <c r="O128" s="2"/>
      <c r="P128" s="2"/>
    </row>
    <row r="129" spans="3:16" s="3" customFormat="1" hidden="1" x14ac:dyDescent="0.3">
      <c r="C129" s="10"/>
      <c r="D129" s="11" t="s">
        <v>91</v>
      </c>
      <c r="E129" s="21" t="s">
        <v>12</v>
      </c>
      <c r="F129" s="12">
        <v>1</v>
      </c>
      <c r="G129" s="13">
        <v>1.9</v>
      </c>
      <c r="H129" s="13"/>
      <c r="I129" s="13">
        <v>0.45</v>
      </c>
      <c r="J129" s="12">
        <v>1</v>
      </c>
      <c r="K129" s="13"/>
      <c r="L129" s="13">
        <f t="shared" si="10"/>
        <v>0.85499999999999998</v>
      </c>
      <c r="M129" s="2"/>
      <c r="N129" s="2"/>
      <c r="O129" s="2"/>
      <c r="P129" s="2"/>
    </row>
    <row r="130" spans="3:16" s="3" customFormat="1" hidden="1" x14ac:dyDescent="0.3">
      <c r="C130" s="10"/>
      <c r="D130" s="11" t="s">
        <v>92</v>
      </c>
      <c r="E130" s="21" t="s">
        <v>12</v>
      </c>
      <c r="F130" s="12">
        <v>1</v>
      </c>
      <c r="G130" s="13">
        <v>2.95</v>
      </c>
      <c r="H130" s="13"/>
      <c r="I130" s="13">
        <v>0.3</v>
      </c>
      <c r="J130" s="12">
        <v>1</v>
      </c>
      <c r="K130" s="13"/>
      <c r="L130" s="13">
        <f t="shared" si="10"/>
        <v>0.88500000000000001</v>
      </c>
      <c r="M130" s="2"/>
      <c r="N130" s="2"/>
      <c r="O130" s="2"/>
      <c r="P130" s="2"/>
    </row>
    <row r="131" spans="3:16" s="3" customFormat="1" hidden="1" x14ac:dyDescent="0.3">
      <c r="C131" s="10"/>
      <c r="D131" s="11" t="s">
        <v>93</v>
      </c>
      <c r="E131" s="21" t="s">
        <v>12</v>
      </c>
      <c r="F131" s="12">
        <v>1</v>
      </c>
      <c r="G131" s="13">
        <v>2.82</v>
      </c>
      <c r="H131" s="13"/>
      <c r="I131" s="13">
        <v>0.45</v>
      </c>
      <c r="J131" s="12">
        <v>1</v>
      </c>
      <c r="K131" s="13"/>
      <c r="L131" s="13">
        <f t="shared" si="10"/>
        <v>1.2689999999999999</v>
      </c>
      <c r="M131" s="2"/>
      <c r="N131" s="2"/>
      <c r="O131" s="2"/>
      <c r="P131" s="2"/>
    </row>
    <row r="132" spans="3:16" s="3" customFormat="1" hidden="1" x14ac:dyDescent="0.3">
      <c r="C132" s="10"/>
      <c r="D132" s="11" t="s">
        <v>94</v>
      </c>
      <c r="E132" s="21" t="s">
        <v>12</v>
      </c>
      <c r="F132" s="12">
        <v>1</v>
      </c>
      <c r="G132" s="13">
        <v>1.9</v>
      </c>
      <c r="H132" s="13"/>
      <c r="I132" s="13">
        <v>0.45</v>
      </c>
      <c r="J132" s="12">
        <v>1</v>
      </c>
      <c r="K132" s="13"/>
      <c r="L132" s="13">
        <f t="shared" si="10"/>
        <v>0.85499999999999998</v>
      </c>
      <c r="M132" s="2"/>
      <c r="N132" s="2"/>
      <c r="O132" s="2"/>
      <c r="P132" s="2"/>
    </row>
    <row r="133" spans="3:16" s="3" customFormat="1" hidden="1" x14ac:dyDescent="0.3">
      <c r="C133" s="10"/>
      <c r="D133" s="11" t="s">
        <v>95</v>
      </c>
      <c r="E133" s="21" t="s">
        <v>12</v>
      </c>
      <c r="F133" s="12">
        <v>1</v>
      </c>
      <c r="G133" s="13">
        <v>2.95</v>
      </c>
      <c r="H133" s="13"/>
      <c r="I133" s="13">
        <v>0.3</v>
      </c>
      <c r="J133" s="12">
        <v>1</v>
      </c>
      <c r="K133" s="13"/>
      <c r="L133" s="13">
        <f t="shared" si="10"/>
        <v>0.88500000000000001</v>
      </c>
      <c r="M133" s="2"/>
      <c r="N133" s="2"/>
      <c r="O133" s="2"/>
      <c r="P133" s="2"/>
    </row>
    <row r="134" spans="3:16" s="3" customFormat="1" hidden="1" x14ac:dyDescent="0.3">
      <c r="C134" s="14"/>
      <c r="D134" s="16" t="s">
        <v>106</v>
      </c>
      <c r="E134" s="1"/>
      <c r="F134" s="4"/>
      <c r="G134" s="5"/>
      <c r="H134" s="5"/>
      <c r="I134" s="5"/>
      <c r="J134" s="7"/>
      <c r="K134" s="8"/>
      <c r="L134" s="8"/>
      <c r="M134" s="9"/>
      <c r="N134" s="9"/>
      <c r="O134" s="9"/>
      <c r="P134" s="9"/>
    </row>
    <row r="135" spans="3:16" s="3" customFormat="1" hidden="1" x14ac:dyDescent="0.3">
      <c r="C135" s="14"/>
      <c r="D135" s="19" t="s">
        <v>107</v>
      </c>
      <c r="E135" s="1"/>
      <c r="F135" s="4"/>
      <c r="G135" s="5"/>
      <c r="H135" s="5"/>
      <c r="I135" s="5"/>
      <c r="J135" s="7"/>
      <c r="K135" s="8"/>
      <c r="L135" s="8"/>
      <c r="M135" s="9"/>
      <c r="N135" s="9"/>
      <c r="O135" s="9"/>
      <c r="P135" s="9"/>
    </row>
    <row r="136" spans="3:16" s="3" customFormat="1" hidden="1" x14ac:dyDescent="0.3">
      <c r="C136" s="10"/>
      <c r="D136" s="18" t="s">
        <v>98</v>
      </c>
      <c r="E136" s="21" t="s">
        <v>12</v>
      </c>
      <c r="F136" s="12">
        <v>1</v>
      </c>
      <c r="G136" s="13"/>
      <c r="H136" s="13">
        <v>1</v>
      </c>
      <c r="I136" s="13">
        <v>2.95</v>
      </c>
      <c r="J136" s="12">
        <v>1</v>
      </c>
      <c r="K136" s="13"/>
      <c r="L136" s="13">
        <f>IF(F136="","",PRODUCT(F136:J136))</f>
        <v>2.95</v>
      </c>
      <c r="M136" s="2"/>
      <c r="N136" s="2"/>
      <c r="O136" s="2"/>
      <c r="P136" s="2"/>
    </row>
    <row r="137" spans="3:16" s="3" customFormat="1" hidden="1" x14ac:dyDescent="0.3">
      <c r="C137" s="14"/>
      <c r="D137" s="16" t="s">
        <v>108</v>
      </c>
      <c r="E137" s="1"/>
      <c r="F137" s="4"/>
      <c r="G137" s="5"/>
      <c r="H137" s="5"/>
      <c r="I137" s="5"/>
      <c r="J137" s="7"/>
      <c r="K137" s="8"/>
      <c r="L137" s="8"/>
      <c r="M137" s="9"/>
      <c r="N137" s="9"/>
      <c r="O137" s="9"/>
      <c r="P137" s="9"/>
    </row>
    <row r="138" spans="3:16" s="3" customFormat="1" hidden="1" x14ac:dyDescent="0.3">
      <c r="C138" s="14"/>
      <c r="D138" s="19" t="s">
        <v>107</v>
      </c>
      <c r="E138" s="1"/>
      <c r="F138" s="4"/>
      <c r="G138" s="5"/>
      <c r="H138" s="5"/>
      <c r="I138" s="5"/>
      <c r="J138" s="7"/>
      <c r="K138" s="8"/>
      <c r="L138" s="8"/>
      <c r="M138" s="9"/>
      <c r="N138" s="9"/>
      <c r="O138" s="9"/>
      <c r="P138" s="9"/>
    </row>
    <row r="139" spans="3:16" s="3" customFormat="1" hidden="1" x14ac:dyDescent="0.3">
      <c r="C139" s="10"/>
      <c r="D139" s="18" t="s">
        <v>99</v>
      </c>
      <c r="E139" s="21" t="s">
        <v>12</v>
      </c>
      <c r="F139" s="12">
        <v>1</v>
      </c>
      <c r="G139" s="13"/>
      <c r="H139" s="13">
        <v>0.6</v>
      </c>
      <c r="I139" s="13">
        <v>2.95</v>
      </c>
      <c r="J139" s="12">
        <v>1</v>
      </c>
      <c r="K139" s="13"/>
      <c r="L139" s="13">
        <f>IF(F139="","",PRODUCT(F139:J139))</f>
        <v>1.77</v>
      </c>
      <c r="M139" s="2"/>
      <c r="N139" s="2"/>
      <c r="O139" s="2"/>
      <c r="P139" s="2"/>
    </row>
    <row r="140" spans="3:16" x14ac:dyDescent="0.3">
      <c r="C140" s="63"/>
      <c r="D140" s="80"/>
      <c r="E140" s="90"/>
      <c r="F140" s="66"/>
      <c r="G140" s="67"/>
      <c r="H140" s="67"/>
      <c r="I140" s="67"/>
      <c r="J140" s="66"/>
      <c r="K140" s="67"/>
      <c r="L140" s="67"/>
      <c r="M140" s="68"/>
      <c r="N140" s="68"/>
      <c r="O140" s="68"/>
      <c r="P140" s="68"/>
    </row>
  </sheetData>
  <autoFilter ref="C16:P139" xr:uid="{00000000-0009-0000-0000-000004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1740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etrado8" filterMode="1"/>
  <dimension ref="A1:W140"/>
  <sheetViews>
    <sheetView view="pageBreakPreview" zoomScaleNormal="85" zoomScaleSheetLayoutView="100" workbookViewId="0">
      <selection activeCell="C126" sqref="C126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51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37303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132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0.199999999999999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307">
        <v>1</v>
      </c>
      <c r="D18" s="278" t="s">
        <v>132</v>
      </c>
      <c r="E18" s="318"/>
      <c r="F18" s="319"/>
      <c r="G18" s="310"/>
      <c r="H18" s="310"/>
      <c r="I18" s="310"/>
      <c r="J18" s="280"/>
      <c r="K18" s="281"/>
      <c r="L18" s="281"/>
      <c r="M18" s="186"/>
      <c r="N18" s="186"/>
      <c r="O18" s="186"/>
      <c r="P18" s="186"/>
    </row>
    <row r="19" spans="1:16" s="321" customFormat="1" x14ac:dyDescent="0.3">
      <c r="A19" s="321">
        <v>1</v>
      </c>
      <c r="C19" s="145" t="s">
        <v>441</v>
      </c>
      <c r="D19" s="133" t="s">
        <v>17</v>
      </c>
      <c r="E19" s="323"/>
      <c r="F19" s="339"/>
      <c r="G19" s="326"/>
      <c r="H19" s="326"/>
      <c r="I19" s="326"/>
      <c r="J19" s="327"/>
      <c r="K19" s="328"/>
      <c r="L19" s="328"/>
      <c r="M19" s="328"/>
      <c r="N19" s="328"/>
      <c r="O19" s="328"/>
      <c r="P19" s="328"/>
    </row>
    <row r="20" spans="1:16" x14ac:dyDescent="0.3">
      <c r="A20" s="104">
        <v>2</v>
      </c>
      <c r="C20" s="97" t="s">
        <v>423</v>
      </c>
      <c r="D20" s="98" t="s">
        <v>28</v>
      </c>
      <c r="E20" s="88"/>
      <c r="F20" s="51"/>
      <c r="G20" s="52"/>
      <c r="H20" s="52"/>
      <c r="I20" s="52"/>
      <c r="J20" s="59"/>
      <c r="K20" s="60"/>
      <c r="L20" s="60"/>
      <c r="M20" s="100"/>
      <c r="N20" s="100"/>
      <c r="O20" s="100"/>
      <c r="P20" s="100"/>
    </row>
    <row r="21" spans="1:16" s="3" customFormat="1" hidden="1" x14ac:dyDescent="0.3">
      <c r="C21" s="14"/>
      <c r="D21" s="16" t="s">
        <v>60</v>
      </c>
      <c r="E21" s="1"/>
      <c r="F21" s="4"/>
      <c r="G21" s="5"/>
      <c r="H21" s="5"/>
      <c r="I21" s="5"/>
      <c r="J21" s="7"/>
      <c r="K21" s="8"/>
      <c r="L21" s="8"/>
      <c r="M21" s="9"/>
      <c r="N21" s="9"/>
      <c r="O21" s="9"/>
      <c r="P21" s="9"/>
    </row>
    <row r="22" spans="1:16" s="3" customFormat="1" hidden="1" x14ac:dyDescent="0.3">
      <c r="C22" s="10"/>
      <c r="D22" s="18" t="s">
        <v>65</v>
      </c>
      <c r="E22" s="21" t="s">
        <v>14</v>
      </c>
      <c r="F22" s="12">
        <v>2</v>
      </c>
      <c r="G22" s="13"/>
      <c r="H22" s="13"/>
      <c r="I22" s="13"/>
      <c r="J22" s="12">
        <v>1</v>
      </c>
      <c r="K22" s="13"/>
      <c r="L22" s="13"/>
      <c r="M22" s="2"/>
      <c r="N22" s="2"/>
      <c r="O22" s="2">
        <f>IF(F22="","",PRODUCT(F22:J22))</f>
        <v>2</v>
      </c>
      <c r="P22" s="2"/>
    </row>
    <row r="23" spans="1:16" s="3" customFormat="1" hidden="1" x14ac:dyDescent="0.3">
      <c r="C23" s="14"/>
      <c r="D23" s="16" t="s">
        <v>60</v>
      </c>
      <c r="E23" s="1"/>
      <c r="F23" s="4"/>
      <c r="G23" s="5"/>
      <c r="H23" s="5"/>
      <c r="I23" s="5"/>
      <c r="J23" s="7"/>
      <c r="K23" s="8"/>
      <c r="L23" s="8"/>
      <c r="M23" s="9"/>
      <c r="N23" s="9"/>
      <c r="O23" s="9"/>
      <c r="P23" s="9"/>
    </row>
    <row r="24" spans="1:16" s="3" customFormat="1" hidden="1" x14ac:dyDescent="0.3">
      <c r="C24" s="10"/>
      <c r="D24" s="18" t="s">
        <v>105</v>
      </c>
      <c r="E24" s="21" t="s">
        <v>13</v>
      </c>
      <c r="F24" s="12">
        <v>1</v>
      </c>
      <c r="G24" s="13">
        <v>3.35</v>
      </c>
      <c r="H24" s="13"/>
      <c r="I24" s="13"/>
      <c r="J24" s="12">
        <v>1</v>
      </c>
      <c r="K24" s="13">
        <f>IF(F24="","",PRODUCT(F24:J24))</f>
        <v>3.35</v>
      </c>
      <c r="L24" s="13"/>
      <c r="M24" s="2"/>
      <c r="N24" s="2"/>
      <c r="O24" s="2"/>
      <c r="P24" s="2"/>
    </row>
    <row r="25" spans="1:16" s="3" customFormat="1" hidden="1" x14ac:dyDescent="0.3">
      <c r="C25" s="14"/>
      <c r="D25" s="16" t="s">
        <v>60</v>
      </c>
      <c r="E25" s="1"/>
      <c r="F25" s="4"/>
      <c r="G25" s="5"/>
      <c r="H25" s="5"/>
      <c r="I25" s="5"/>
      <c r="J25" s="7"/>
      <c r="K25" s="8"/>
      <c r="L25" s="8"/>
      <c r="M25" s="9"/>
      <c r="N25" s="9"/>
      <c r="O25" s="9"/>
      <c r="P25" s="9"/>
    </row>
    <row r="26" spans="1:16" s="3" customFormat="1" hidden="1" x14ac:dyDescent="0.3">
      <c r="C26" s="10"/>
      <c r="D26" s="18" t="s">
        <v>98</v>
      </c>
      <c r="E26" s="21" t="s">
        <v>14</v>
      </c>
      <c r="F26" s="12">
        <v>1</v>
      </c>
      <c r="G26" s="13"/>
      <c r="H26" s="13"/>
      <c r="I26" s="13"/>
      <c r="J26" s="12">
        <v>3</v>
      </c>
      <c r="K26" s="13"/>
      <c r="L26" s="13"/>
      <c r="M26" s="2"/>
      <c r="N26" s="2"/>
      <c r="O26" s="2">
        <f>IF(F26="","",PRODUCT(F26:J26))</f>
        <v>3</v>
      </c>
      <c r="P26" s="2"/>
    </row>
    <row r="27" spans="1:16" s="3" customFormat="1" hidden="1" x14ac:dyDescent="0.3">
      <c r="C27" s="10"/>
      <c r="D27" s="18" t="s">
        <v>99</v>
      </c>
      <c r="E27" s="21" t="s">
        <v>14</v>
      </c>
      <c r="F27" s="12">
        <v>2</v>
      </c>
      <c r="G27" s="13"/>
      <c r="H27" s="13"/>
      <c r="I27" s="13"/>
      <c r="J27" s="12">
        <v>3</v>
      </c>
      <c r="K27" s="13"/>
      <c r="L27" s="13"/>
      <c r="M27" s="2"/>
      <c r="N27" s="2"/>
      <c r="O27" s="2">
        <f>IF(F27="","",PRODUCT(F27:J27))</f>
        <v>6</v>
      </c>
      <c r="P27" s="2"/>
    </row>
    <row r="28" spans="1:16" s="3" customFormat="1" hidden="1" x14ac:dyDescent="0.3">
      <c r="C28" s="14"/>
      <c r="D28" s="16" t="s">
        <v>60</v>
      </c>
      <c r="E28" s="1"/>
      <c r="F28" s="4"/>
      <c r="G28" s="5"/>
      <c r="H28" s="5"/>
      <c r="I28" s="5"/>
      <c r="J28" s="7"/>
      <c r="K28" s="8"/>
      <c r="L28" s="8"/>
      <c r="M28" s="9"/>
      <c r="N28" s="9"/>
      <c r="O28" s="9"/>
      <c r="P28" s="9"/>
    </row>
    <row r="29" spans="1:16" s="3" customFormat="1" hidden="1" x14ac:dyDescent="0.3">
      <c r="C29" s="24"/>
      <c r="D29" s="18" t="s">
        <v>103</v>
      </c>
      <c r="E29" s="21" t="s">
        <v>14</v>
      </c>
      <c r="F29" s="12">
        <v>1</v>
      </c>
      <c r="G29" s="13"/>
      <c r="H29" s="13"/>
      <c r="I29" s="13"/>
      <c r="J29" s="12">
        <v>3</v>
      </c>
      <c r="K29" s="13"/>
      <c r="L29" s="13"/>
      <c r="M29" s="2"/>
      <c r="N29" s="2"/>
      <c r="O29" s="2">
        <f>IF(F29="","",PRODUCT(F29:J29))</f>
        <v>3</v>
      </c>
      <c r="P29" s="2"/>
    </row>
    <row r="30" spans="1:16" s="3" customFormat="1" hidden="1" x14ac:dyDescent="0.3">
      <c r="C30" s="24"/>
      <c r="D30" s="18" t="s">
        <v>104</v>
      </c>
      <c r="E30" s="21" t="s">
        <v>14</v>
      </c>
      <c r="F30" s="12">
        <v>4</v>
      </c>
      <c r="G30" s="13"/>
      <c r="H30" s="13"/>
      <c r="I30" s="13"/>
      <c r="J30" s="12">
        <v>3</v>
      </c>
      <c r="K30" s="13"/>
      <c r="L30" s="13"/>
      <c r="M30" s="2"/>
      <c r="N30" s="2"/>
      <c r="O30" s="2">
        <f>IF(F30="","",PRODUCT(F30:J30))</f>
        <v>12</v>
      </c>
      <c r="P30" s="2"/>
    </row>
    <row r="31" spans="1:16" s="3" customFormat="1" hidden="1" x14ac:dyDescent="0.3">
      <c r="C31" s="14"/>
      <c r="D31" s="16" t="s">
        <v>60</v>
      </c>
      <c r="E31" s="1"/>
      <c r="F31" s="4"/>
      <c r="G31" s="5"/>
      <c r="H31" s="5"/>
      <c r="I31" s="5"/>
      <c r="J31" s="7"/>
      <c r="K31" s="8"/>
      <c r="L31" s="8"/>
      <c r="M31" s="9"/>
      <c r="N31" s="9"/>
      <c r="O31" s="9"/>
      <c r="P31" s="9"/>
    </row>
    <row r="32" spans="1:16" s="3" customFormat="1" hidden="1" x14ac:dyDescent="0.3">
      <c r="C32" s="10"/>
      <c r="D32" s="18" t="s">
        <v>98</v>
      </c>
      <c r="E32" s="21" t="s">
        <v>14</v>
      </c>
      <c r="F32" s="12">
        <v>1</v>
      </c>
      <c r="G32" s="13"/>
      <c r="H32" s="13"/>
      <c r="I32" s="13"/>
      <c r="J32" s="12">
        <v>1</v>
      </c>
      <c r="K32" s="13"/>
      <c r="L32" s="13"/>
      <c r="M32" s="2"/>
      <c r="N32" s="2"/>
      <c r="O32" s="2">
        <f>IF(F32="","",PRODUCT(F32:J32))</f>
        <v>1</v>
      </c>
      <c r="P32" s="2"/>
    </row>
    <row r="33" spans="3:16" s="3" customFormat="1" hidden="1" x14ac:dyDescent="0.3">
      <c r="C33" s="14"/>
      <c r="D33" s="16" t="s">
        <v>60</v>
      </c>
      <c r="E33" s="1"/>
      <c r="F33" s="4"/>
      <c r="G33" s="5"/>
      <c r="H33" s="5"/>
      <c r="I33" s="5"/>
      <c r="J33" s="7"/>
      <c r="K33" s="8"/>
      <c r="L33" s="8"/>
      <c r="M33" s="9"/>
      <c r="N33" s="9"/>
      <c r="O33" s="9"/>
      <c r="P33" s="9"/>
    </row>
    <row r="34" spans="3:16" s="3" customFormat="1" hidden="1" x14ac:dyDescent="0.3">
      <c r="C34" s="10"/>
      <c r="D34" s="18" t="s">
        <v>99</v>
      </c>
      <c r="E34" s="21" t="s">
        <v>14</v>
      </c>
      <c r="F34" s="12">
        <v>1</v>
      </c>
      <c r="G34" s="13"/>
      <c r="H34" s="13"/>
      <c r="I34" s="13"/>
      <c r="J34" s="12">
        <v>1</v>
      </c>
      <c r="K34" s="13"/>
      <c r="L34" s="13"/>
      <c r="M34" s="2"/>
      <c r="N34" s="2"/>
      <c r="O34" s="2">
        <f>IF(F34="","",PRODUCT(F34:J34))</f>
        <v>1</v>
      </c>
      <c r="P34" s="2"/>
    </row>
    <row r="35" spans="3:16" s="3" customFormat="1" hidden="1" x14ac:dyDescent="0.3">
      <c r="C35" s="14"/>
      <c r="D35" s="16" t="s">
        <v>60</v>
      </c>
      <c r="E35" s="1"/>
      <c r="F35" s="4"/>
      <c r="G35" s="5"/>
      <c r="H35" s="5"/>
      <c r="I35" s="5"/>
      <c r="J35" s="7"/>
      <c r="K35" s="8"/>
      <c r="L35" s="8"/>
      <c r="M35" s="9"/>
      <c r="N35" s="9"/>
      <c r="O35" s="9"/>
      <c r="P35" s="9"/>
    </row>
    <row r="36" spans="3:16" s="3" customFormat="1" hidden="1" x14ac:dyDescent="0.3">
      <c r="C36" s="10"/>
      <c r="D36" s="18" t="s">
        <v>103</v>
      </c>
      <c r="E36" s="21" t="s">
        <v>14</v>
      </c>
      <c r="F36" s="12">
        <v>1</v>
      </c>
      <c r="G36" s="13"/>
      <c r="H36" s="13"/>
      <c r="I36" s="13"/>
      <c r="J36" s="12">
        <v>1</v>
      </c>
      <c r="K36" s="13"/>
      <c r="L36" s="13"/>
      <c r="M36" s="2"/>
      <c r="N36" s="2"/>
      <c r="O36" s="2">
        <f>IF(F36="","",PRODUCT(F36:J36))</f>
        <v>1</v>
      </c>
      <c r="P36" s="2"/>
    </row>
    <row r="37" spans="3:16" s="3" customFormat="1" hidden="1" x14ac:dyDescent="0.3">
      <c r="C37" s="10"/>
      <c r="D37" s="18" t="s">
        <v>104</v>
      </c>
      <c r="E37" s="21" t="s">
        <v>14</v>
      </c>
      <c r="F37" s="12">
        <v>4</v>
      </c>
      <c r="G37" s="13"/>
      <c r="H37" s="13"/>
      <c r="I37" s="13"/>
      <c r="J37" s="12">
        <v>1</v>
      </c>
      <c r="K37" s="13"/>
      <c r="L37" s="13"/>
      <c r="M37" s="2"/>
      <c r="N37" s="2"/>
      <c r="O37" s="2">
        <f>IF(F37="","",PRODUCT(F37:J37))</f>
        <v>4</v>
      </c>
      <c r="P37" s="2"/>
    </row>
    <row r="38" spans="3:16" s="3" customFormat="1" hidden="1" x14ac:dyDescent="0.3">
      <c r="C38" s="14"/>
      <c r="D38" s="16" t="s">
        <v>60</v>
      </c>
      <c r="E38" s="1"/>
      <c r="F38" s="4"/>
      <c r="G38" s="5"/>
      <c r="H38" s="5"/>
      <c r="I38" s="5"/>
      <c r="J38" s="7"/>
      <c r="K38" s="8"/>
      <c r="L38" s="8"/>
      <c r="M38" s="9"/>
      <c r="N38" s="9"/>
      <c r="O38" s="9"/>
      <c r="P38" s="9"/>
    </row>
    <row r="39" spans="3:16" s="3" customFormat="1" hidden="1" x14ac:dyDescent="0.3">
      <c r="C39" s="10"/>
      <c r="D39" s="18" t="s">
        <v>103</v>
      </c>
      <c r="E39" s="21" t="s">
        <v>14</v>
      </c>
      <c r="F39" s="12">
        <v>1</v>
      </c>
      <c r="G39" s="13"/>
      <c r="H39" s="13"/>
      <c r="I39" s="13"/>
      <c r="J39" s="12">
        <v>1</v>
      </c>
      <c r="K39" s="13"/>
      <c r="L39" s="13"/>
      <c r="M39" s="2"/>
      <c r="N39" s="2"/>
      <c r="O39" s="2">
        <f>IF(F39="","",PRODUCT(F39:J39))</f>
        <v>1</v>
      </c>
      <c r="P39" s="2"/>
    </row>
    <row r="40" spans="3:16" s="3" customFormat="1" hidden="1" x14ac:dyDescent="0.3">
      <c r="C40" s="10"/>
      <c r="D40" s="18" t="s">
        <v>104</v>
      </c>
      <c r="E40" s="21" t="s">
        <v>14</v>
      </c>
      <c r="F40" s="12">
        <v>4</v>
      </c>
      <c r="G40" s="13"/>
      <c r="H40" s="13"/>
      <c r="I40" s="13"/>
      <c r="J40" s="12">
        <v>1</v>
      </c>
      <c r="K40" s="13"/>
      <c r="L40" s="13"/>
      <c r="M40" s="2"/>
      <c r="N40" s="2"/>
      <c r="O40" s="2">
        <f>IF(F40="","",PRODUCT(F40:J40))</f>
        <v>4</v>
      </c>
      <c r="P40" s="2"/>
    </row>
    <row r="41" spans="3:16" s="3" customFormat="1" hidden="1" x14ac:dyDescent="0.3">
      <c r="C41" s="15"/>
      <c r="D41" s="16" t="s">
        <v>60</v>
      </c>
      <c r="E41" s="23"/>
      <c r="F41" s="7"/>
      <c r="G41" s="8"/>
      <c r="H41" s="8"/>
      <c r="I41" s="8"/>
      <c r="J41" s="7"/>
      <c r="K41" s="8"/>
      <c r="L41" s="8" t="str">
        <f>IF(F41="","",PRODUCT(F41:J41))</f>
        <v/>
      </c>
      <c r="M41" s="9"/>
      <c r="N41" s="9"/>
      <c r="O41" s="9"/>
      <c r="P41" s="9"/>
    </row>
    <row r="42" spans="3:16" s="3" customFormat="1" hidden="1" x14ac:dyDescent="0.3">
      <c r="C42" s="10"/>
      <c r="D42" s="18" t="s">
        <v>97</v>
      </c>
      <c r="E42" s="21" t="s">
        <v>12</v>
      </c>
      <c r="F42" s="12">
        <v>1</v>
      </c>
      <c r="G42" s="13"/>
      <c r="H42" s="13">
        <v>2.35</v>
      </c>
      <c r="I42" s="13">
        <v>0.75</v>
      </c>
      <c r="J42" s="12">
        <v>1</v>
      </c>
      <c r="K42" s="13"/>
      <c r="L42" s="13">
        <f>IF(F42="","",PRODUCT(F42:J42))</f>
        <v>1.7625000000000002</v>
      </c>
      <c r="M42" s="2"/>
      <c r="N42" s="2"/>
      <c r="O42" s="2"/>
      <c r="P42" s="2"/>
    </row>
    <row r="43" spans="3:16" s="3" customFormat="1" hidden="1" x14ac:dyDescent="0.3">
      <c r="C43" s="6"/>
      <c r="D43" s="16" t="s">
        <v>60</v>
      </c>
      <c r="E43" s="23"/>
      <c r="F43" s="7"/>
      <c r="G43" s="8"/>
      <c r="H43" s="8"/>
      <c r="I43" s="8"/>
      <c r="J43" s="7"/>
      <c r="K43" s="8"/>
      <c r="L43" s="8"/>
      <c r="M43" s="9"/>
      <c r="N43" s="9"/>
      <c r="O43" s="9"/>
      <c r="P43" s="9"/>
    </row>
    <row r="44" spans="3:16" s="3" customFormat="1" hidden="1" x14ac:dyDescent="0.3">
      <c r="C44" s="10"/>
      <c r="D44" s="18" t="s">
        <v>96</v>
      </c>
      <c r="E44" s="21" t="s">
        <v>12</v>
      </c>
      <c r="F44" s="12">
        <v>1</v>
      </c>
      <c r="G44" s="13" t="s">
        <v>63</v>
      </c>
      <c r="H44" s="13">
        <v>12.48</v>
      </c>
      <c r="I44" s="13"/>
      <c r="J44" s="12">
        <v>1</v>
      </c>
      <c r="K44" s="13"/>
      <c r="L44" s="13">
        <f t="shared" ref="L44:L49" si="0">PRODUCT(F44:J44)</f>
        <v>12.48</v>
      </c>
      <c r="M44" s="2"/>
      <c r="N44" s="2"/>
      <c r="O44" s="2"/>
      <c r="P44" s="2"/>
    </row>
    <row r="45" spans="3:16" s="3" customFormat="1" hidden="1" x14ac:dyDescent="0.3">
      <c r="C45" s="10"/>
      <c r="D45" s="18"/>
      <c r="E45" s="21" t="s">
        <v>12</v>
      </c>
      <c r="F45" s="12">
        <v>1</v>
      </c>
      <c r="G45" s="13" t="s">
        <v>63</v>
      </c>
      <c r="H45" s="13">
        <v>6.88</v>
      </c>
      <c r="I45" s="13"/>
      <c r="J45" s="12">
        <v>1</v>
      </c>
      <c r="K45" s="13"/>
      <c r="L45" s="13">
        <f t="shared" si="0"/>
        <v>6.88</v>
      </c>
      <c r="M45" s="2"/>
      <c r="N45" s="2"/>
      <c r="O45" s="2"/>
      <c r="P45" s="2"/>
    </row>
    <row r="46" spans="3:16" s="3" customFormat="1" hidden="1" x14ac:dyDescent="0.3">
      <c r="C46" s="10"/>
      <c r="D46" s="18"/>
      <c r="E46" s="21" t="s">
        <v>12</v>
      </c>
      <c r="F46" s="12">
        <v>1</v>
      </c>
      <c r="G46" s="13" t="s">
        <v>63</v>
      </c>
      <c r="H46" s="13">
        <v>1.18</v>
      </c>
      <c r="I46" s="13"/>
      <c r="J46" s="12">
        <v>1</v>
      </c>
      <c r="K46" s="13"/>
      <c r="L46" s="13">
        <f t="shared" si="0"/>
        <v>1.18</v>
      </c>
      <c r="M46" s="2"/>
      <c r="N46" s="2"/>
      <c r="O46" s="2"/>
      <c r="P46" s="2"/>
    </row>
    <row r="47" spans="3:16" s="3" customFormat="1" hidden="1" x14ac:dyDescent="0.3">
      <c r="C47" s="10"/>
      <c r="D47" s="18" t="s">
        <v>100</v>
      </c>
      <c r="E47" s="21" t="s">
        <v>12</v>
      </c>
      <c r="F47" s="12">
        <v>1</v>
      </c>
      <c r="G47" s="13" t="s">
        <v>63</v>
      </c>
      <c r="H47" s="13">
        <v>1</v>
      </c>
      <c r="I47" s="13"/>
      <c r="J47" s="12">
        <v>1</v>
      </c>
      <c r="K47" s="13"/>
      <c r="L47" s="13">
        <f t="shared" si="0"/>
        <v>1</v>
      </c>
      <c r="M47" s="2"/>
      <c r="N47" s="2"/>
      <c r="O47" s="2"/>
      <c r="P47" s="2"/>
    </row>
    <row r="48" spans="3:16" s="3" customFormat="1" hidden="1" x14ac:dyDescent="0.3">
      <c r="C48" s="10"/>
      <c r="D48" s="18" t="s">
        <v>101</v>
      </c>
      <c r="E48" s="21" t="s">
        <v>12</v>
      </c>
      <c r="F48" s="12">
        <v>1</v>
      </c>
      <c r="G48" s="13" t="s">
        <v>63</v>
      </c>
      <c r="H48" s="13">
        <v>1</v>
      </c>
      <c r="I48" s="13"/>
      <c r="J48" s="12">
        <v>1</v>
      </c>
      <c r="K48" s="13"/>
      <c r="L48" s="13">
        <f t="shared" si="0"/>
        <v>1</v>
      </c>
      <c r="M48" s="2"/>
      <c r="N48" s="2"/>
      <c r="O48" s="2"/>
      <c r="P48" s="2"/>
    </row>
    <row r="49" spans="3:16" s="3" customFormat="1" hidden="1" x14ac:dyDescent="0.3">
      <c r="C49" s="10"/>
      <c r="D49" s="18" t="s">
        <v>102</v>
      </c>
      <c r="E49" s="21" t="s">
        <v>12</v>
      </c>
      <c r="F49" s="12">
        <v>1</v>
      </c>
      <c r="G49" s="13" t="s">
        <v>63</v>
      </c>
      <c r="H49" s="13">
        <v>10.47</v>
      </c>
      <c r="I49" s="13"/>
      <c r="J49" s="12">
        <v>1</v>
      </c>
      <c r="K49" s="13"/>
      <c r="L49" s="13">
        <f t="shared" si="0"/>
        <v>10.47</v>
      </c>
      <c r="M49" s="2"/>
      <c r="N49" s="2"/>
      <c r="O49" s="2"/>
      <c r="P49" s="2"/>
    </row>
    <row r="50" spans="3:16" s="3" customFormat="1" hidden="1" x14ac:dyDescent="0.3">
      <c r="C50" s="6"/>
      <c r="D50" s="16" t="s">
        <v>76</v>
      </c>
      <c r="E50" s="1"/>
      <c r="F50" s="4"/>
      <c r="G50" s="5"/>
      <c r="H50" s="5"/>
      <c r="I50" s="5"/>
      <c r="J50" s="7"/>
      <c r="K50" s="8"/>
      <c r="L50" s="8"/>
      <c r="M50" s="9"/>
      <c r="N50" s="9"/>
      <c r="O50" s="9"/>
      <c r="P50" s="9"/>
    </row>
    <row r="51" spans="3:16" s="3" customFormat="1" hidden="1" x14ac:dyDescent="0.3">
      <c r="C51" s="6"/>
      <c r="D51" s="16" t="s">
        <v>60</v>
      </c>
      <c r="E51" s="1"/>
      <c r="F51" s="4"/>
      <c r="G51" s="5"/>
      <c r="H51" s="5"/>
      <c r="I51" s="5"/>
      <c r="J51" s="7"/>
      <c r="K51" s="8"/>
      <c r="L51" s="8"/>
      <c r="M51" s="9"/>
      <c r="N51" s="9"/>
      <c r="O51" s="9"/>
      <c r="P51" s="9"/>
    </row>
    <row r="52" spans="3:16" s="3" customFormat="1" hidden="1" x14ac:dyDescent="0.3">
      <c r="C52" s="10"/>
      <c r="D52" s="20" t="s">
        <v>68</v>
      </c>
      <c r="E52" s="21" t="s">
        <v>12</v>
      </c>
      <c r="F52" s="22">
        <v>1</v>
      </c>
      <c r="G52" s="17">
        <v>2.82</v>
      </c>
      <c r="H52" s="17"/>
      <c r="I52" s="17">
        <v>2.85</v>
      </c>
      <c r="J52" s="12">
        <v>1</v>
      </c>
      <c r="K52" s="13"/>
      <c r="L52" s="13">
        <f>PRODUCT(F52:J52)</f>
        <v>8.036999999999999</v>
      </c>
      <c r="M52" s="2"/>
      <c r="N52" s="2"/>
      <c r="O52" s="2"/>
      <c r="P52" s="2"/>
    </row>
    <row r="53" spans="3:16" s="3" customFormat="1" hidden="1" x14ac:dyDescent="0.3">
      <c r="C53" s="10"/>
      <c r="D53" s="20" t="s">
        <v>69</v>
      </c>
      <c r="E53" s="21" t="s">
        <v>12</v>
      </c>
      <c r="F53" s="22">
        <v>1</v>
      </c>
      <c r="G53" s="17">
        <v>1.9</v>
      </c>
      <c r="H53" s="17"/>
      <c r="I53" s="17">
        <v>2.85</v>
      </c>
      <c r="J53" s="12">
        <v>1</v>
      </c>
      <c r="K53" s="13"/>
      <c r="L53" s="13">
        <f>PRODUCT(F53:J53)</f>
        <v>5.415</v>
      </c>
      <c r="M53" s="2"/>
      <c r="N53" s="2"/>
      <c r="O53" s="2"/>
      <c r="P53" s="2"/>
    </row>
    <row r="54" spans="3:16" s="3" customFormat="1" hidden="1" x14ac:dyDescent="0.3">
      <c r="C54" s="10"/>
      <c r="D54" s="20" t="s">
        <v>70</v>
      </c>
      <c r="E54" s="21" t="s">
        <v>12</v>
      </c>
      <c r="F54" s="22">
        <v>1</v>
      </c>
      <c r="G54" s="17">
        <v>2.82</v>
      </c>
      <c r="H54" s="17"/>
      <c r="I54" s="17">
        <v>2.85</v>
      </c>
      <c r="J54" s="12">
        <v>1</v>
      </c>
      <c r="K54" s="13"/>
      <c r="L54" s="13">
        <f>PRODUCT(F54:J54)</f>
        <v>8.036999999999999</v>
      </c>
      <c r="M54" s="2"/>
      <c r="N54" s="2"/>
      <c r="O54" s="2"/>
      <c r="P54" s="2"/>
    </row>
    <row r="55" spans="3:16" s="3" customFormat="1" hidden="1" x14ac:dyDescent="0.3">
      <c r="C55" s="10"/>
      <c r="D55" s="20" t="s">
        <v>71</v>
      </c>
      <c r="E55" s="21" t="s">
        <v>12</v>
      </c>
      <c r="F55" s="22">
        <v>1</v>
      </c>
      <c r="G55" s="17">
        <v>1.9</v>
      </c>
      <c r="H55" s="17"/>
      <c r="I55" s="17">
        <v>2.85</v>
      </c>
      <c r="J55" s="12">
        <v>1</v>
      </c>
      <c r="K55" s="13"/>
      <c r="L55" s="13">
        <f>PRODUCT(F55:J55)</f>
        <v>5.415</v>
      </c>
      <c r="M55" s="2"/>
      <c r="N55" s="2"/>
      <c r="O55" s="2"/>
      <c r="P55" s="2"/>
    </row>
    <row r="56" spans="3:16" s="3" customFormat="1" hidden="1" x14ac:dyDescent="0.3">
      <c r="C56" s="14"/>
      <c r="D56" s="16" t="s">
        <v>77</v>
      </c>
      <c r="E56" s="1"/>
      <c r="F56" s="4"/>
      <c r="G56" s="5"/>
      <c r="H56" s="5"/>
      <c r="I56" s="5"/>
      <c r="J56" s="7"/>
      <c r="K56" s="8"/>
      <c r="L56" s="8"/>
      <c r="M56" s="9"/>
      <c r="N56" s="9"/>
      <c r="O56" s="9"/>
      <c r="P56" s="9"/>
    </row>
    <row r="57" spans="3:16" s="3" customFormat="1" hidden="1" x14ac:dyDescent="0.3">
      <c r="C57" s="6"/>
      <c r="D57" s="16" t="s">
        <v>60</v>
      </c>
      <c r="E57" s="1"/>
      <c r="F57" s="4"/>
      <c r="G57" s="5"/>
      <c r="H57" s="5"/>
      <c r="I57" s="5"/>
      <c r="J57" s="7"/>
      <c r="K57" s="8"/>
      <c r="L57" s="8"/>
      <c r="M57" s="9"/>
      <c r="N57" s="9"/>
      <c r="O57" s="9"/>
      <c r="P57" s="9"/>
    </row>
    <row r="58" spans="3:16" s="3" customFormat="1" hidden="1" x14ac:dyDescent="0.3">
      <c r="C58" s="10"/>
      <c r="D58" s="20" t="s">
        <v>72</v>
      </c>
      <c r="E58" s="21" t="s">
        <v>12</v>
      </c>
      <c r="F58" s="22">
        <v>1</v>
      </c>
      <c r="G58" s="17">
        <v>2.35</v>
      </c>
      <c r="H58" s="17"/>
      <c r="I58" s="17">
        <f t="shared" ref="I58:I63" si="1">2.95-2.1</f>
        <v>0.85000000000000009</v>
      </c>
      <c r="J58" s="12">
        <v>1</v>
      </c>
      <c r="K58" s="13"/>
      <c r="L58" s="13">
        <f t="shared" ref="L58:L63" si="2">PRODUCT(F58:J58)</f>
        <v>1.9975000000000003</v>
      </c>
      <c r="M58" s="2"/>
      <c r="N58" s="2"/>
      <c r="O58" s="2"/>
      <c r="P58" s="2"/>
    </row>
    <row r="59" spans="3:16" s="3" customFormat="1" hidden="1" x14ac:dyDescent="0.3">
      <c r="C59" s="10"/>
      <c r="D59" s="20" t="s">
        <v>73</v>
      </c>
      <c r="E59" s="21" t="s">
        <v>12</v>
      </c>
      <c r="F59" s="22">
        <v>2</v>
      </c>
      <c r="G59" s="17">
        <v>1</v>
      </c>
      <c r="H59" s="17"/>
      <c r="I59" s="17">
        <f t="shared" si="1"/>
        <v>0.85000000000000009</v>
      </c>
      <c r="J59" s="12">
        <v>1</v>
      </c>
      <c r="K59" s="13"/>
      <c r="L59" s="13">
        <f t="shared" si="2"/>
        <v>1.7000000000000002</v>
      </c>
      <c r="M59" s="2"/>
      <c r="N59" s="2"/>
      <c r="O59" s="2"/>
      <c r="P59" s="2"/>
    </row>
    <row r="60" spans="3:16" s="3" customFormat="1" hidden="1" x14ac:dyDescent="0.3">
      <c r="C60" s="10"/>
      <c r="D60" s="20" t="s">
        <v>74</v>
      </c>
      <c r="E60" s="21" t="s">
        <v>12</v>
      </c>
      <c r="F60" s="22">
        <v>2</v>
      </c>
      <c r="G60" s="17">
        <v>1.1000000000000001</v>
      </c>
      <c r="H60" s="17"/>
      <c r="I60" s="17">
        <f t="shared" si="1"/>
        <v>0.85000000000000009</v>
      </c>
      <c r="J60" s="12">
        <v>1</v>
      </c>
      <c r="K60" s="13"/>
      <c r="L60" s="13">
        <f t="shared" si="2"/>
        <v>1.8700000000000003</v>
      </c>
      <c r="M60" s="2"/>
      <c r="N60" s="2"/>
      <c r="O60" s="2"/>
      <c r="P60" s="2"/>
    </row>
    <row r="61" spans="3:16" s="3" customFormat="1" hidden="1" x14ac:dyDescent="0.3">
      <c r="C61" s="10"/>
      <c r="D61" s="20" t="s">
        <v>75</v>
      </c>
      <c r="E61" s="21" t="s">
        <v>12</v>
      </c>
      <c r="F61" s="22">
        <v>1</v>
      </c>
      <c r="G61" s="17">
        <v>1.1499999999999999</v>
      </c>
      <c r="H61" s="17"/>
      <c r="I61" s="17">
        <f t="shared" si="1"/>
        <v>0.85000000000000009</v>
      </c>
      <c r="J61" s="12">
        <v>1</v>
      </c>
      <c r="K61" s="13"/>
      <c r="L61" s="13">
        <f t="shared" si="2"/>
        <v>0.97750000000000004</v>
      </c>
      <c r="M61" s="2"/>
      <c r="N61" s="2"/>
      <c r="O61" s="2"/>
      <c r="P61" s="2"/>
    </row>
    <row r="62" spans="3:16" s="3" customFormat="1" hidden="1" x14ac:dyDescent="0.3">
      <c r="C62" s="10"/>
      <c r="D62" s="20" t="s">
        <v>78</v>
      </c>
      <c r="E62" s="21" t="s">
        <v>12</v>
      </c>
      <c r="F62" s="22">
        <v>2</v>
      </c>
      <c r="G62" s="17">
        <v>0.93</v>
      </c>
      <c r="H62" s="17"/>
      <c r="I62" s="17">
        <f t="shared" si="1"/>
        <v>0.85000000000000009</v>
      </c>
      <c r="J62" s="12">
        <v>1</v>
      </c>
      <c r="K62" s="13"/>
      <c r="L62" s="13">
        <f t="shared" si="2"/>
        <v>1.5810000000000002</v>
      </c>
      <c r="M62" s="2"/>
      <c r="N62" s="2"/>
      <c r="O62" s="2"/>
      <c r="P62" s="2"/>
    </row>
    <row r="63" spans="3:16" s="3" customFormat="1" hidden="1" x14ac:dyDescent="0.3">
      <c r="C63" s="10"/>
      <c r="D63" s="20" t="s">
        <v>78</v>
      </c>
      <c r="E63" s="21" t="s">
        <v>12</v>
      </c>
      <c r="F63" s="22">
        <v>2</v>
      </c>
      <c r="G63" s="17">
        <v>0.93</v>
      </c>
      <c r="H63" s="17"/>
      <c r="I63" s="17">
        <f t="shared" si="1"/>
        <v>0.85000000000000009</v>
      </c>
      <c r="J63" s="12">
        <v>1</v>
      </c>
      <c r="K63" s="13"/>
      <c r="L63" s="13">
        <f t="shared" si="2"/>
        <v>1.5810000000000002</v>
      </c>
      <c r="M63" s="2"/>
      <c r="N63" s="2"/>
      <c r="O63" s="2"/>
      <c r="P63" s="2"/>
    </row>
    <row r="64" spans="3:16" s="3" customFormat="1" hidden="1" x14ac:dyDescent="0.3">
      <c r="C64" s="14"/>
      <c r="D64" s="16" t="s">
        <v>76</v>
      </c>
      <c r="E64" s="1"/>
      <c r="F64" s="4"/>
      <c r="G64" s="5"/>
      <c r="H64" s="5"/>
      <c r="I64" s="5"/>
      <c r="J64" s="7"/>
      <c r="K64" s="8"/>
      <c r="L64" s="8"/>
      <c r="M64" s="9"/>
      <c r="N64" s="9"/>
      <c r="O64" s="9"/>
      <c r="P64" s="9"/>
    </row>
    <row r="65" spans="3:16" s="3" customFormat="1" hidden="1" x14ac:dyDescent="0.3">
      <c r="C65" s="6"/>
      <c r="D65" s="16" t="s">
        <v>60</v>
      </c>
      <c r="E65" s="1"/>
      <c r="F65" s="4"/>
      <c r="G65" s="5"/>
      <c r="H65" s="5"/>
      <c r="I65" s="5"/>
      <c r="J65" s="7"/>
      <c r="K65" s="8"/>
      <c r="L65" s="8"/>
      <c r="M65" s="9"/>
      <c r="N65" s="9"/>
      <c r="O65" s="9"/>
      <c r="P65" s="9"/>
    </row>
    <row r="66" spans="3:16" s="3" customFormat="1" hidden="1" x14ac:dyDescent="0.3">
      <c r="C66" s="10"/>
      <c r="D66" s="20" t="s">
        <v>68</v>
      </c>
      <c r="E66" s="21" t="s">
        <v>12</v>
      </c>
      <c r="F66" s="22">
        <v>1</v>
      </c>
      <c r="G66" s="17">
        <v>2.82</v>
      </c>
      <c r="H66" s="17"/>
      <c r="I66" s="17">
        <v>2.95</v>
      </c>
      <c r="J66" s="12">
        <v>1</v>
      </c>
      <c r="K66" s="13"/>
      <c r="L66" s="13">
        <f>PRODUCT(F66:J66)</f>
        <v>8.3190000000000008</v>
      </c>
      <c r="M66" s="2"/>
      <c r="N66" s="2"/>
      <c r="O66" s="2"/>
      <c r="P66" s="2"/>
    </row>
    <row r="67" spans="3:16" s="3" customFormat="1" hidden="1" x14ac:dyDescent="0.3">
      <c r="C67" s="10"/>
      <c r="D67" s="20" t="s">
        <v>69</v>
      </c>
      <c r="E67" s="21" t="s">
        <v>12</v>
      </c>
      <c r="F67" s="22">
        <v>1</v>
      </c>
      <c r="G67" s="17">
        <v>1.9</v>
      </c>
      <c r="H67" s="17"/>
      <c r="I67" s="17">
        <v>2.95</v>
      </c>
      <c r="J67" s="12">
        <v>1</v>
      </c>
      <c r="K67" s="13"/>
      <c r="L67" s="13">
        <f>PRODUCT(F67:J67)</f>
        <v>5.6050000000000004</v>
      </c>
      <c r="M67" s="2"/>
      <c r="N67" s="2"/>
      <c r="O67" s="2"/>
      <c r="P67" s="2"/>
    </row>
    <row r="68" spans="3:16" s="3" customFormat="1" hidden="1" x14ac:dyDescent="0.3">
      <c r="C68" s="10"/>
      <c r="D68" s="20" t="s">
        <v>70</v>
      </c>
      <c r="E68" s="21" t="s">
        <v>12</v>
      </c>
      <c r="F68" s="22">
        <v>1</v>
      </c>
      <c r="G68" s="17">
        <v>2.82</v>
      </c>
      <c r="H68" s="17"/>
      <c r="I68" s="17">
        <v>2.95</v>
      </c>
      <c r="J68" s="12">
        <v>1</v>
      </c>
      <c r="K68" s="13"/>
      <c r="L68" s="13">
        <f>PRODUCT(F68:J68)</f>
        <v>8.3190000000000008</v>
      </c>
      <c r="M68" s="2"/>
      <c r="N68" s="2"/>
      <c r="O68" s="2"/>
      <c r="P68" s="2"/>
    </row>
    <row r="69" spans="3:16" s="3" customFormat="1" hidden="1" x14ac:dyDescent="0.3">
      <c r="C69" s="10"/>
      <c r="D69" s="20" t="s">
        <v>71</v>
      </c>
      <c r="E69" s="21" t="s">
        <v>12</v>
      </c>
      <c r="F69" s="22">
        <v>1</v>
      </c>
      <c r="G69" s="17">
        <v>1.9</v>
      </c>
      <c r="H69" s="17"/>
      <c r="I69" s="17">
        <v>2.95</v>
      </c>
      <c r="J69" s="12">
        <v>1</v>
      </c>
      <c r="K69" s="13"/>
      <c r="L69" s="13">
        <f>PRODUCT(F69:J69)</f>
        <v>5.6050000000000004</v>
      </c>
      <c r="M69" s="2"/>
      <c r="N69" s="2"/>
      <c r="O69" s="2"/>
      <c r="P69" s="2"/>
    </row>
    <row r="70" spans="3:16" s="3" customFormat="1" hidden="1" x14ac:dyDescent="0.3">
      <c r="C70" s="14"/>
      <c r="D70" s="16" t="s">
        <v>77</v>
      </c>
      <c r="E70" s="1"/>
      <c r="F70" s="4"/>
      <c r="G70" s="5"/>
      <c r="H70" s="5"/>
      <c r="I70" s="5"/>
      <c r="J70" s="7"/>
      <c r="K70" s="8"/>
      <c r="L70" s="8"/>
      <c r="M70" s="9"/>
      <c r="N70" s="9"/>
      <c r="O70" s="9"/>
      <c r="P70" s="9"/>
    </row>
    <row r="71" spans="3:16" s="3" customFormat="1" hidden="1" x14ac:dyDescent="0.3">
      <c r="C71" s="6"/>
      <c r="D71" s="16" t="s">
        <v>60</v>
      </c>
      <c r="E71" s="1"/>
      <c r="F71" s="4"/>
      <c r="G71" s="5"/>
      <c r="H71" s="5"/>
      <c r="I71" s="5"/>
      <c r="J71" s="7"/>
      <c r="K71" s="8"/>
      <c r="L71" s="8"/>
      <c r="M71" s="9"/>
      <c r="N71" s="9"/>
      <c r="O71" s="9"/>
      <c r="P71" s="9"/>
    </row>
    <row r="72" spans="3:16" s="3" customFormat="1" hidden="1" x14ac:dyDescent="0.3">
      <c r="C72" s="10"/>
      <c r="D72" s="20" t="s">
        <v>79</v>
      </c>
      <c r="E72" s="21" t="s">
        <v>12</v>
      </c>
      <c r="F72" s="22">
        <v>1</v>
      </c>
      <c r="G72" s="17">
        <v>2.35</v>
      </c>
      <c r="H72" s="17"/>
      <c r="I72" s="17">
        <v>2.17</v>
      </c>
      <c r="J72" s="12">
        <v>1</v>
      </c>
      <c r="K72" s="13"/>
      <c r="L72" s="13">
        <f>PRODUCT(F72:J72)</f>
        <v>5.0994999999999999</v>
      </c>
      <c r="M72" s="2"/>
      <c r="N72" s="2"/>
      <c r="O72" s="2"/>
      <c r="P72" s="2"/>
    </row>
    <row r="73" spans="3:16" s="3" customFormat="1" hidden="1" x14ac:dyDescent="0.3">
      <c r="C73" s="10"/>
      <c r="D73" s="20" t="s">
        <v>75</v>
      </c>
      <c r="E73" s="21" t="s">
        <v>12</v>
      </c>
      <c r="F73" s="22">
        <v>1</v>
      </c>
      <c r="G73" s="17">
        <v>1.1499999999999999</v>
      </c>
      <c r="H73" s="17"/>
      <c r="I73" s="17">
        <v>2.95</v>
      </c>
      <c r="J73" s="12">
        <v>1</v>
      </c>
      <c r="K73" s="13"/>
      <c r="L73" s="13">
        <f>PRODUCT(F73:J73)</f>
        <v>3.3925000000000001</v>
      </c>
      <c r="M73" s="2"/>
      <c r="N73" s="2"/>
      <c r="O73" s="2"/>
      <c r="P73" s="2"/>
    </row>
    <row r="74" spans="3:16" s="3" customFormat="1" hidden="1" x14ac:dyDescent="0.3">
      <c r="C74" s="6"/>
      <c r="D74" s="16" t="s">
        <v>60</v>
      </c>
      <c r="E74" s="23"/>
      <c r="F74" s="7"/>
      <c r="G74" s="8" t="s">
        <v>61</v>
      </c>
      <c r="H74" s="8"/>
      <c r="I74" s="8"/>
      <c r="J74" s="7"/>
      <c r="K74" s="8"/>
      <c r="L74" s="8"/>
      <c r="M74" s="9"/>
      <c r="N74" s="9"/>
      <c r="O74" s="9"/>
      <c r="P74" s="9"/>
    </row>
    <row r="75" spans="3:16" s="3" customFormat="1" hidden="1" x14ac:dyDescent="0.3">
      <c r="C75" s="10"/>
      <c r="D75" s="11" t="s">
        <v>80</v>
      </c>
      <c r="E75" s="21" t="s">
        <v>12</v>
      </c>
      <c r="F75" s="12">
        <v>1</v>
      </c>
      <c r="G75" s="13">
        <v>1.05</v>
      </c>
      <c r="H75" s="17">
        <v>2.95</v>
      </c>
      <c r="I75" s="13"/>
      <c r="J75" s="12">
        <v>1</v>
      </c>
      <c r="K75" s="13"/>
      <c r="L75" s="13">
        <f t="shared" ref="L75:L83" si="3">IF(F75="","",PRODUCT(F75:J75))</f>
        <v>3.0975000000000001</v>
      </c>
      <c r="M75" s="2"/>
      <c r="N75" s="2"/>
      <c r="O75" s="2"/>
      <c r="P75" s="2"/>
    </row>
    <row r="76" spans="3:16" s="3" customFormat="1" hidden="1" x14ac:dyDescent="0.3">
      <c r="C76" s="10"/>
      <c r="D76" s="11"/>
      <c r="E76" s="21" t="s">
        <v>12</v>
      </c>
      <c r="F76" s="12">
        <v>1</v>
      </c>
      <c r="G76" s="13">
        <v>1.45</v>
      </c>
      <c r="H76" s="17">
        <v>2.95</v>
      </c>
      <c r="I76" s="13"/>
      <c r="J76" s="12">
        <v>1</v>
      </c>
      <c r="K76" s="13"/>
      <c r="L76" s="13">
        <f t="shared" si="3"/>
        <v>4.2774999999999999</v>
      </c>
      <c r="M76" s="2"/>
      <c r="N76" s="2"/>
      <c r="O76" s="2"/>
      <c r="P76" s="2"/>
    </row>
    <row r="77" spans="3:16" s="3" customFormat="1" hidden="1" x14ac:dyDescent="0.3">
      <c r="C77" s="10"/>
      <c r="D77" s="11" t="s">
        <v>81</v>
      </c>
      <c r="E77" s="21" t="s">
        <v>12</v>
      </c>
      <c r="F77" s="12">
        <v>1</v>
      </c>
      <c r="G77" s="13">
        <v>1.8</v>
      </c>
      <c r="H77" s="17">
        <v>2.95</v>
      </c>
      <c r="I77" s="13"/>
      <c r="J77" s="12">
        <v>1</v>
      </c>
      <c r="K77" s="13"/>
      <c r="L77" s="13">
        <f t="shared" si="3"/>
        <v>5.3100000000000005</v>
      </c>
      <c r="M77" s="2"/>
      <c r="N77" s="2"/>
      <c r="O77" s="2"/>
      <c r="P77" s="2"/>
    </row>
    <row r="78" spans="3:16" s="3" customFormat="1" hidden="1" x14ac:dyDescent="0.3">
      <c r="C78" s="10"/>
      <c r="D78" s="11"/>
      <c r="E78" s="21" t="s">
        <v>12</v>
      </c>
      <c r="F78" s="12">
        <v>1</v>
      </c>
      <c r="G78" s="13">
        <v>0.6</v>
      </c>
      <c r="H78" s="17">
        <v>2.95</v>
      </c>
      <c r="I78" s="13"/>
      <c r="J78" s="12">
        <v>1</v>
      </c>
      <c r="K78" s="13"/>
      <c r="L78" s="13">
        <f t="shared" si="3"/>
        <v>1.77</v>
      </c>
      <c r="M78" s="2"/>
      <c r="N78" s="2"/>
      <c r="O78" s="2"/>
      <c r="P78" s="2"/>
    </row>
    <row r="79" spans="3:16" s="3" customFormat="1" hidden="1" x14ac:dyDescent="0.3">
      <c r="C79" s="10"/>
      <c r="D79" s="11" t="s">
        <v>82</v>
      </c>
      <c r="E79" s="21" t="s">
        <v>12</v>
      </c>
      <c r="F79" s="12">
        <v>1</v>
      </c>
      <c r="G79" s="13">
        <v>1.05</v>
      </c>
      <c r="H79" s="17">
        <v>2.95</v>
      </c>
      <c r="I79" s="13"/>
      <c r="J79" s="12">
        <v>1</v>
      </c>
      <c r="K79" s="13"/>
      <c r="L79" s="13">
        <f t="shared" si="3"/>
        <v>3.0975000000000001</v>
      </c>
      <c r="M79" s="2"/>
      <c r="N79" s="2"/>
      <c r="O79" s="2"/>
      <c r="P79" s="2"/>
    </row>
    <row r="80" spans="3:16" s="3" customFormat="1" hidden="1" x14ac:dyDescent="0.3">
      <c r="C80" s="10"/>
      <c r="D80" s="11"/>
      <c r="E80" s="21" t="s">
        <v>12</v>
      </c>
      <c r="F80" s="12">
        <v>1</v>
      </c>
      <c r="G80" s="13">
        <v>1.45</v>
      </c>
      <c r="H80" s="17">
        <v>2.95</v>
      </c>
      <c r="I80" s="13"/>
      <c r="J80" s="12">
        <v>1</v>
      </c>
      <c r="K80" s="13"/>
      <c r="L80" s="13">
        <f t="shared" si="3"/>
        <v>4.2774999999999999</v>
      </c>
      <c r="M80" s="2"/>
      <c r="N80" s="2"/>
      <c r="O80" s="2"/>
      <c r="P80" s="2"/>
    </row>
    <row r="81" spans="3:16" s="3" customFormat="1" hidden="1" x14ac:dyDescent="0.3">
      <c r="C81" s="10"/>
      <c r="D81" s="11" t="s">
        <v>83</v>
      </c>
      <c r="E81" s="21" t="s">
        <v>12</v>
      </c>
      <c r="F81" s="12">
        <v>1</v>
      </c>
      <c r="G81" s="13">
        <v>1.8</v>
      </c>
      <c r="H81" s="17">
        <v>2.95</v>
      </c>
      <c r="I81" s="13"/>
      <c r="J81" s="12">
        <v>1</v>
      </c>
      <c r="K81" s="13"/>
      <c r="L81" s="13">
        <f t="shared" si="3"/>
        <v>5.3100000000000005</v>
      </c>
      <c r="M81" s="2"/>
      <c r="N81" s="2"/>
      <c r="O81" s="2"/>
      <c r="P81" s="2"/>
    </row>
    <row r="82" spans="3:16" s="3" customFormat="1" hidden="1" x14ac:dyDescent="0.3">
      <c r="C82" s="10"/>
      <c r="D82" s="11"/>
      <c r="E82" s="21" t="s">
        <v>12</v>
      </c>
      <c r="F82" s="12">
        <v>1</v>
      </c>
      <c r="G82" s="13">
        <v>0.6</v>
      </c>
      <c r="H82" s="17">
        <v>2.95</v>
      </c>
      <c r="I82" s="13"/>
      <c r="J82" s="12">
        <v>1</v>
      </c>
      <c r="K82" s="13"/>
      <c r="L82" s="13">
        <f t="shared" si="3"/>
        <v>1.77</v>
      </c>
      <c r="M82" s="2"/>
      <c r="N82" s="2"/>
      <c r="O82" s="2"/>
      <c r="P82" s="2"/>
    </row>
    <row r="83" spans="3:16" s="3" customFormat="1" hidden="1" x14ac:dyDescent="0.3">
      <c r="C83" s="10"/>
      <c r="D83" s="11" t="s">
        <v>84</v>
      </c>
      <c r="E83" s="21" t="s">
        <v>12</v>
      </c>
      <c r="F83" s="12">
        <v>2</v>
      </c>
      <c r="G83" s="13">
        <v>1.4</v>
      </c>
      <c r="H83" s="17">
        <v>2.95</v>
      </c>
      <c r="I83" s="13"/>
      <c r="J83" s="12">
        <v>1</v>
      </c>
      <c r="K83" s="13"/>
      <c r="L83" s="13">
        <f t="shared" si="3"/>
        <v>8.26</v>
      </c>
      <c r="M83" s="2"/>
      <c r="N83" s="2"/>
      <c r="O83" s="2"/>
      <c r="P83" s="2"/>
    </row>
    <row r="84" spans="3:16" s="3" customFormat="1" hidden="1" x14ac:dyDescent="0.3">
      <c r="C84" s="6"/>
      <c r="D84" s="16" t="s">
        <v>60</v>
      </c>
      <c r="E84" s="23"/>
      <c r="F84" s="7"/>
      <c r="G84" s="8"/>
      <c r="H84" s="8"/>
      <c r="I84" s="8" t="s">
        <v>64</v>
      </c>
      <c r="J84" s="7"/>
      <c r="K84" s="8"/>
      <c r="L84" s="8"/>
      <c r="M84" s="9"/>
      <c r="N84" s="9"/>
      <c r="O84" s="9"/>
      <c r="P84" s="9"/>
    </row>
    <row r="85" spans="3:16" s="3" customFormat="1" hidden="1" x14ac:dyDescent="0.3">
      <c r="C85" s="10"/>
      <c r="D85" s="11" t="s">
        <v>85</v>
      </c>
      <c r="E85" s="21" t="s">
        <v>12</v>
      </c>
      <c r="F85" s="12">
        <v>1</v>
      </c>
      <c r="G85" s="13">
        <v>2.35</v>
      </c>
      <c r="H85" s="13"/>
      <c r="I85" s="13">
        <v>0.65</v>
      </c>
      <c r="J85" s="12">
        <v>1</v>
      </c>
      <c r="K85" s="13"/>
      <c r="L85" s="13">
        <f t="shared" ref="L85:L95" si="4">IF(F85="","",PRODUCT(F85:J85))</f>
        <v>1.5275000000000001</v>
      </c>
      <c r="M85" s="2"/>
      <c r="N85" s="2"/>
      <c r="O85" s="2"/>
      <c r="P85" s="2"/>
    </row>
    <row r="86" spans="3:16" s="3" customFormat="1" hidden="1" x14ac:dyDescent="0.3">
      <c r="C86" s="10"/>
      <c r="D86" s="11" t="s">
        <v>86</v>
      </c>
      <c r="E86" s="21" t="s">
        <v>12</v>
      </c>
      <c r="F86" s="12">
        <v>1</v>
      </c>
      <c r="G86" s="13">
        <v>2.35</v>
      </c>
      <c r="H86" s="13"/>
      <c r="I86" s="13">
        <v>0.65</v>
      </c>
      <c r="J86" s="12">
        <v>1</v>
      </c>
      <c r="K86" s="13"/>
      <c r="L86" s="13">
        <f t="shared" si="4"/>
        <v>1.5275000000000001</v>
      </c>
      <c r="M86" s="2"/>
      <c r="N86" s="2"/>
      <c r="O86" s="2"/>
      <c r="P86" s="2"/>
    </row>
    <row r="87" spans="3:16" s="3" customFormat="1" hidden="1" x14ac:dyDescent="0.3">
      <c r="C87" s="10"/>
      <c r="D87" s="11" t="s">
        <v>87</v>
      </c>
      <c r="E87" s="21" t="s">
        <v>12</v>
      </c>
      <c r="F87" s="12">
        <v>1</v>
      </c>
      <c r="G87" s="13">
        <v>2</v>
      </c>
      <c r="H87" s="13"/>
      <c r="I87" s="13">
        <v>0.65</v>
      </c>
      <c r="J87" s="12">
        <v>1</v>
      </c>
      <c r="K87" s="13"/>
      <c r="L87" s="13">
        <f t="shared" si="4"/>
        <v>1.3</v>
      </c>
      <c r="M87" s="2"/>
      <c r="N87" s="2"/>
      <c r="O87" s="2"/>
      <c r="P87" s="2"/>
    </row>
    <row r="88" spans="3:16" s="3" customFormat="1" hidden="1" x14ac:dyDescent="0.3">
      <c r="C88" s="10"/>
      <c r="D88" s="11" t="s">
        <v>88</v>
      </c>
      <c r="E88" s="21" t="s">
        <v>12</v>
      </c>
      <c r="F88" s="12">
        <v>1</v>
      </c>
      <c r="G88" s="13">
        <v>3.55</v>
      </c>
      <c r="H88" s="13"/>
      <c r="I88" s="13">
        <v>0.65</v>
      </c>
      <c r="J88" s="12">
        <v>1</v>
      </c>
      <c r="K88" s="13"/>
      <c r="L88" s="13">
        <f t="shared" si="4"/>
        <v>2.3075000000000001</v>
      </c>
      <c r="M88" s="2"/>
      <c r="N88" s="2"/>
      <c r="O88" s="2"/>
      <c r="P88" s="2"/>
    </row>
    <row r="89" spans="3:16" s="3" customFormat="1" hidden="1" x14ac:dyDescent="0.3">
      <c r="C89" s="10"/>
      <c r="D89" s="11" t="s">
        <v>89</v>
      </c>
      <c r="E89" s="21" t="s">
        <v>12</v>
      </c>
      <c r="F89" s="12">
        <v>1</v>
      </c>
      <c r="G89" s="13">
        <v>3.3</v>
      </c>
      <c r="H89" s="13"/>
      <c r="I89" s="13">
        <v>0.65</v>
      </c>
      <c r="J89" s="12">
        <v>1</v>
      </c>
      <c r="K89" s="13"/>
      <c r="L89" s="13">
        <f t="shared" si="4"/>
        <v>2.145</v>
      </c>
      <c r="M89" s="2"/>
      <c r="N89" s="2"/>
      <c r="O89" s="2"/>
      <c r="P89" s="2"/>
    </row>
    <row r="90" spans="3:16" s="3" customFormat="1" hidden="1" x14ac:dyDescent="0.3">
      <c r="C90" s="10"/>
      <c r="D90" s="11" t="s">
        <v>90</v>
      </c>
      <c r="E90" s="21" t="s">
        <v>12</v>
      </c>
      <c r="F90" s="12">
        <v>1</v>
      </c>
      <c r="G90" s="13">
        <v>2.3199999999999998</v>
      </c>
      <c r="H90" s="13"/>
      <c r="I90" s="13">
        <v>0.45</v>
      </c>
      <c r="J90" s="12">
        <v>1</v>
      </c>
      <c r="K90" s="13"/>
      <c r="L90" s="13">
        <f t="shared" si="4"/>
        <v>1.044</v>
      </c>
      <c r="M90" s="2"/>
      <c r="N90" s="2"/>
      <c r="O90" s="2"/>
      <c r="P90" s="2"/>
    </row>
    <row r="91" spans="3:16" s="3" customFormat="1" hidden="1" x14ac:dyDescent="0.3">
      <c r="C91" s="10"/>
      <c r="D91" s="11" t="s">
        <v>91</v>
      </c>
      <c r="E91" s="21" t="s">
        <v>12</v>
      </c>
      <c r="F91" s="12">
        <v>1</v>
      </c>
      <c r="G91" s="13">
        <v>1.9</v>
      </c>
      <c r="H91" s="13"/>
      <c r="I91" s="13">
        <v>0.45</v>
      </c>
      <c r="J91" s="12">
        <v>1</v>
      </c>
      <c r="K91" s="13"/>
      <c r="L91" s="13">
        <f t="shared" si="4"/>
        <v>0.85499999999999998</v>
      </c>
      <c r="M91" s="2"/>
      <c r="N91" s="2"/>
      <c r="O91" s="2"/>
      <c r="P91" s="2"/>
    </row>
    <row r="92" spans="3:16" s="3" customFormat="1" hidden="1" x14ac:dyDescent="0.3">
      <c r="C92" s="10"/>
      <c r="D92" s="11" t="s">
        <v>92</v>
      </c>
      <c r="E92" s="21" t="s">
        <v>12</v>
      </c>
      <c r="F92" s="12">
        <v>1</v>
      </c>
      <c r="G92" s="13">
        <v>2.95</v>
      </c>
      <c r="H92" s="13"/>
      <c r="I92" s="13">
        <v>0.3</v>
      </c>
      <c r="J92" s="12">
        <v>1</v>
      </c>
      <c r="K92" s="13"/>
      <c r="L92" s="13">
        <f t="shared" si="4"/>
        <v>0.88500000000000001</v>
      </c>
      <c r="M92" s="2"/>
      <c r="N92" s="2"/>
      <c r="O92" s="2"/>
      <c r="P92" s="2"/>
    </row>
    <row r="93" spans="3:16" s="3" customFormat="1" hidden="1" x14ac:dyDescent="0.3">
      <c r="C93" s="10"/>
      <c r="D93" s="11" t="s">
        <v>93</v>
      </c>
      <c r="E93" s="21" t="s">
        <v>12</v>
      </c>
      <c r="F93" s="12">
        <v>1</v>
      </c>
      <c r="G93" s="13">
        <v>2.82</v>
      </c>
      <c r="H93" s="13"/>
      <c r="I93" s="13">
        <v>0.45</v>
      </c>
      <c r="J93" s="12">
        <v>1</v>
      </c>
      <c r="K93" s="13"/>
      <c r="L93" s="13">
        <f t="shared" si="4"/>
        <v>1.2689999999999999</v>
      </c>
      <c r="M93" s="2"/>
      <c r="N93" s="2"/>
      <c r="O93" s="2"/>
      <c r="P93" s="2"/>
    </row>
    <row r="94" spans="3:16" s="3" customFormat="1" hidden="1" x14ac:dyDescent="0.3">
      <c r="C94" s="10"/>
      <c r="D94" s="11" t="s">
        <v>94</v>
      </c>
      <c r="E94" s="21" t="s">
        <v>12</v>
      </c>
      <c r="F94" s="12">
        <v>1</v>
      </c>
      <c r="G94" s="13">
        <v>1.9</v>
      </c>
      <c r="H94" s="13"/>
      <c r="I94" s="13">
        <v>0.45</v>
      </c>
      <c r="J94" s="12">
        <v>1</v>
      </c>
      <c r="K94" s="13"/>
      <c r="L94" s="13">
        <f t="shared" si="4"/>
        <v>0.85499999999999998</v>
      </c>
      <c r="M94" s="2"/>
      <c r="N94" s="2"/>
      <c r="O94" s="2"/>
      <c r="P94" s="2"/>
    </row>
    <row r="95" spans="3:16" s="3" customFormat="1" hidden="1" x14ac:dyDescent="0.3">
      <c r="C95" s="10"/>
      <c r="D95" s="11" t="s">
        <v>95</v>
      </c>
      <c r="E95" s="21" t="s">
        <v>12</v>
      </c>
      <c r="F95" s="12">
        <v>1</v>
      </c>
      <c r="G95" s="13">
        <v>2.95</v>
      </c>
      <c r="H95" s="13"/>
      <c r="I95" s="13">
        <v>0.3</v>
      </c>
      <c r="J95" s="12">
        <v>1</v>
      </c>
      <c r="K95" s="13"/>
      <c r="L95" s="13">
        <f t="shared" si="4"/>
        <v>0.88500000000000001</v>
      </c>
      <c r="M95" s="2"/>
      <c r="N95" s="2"/>
      <c r="O95" s="2"/>
      <c r="P95" s="2"/>
    </row>
    <row r="96" spans="3:16" s="3" customFormat="1" hidden="1" x14ac:dyDescent="0.3">
      <c r="C96" s="14"/>
      <c r="D96" s="16" t="s">
        <v>106</v>
      </c>
      <c r="E96" s="1"/>
      <c r="F96" s="4"/>
      <c r="G96" s="5"/>
      <c r="H96" s="5"/>
      <c r="I96" s="5"/>
      <c r="J96" s="7"/>
      <c r="K96" s="8"/>
      <c r="L96" s="8"/>
      <c r="M96" s="9"/>
      <c r="N96" s="9"/>
      <c r="O96" s="9"/>
      <c r="P96" s="9"/>
    </row>
    <row r="97" spans="3:16" s="3" customFormat="1" hidden="1" x14ac:dyDescent="0.3">
      <c r="C97" s="14"/>
      <c r="D97" s="19" t="s">
        <v>107</v>
      </c>
      <c r="E97" s="1"/>
      <c r="F97" s="4"/>
      <c r="G97" s="5"/>
      <c r="H97" s="5"/>
      <c r="I97" s="5"/>
      <c r="J97" s="7"/>
      <c r="K97" s="8"/>
      <c r="L97" s="8"/>
      <c r="M97" s="9"/>
      <c r="N97" s="9"/>
      <c r="O97" s="9"/>
      <c r="P97" s="9"/>
    </row>
    <row r="98" spans="3:16" s="3" customFormat="1" hidden="1" x14ac:dyDescent="0.3">
      <c r="C98" s="10"/>
      <c r="D98" s="18" t="s">
        <v>98</v>
      </c>
      <c r="E98" s="21" t="s">
        <v>12</v>
      </c>
      <c r="F98" s="12">
        <v>1</v>
      </c>
      <c r="G98" s="13"/>
      <c r="H98" s="13">
        <v>1</v>
      </c>
      <c r="I98" s="13">
        <v>2.95</v>
      </c>
      <c r="J98" s="12">
        <v>1</v>
      </c>
      <c r="K98" s="13"/>
      <c r="L98" s="13">
        <f>IF(F98="","",PRODUCT(F98:J98))</f>
        <v>2.95</v>
      </c>
      <c r="M98" s="2"/>
      <c r="N98" s="2"/>
      <c r="O98" s="2"/>
      <c r="P98" s="2"/>
    </row>
    <row r="99" spans="3:16" s="3" customFormat="1" hidden="1" x14ac:dyDescent="0.3">
      <c r="C99" s="14"/>
      <c r="D99" s="16" t="s">
        <v>108</v>
      </c>
      <c r="E99" s="1"/>
      <c r="F99" s="4"/>
      <c r="G99" s="5"/>
      <c r="H99" s="5"/>
      <c r="I99" s="5"/>
      <c r="J99" s="7"/>
      <c r="K99" s="8"/>
      <c r="L99" s="8"/>
      <c r="M99" s="9"/>
      <c r="N99" s="9"/>
      <c r="O99" s="9"/>
      <c r="P99" s="9"/>
    </row>
    <row r="100" spans="3:16" s="3" customFormat="1" hidden="1" x14ac:dyDescent="0.3">
      <c r="C100" s="14"/>
      <c r="D100" s="19" t="s">
        <v>107</v>
      </c>
      <c r="E100" s="1"/>
      <c r="F100" s="4"/>
      <c r="G100" s="5"/>
      <c r="H100" s="5"/>
      <c r="I100" s="5"/>
      <c r="J100" s="7"/>
      <c r="K100" s="8"/>
      <c r="L100" s="8"/>
      <c r="M100" s="9"/>
      <c r="N100" s="9"/>
      <c r="O100" s="9"/>
      <c r="P100" s="9"/>
    </row>
    <row r="101" spans="3:16" s="3" customFormat="1" hidden="1" x14ac:dyDescent="0.3">
      <c r="C101" s="10"/>
      <c r="D101" s="18" t="s">
        <v>99</v>
      </c>
      <c r="E101" s="21" t="s">
        <v>12</v>
      </c>
      <c r="F101" s="12">
        <v>1</v>
      </c>
      <c r="G101" s="13"/>
      <c r="H101" s="13">
        <v>0.6</v>
      </c>
      <c r="I101" s="13">
        <v>2.95</v>
      </c>
      <c r="J101" s="12">
        <v>1</v>
      </c>
      <c r="K101" s="13"/>
      <c r="L101" s="13">
        <f>IF(F101="","",PRODUCT(F101:J101))</f>
        <v>1.77</v>
      </c>
      <c r="M101" s="2"/>
      <c r="N101" s="2"/>
      <c r="O101" s="2"/>
      <c r="P101" s="2"/>
    </row>
    <row r="102" spans="3:16" x14ac:dyDescent="0.3">
      <c r="C102" s="48" t="s">
        <v>425</v>
      </c>
      <c r="D102" s="77" t="s">
        <v>159</v>
      </c>
      <c r="E102" s="50" t="s">
        <v>14</v>
      </c>
      <c r="F102" s="78"/>
      <c r="G102" s="52"/>
      <c r="H102" s="52"/>
      <c r="I102" s="52"/>
      <c r="J102" s="59"/>
      <c r="K102" s="55"/>
      <c r="L102" s="55"/>
      <c r="M102" s="55"/>
      <c r="N102" s="55"/>
      <c r="O102" s="55"/>
      <c r="P102" s="55">
        <f>SUM(O102:O110)</f>
        <v>6</v>
      </c>
    </row>
    <row r="103" spans="3:16" ht="20.399999999999999" x14ac:dyDescent="0.3">
      <c r="C103" s="48"/>
      <c r="D103" s="83" t="s">
        <v>166</v>
      </c>
      <c r="E103" s="50"/>
      <c r="F103" s="154"/>
      <c r="G103" s="52"/>
      <c r="H103" s="52"/>
      <c r="I103" s="52"/>
      <c r="J103" s="155"/>
      <c r="K103" s="138"/>
      <c r="L103" s="138"/>
      <c r="M103" s="138"/>
      <c r="N103" s="138"/>
      <c r="O103" s="61"/>
      <c r="P103" s="55"/>
    </row>
    <row r="104" spans="3:16" x14ac:dyDescent="0.3">
      <c r="C104" s="48"/>
      <c r="D104" s="79" t="s">
        <v>111</v>
      </c>
      <c r="E104" s="73"/>
      <c r="F104" s="82"/>
      <c r="G104" s="52"/>
      <c r="H104" s="52"/>
      <c r="I104" s="52"/>
      <c r="J104" s="62"/>
      <c r="K104" s="61"/>
      <c r="L104" s="61"/>
      <c r="M104" s="61"/>
      <c r="N104" s="61"/>
      <c r="O104" s="68" t="str">
        <f t="shared" ref="O104:O105" si="5">IF(F104="","",PRODUCT(F104:J104))</f>
        <v/>
      </c>
      <c r="P104" s="61"/>
    </row>
    <row r="105" spans="3:16" x14ac:dyDescent="0.3">
      <c r="C105" s="48"/>
      <c r="D105" s="80" t="s">
        <v>185</v>
      </c>
      <c r="E105" s="65" t="s">
        <v>14</v>
      </c>
      <c r="F105" s="69">
        <v>2</v>
      </c>
      <c r="G105" s="67"/>
      <c r="H105" s="67"/>
      <c r="I105" s="67"/>
      <c r="J105" s="66">
        <v>1</v>
      </c>
      <c r="K105" s="68"/>
      <c r="L105" s="68"/>
      <c r="M105" s="68"/>
      <c r="N105" s="68"/>
      <c r="O105" s="68">
        <f t="shared" si="5"/>
        <v>2</v>
      </c>
      <c r="P105" s="68"/>
    </row>
    <row r="106" spans="3:16" x14ac:dyDescent="0.3">
      <c r="C106" s="48"/>
      <c r="D106" s="79" t="s">
        <v>112</v>
      </c>
      <c r="E106" s="73"/>
      <c r="F106" s="82"/>
      <c r="G106" s="52"/>
      <c r="H106" s="52"/>
      <c r="I106" s="52"/>
      <c r="J106" s="59"/>
      <c r="K106" s="61"/>
      <c r="L106" s="61"/>
      <c r="M106" s="61"/>
      <c r="N106" s="61"/>
      <c r="O106" s="61"/>
      <c r="P106" s="61"/>
    </row>
    <row r="107" spans="3:16" x14ac:dyDescent="0.3">
      <c r="C107" s="72"/>
      <c r="D107" s="80" t="s">
        <v>185</v>
      </c>
      <c r="E107" s="65" t="s">
        <v>14</v>
      </c>
      <c r="F107" s="69">
        <v>2</v>
      </c>
      <c r="G107" s="67"/>
      <c r="H107" s="67"/>
      <c r="I107" s="67"/>
      <c r="J107" s="66">
        <v>1</v>
      </c>
      <c r="K107" s="68"/>
      <c r="L107" s="68"/>
      <c r="M107" s="68"/>
      <c r="N107" s="68"/>
      <c r="O107" s="68">
        <f t="shared" ref="O107" si="6">IF(F107="","",PRODUCT(F107:J107))</f>
        <v>2</v>
      </c>
      <c r="P107" s="61"/>
    </row>
    <row r="108" spans="3:16" x14ac:dyDescent="0.3">
      <c r="C108" s="72"/>
      <c r="D108" s="79" t="s">
        <v>107</v>
      </c>
      <c r="E108" s="73"/>
      <c r="F108" s="82"/>
      <c r="G108" s="52"/>
      <c r="H108" s="52"/>
      <c r="I108" s="52"/>
      <c r="J108" s="59"/>
      <c r="K108" s="61"/>
      <c r="L108" s="61"/>
      <c r="M108" s="61"/>
      <c r="N108" s="61"/>
      <c r="O108" s="61"/>
      <c r="P108" s="61"/>
    </row>
    <row r="109" spans="3:16" x14ac:dyDescent="0.3">
      <c r="C109" s="72"/>
      <c r="D109" s="80" t="s">
        <v>185</v>
      </c>
      <c r="E109" s="65" t="s">
        <v>14</v>
      </c>
      <c r="F109" s="69">
        <v>2</v>
      </c>
      <c r="G109" s="67"/>
      <c r="H109" s="67"/>
      <c r="I109" s="67"/>
      <c r="J109" s="66">
        <v>1</v>
      </c>
      <c r="K109" s="68"/>
      <c r="L109" s="68"/>
      <c r="M109" s="68"/>
      <c r="N109" s="68"/>
      <c r="O109" s="68">
        <f t="shared" ref="O109" si="7">IF(F109="","",PRODUCT(F109:J109))</f>
        <v>2</v>
      </c>
      <c r="P109" s="61"/>
    </row>
    <row r="110" spans="3:16" x14ac:dyDescent="0.3">
      <c r="C110" s="340"/>
      <c r="D110" s="341"/>
      <c r="E110" s="192"/>
      <c r="F110" s="193"/>
      <c r="G110" s="195"/>
      <c r="H110" s="195"/>
      <c r="I110" s="195"/>
      <c r="J110" s="342"/>
      <c r="K110" s="343"/>
      <c r="L110" s="61"/>
      <c r="M110" s="100"/>
      <c r="N110" s="100"/>
      <c r="O110" s="61"/>
      <c r="P110" s="100"/>
    </row>
    <row r="111" spans="3:16" x14ac:dyDescent="0.3">
      <c r="C111" s="97" t="s">
        <v>426</v>
      </c>
      <c r="D111" s="97" t="s">
        <v>29</v>
      </c>
      <c r="E111" s="101"/>
      <c r="F111" s="51"/>
      <c r="G111" s="52"/>
      <c r="H111" s="52"/>
      <c r="I111" s="109"/>
      <c r="J111" s="99"/>
      <c r="K111" s="100"/>
      <c r="L111" s="100"/>
      <c r="M111" s="100"/>
      <c r="N111" s="100"/>
      <c r="O111" s="100"/>
      <c r="P111" s="100"/>
    </row>
    <row r="112" spans="3:16" x14ac:dyDescent="0.3">
      <c r="C112" s="48" t="s">
        <v>427</v>
      </c>
      <c r="D112" s="49" t="s">
        <v>160</v>
      </c>
      <c r="E112" s="50" t="s">
        <v>13</v>
      </c>
      <c r="F112" s="51"/>
      <c r="G112" s="52"/>
      <c r="H112" s="52"/>
      <c r="I112" s="53"/>
      <c r="J112" s="54"/>
      <c r="K112" s="55"/>
      <c r="L112" s="55"/>
      <c r="M112" s="55"/>
      <c r="N112" s="55"/>
      <c r="O112" s="55"/>
      <c r="P112" s="55">
        <f>SUM(K112:K116)</f>
        <v>80.100000000000009</v>
      </c>
    </row>
    <row r="113" spans="1:16" s="150" customFormat="1" x14ac:dyDescent="0.2">
      <c r="A113" s="184"/>
      <c r="B113" s="149"/>
      <c r="C113" s="180"/>
      <c r="D113" s="80" t="s">
        <v>111</v>
      </c>
      <c r="E113" s="65" t="s">
        <v>13</v>
      </c>
      <c r="F113" s="69">
        <v>6</v>
      </c>
      <c r="G113" s="67">
        <f>(2*2.15)+0.15</f>
        <v>4.45</v>
      </c>
      <c r="H113" s="67"/>
      <c r="I113" s="67"/>
      <c r="J113" s="69">
        <v>1</v>
      </c>
      <c r="K113" s="68">
        <f>PRODUCT(F113:J113)</f>
        <v>26.700000000000003</v>
      </c>
      <c r="L113" s="181"/>
      <c r="M113" s="182"/>
      <c r="N113" s="182"/>
      <c r="O113" s="183"/>
      <c r="P113" s="55"/>
    </row>
    <row r="114" spans="1:16" s="150" customFormat="1" ht="13.2" x14ac:dyDescent="0.2">
      <c r="A114" s="184"/>
      <c r="B114" s="149"/>
      <c r="C114" s="185"/>
      <c r="D114" s="80" t="s">
        <v>139</v>
      </c>
      <c r="E114" s="65" t="s">
        <v>13</v>
      </c>
      <c r="F114" s="69">
        <v>6</v>
      </c>
      <c r="G114" s="67">
        <f>(2*2.15)+0.15</f>
        <v>4.45</v>
      </c>
      <c r="H114" s="67"/>
      <c r="I114" s="67"/>
      <c r="J114" s="69">
        <v>1</v>
      </c>
      <c r="K114" s="68">
        <f>PRODUCT(F114:J114)</f>
        <v>26.700000000000003</v>
      </c>
      <c r="L114" s="181"/>
      <c r="M114" s="186"/>
      <c r="N114" s="186"/>
      <c r="O114" s="186"/>
      <c r="P114" s="55"/>
    </row>
    <row r="115" spans="1:16" s="150" customFormat="1" ht="13.2" x14ac:dyDescent="0.2">
      <c r="A115" s="184"/>
      <c r="B115" s="149"/>
      <c r="C115" s="185"/>
      <c r="D115" s="80" t="s">
        <v>138</v>
      </c>
      <c r="E115" s="65" t="s">
        <v>13</v>
      </c>
      <c r="F115" s="69">
        <v>6</v>
      </c>
      <c r="G115" s="67">
        <f>(2*2.15)+0.15</f>
        <v>4.45</v>
      </c>
      <c r="H115" s="67"/>
      <c r="I115" s="67"/>
      <c r="J115" s="69">
        <v>1</v>
      </c>
      <c r="K115" s="68">
        <f>PRODUCT(F115:J115)</f>
        <v>26.700000000000003</v>
      </c>
      <c r="L115" s="181"/>
      <c r="M115" s="186"/>
      <c r="N115" s="186"/>
      <c r="O115" s="186"/>
      <c r="P115" s="55"/>
    </row>
    <row r="116" spans="1:16" x14ac:dyDescent="0.3">
      <c r="C116" s="173"/>
      <c r="D116" s="188"/>
      <c r="E116" s="189"/>
      <c r="F116" s="92"/>
      <c r="G116" s="86"/>
      <c r="H116" s="86"/>
      <c r="I116" s="190"/>
      <c r="J116" s="166"/>
      <c r="K116" s="111"/>
      <c r="L116" s="111"/>
      <c r="M116" s="111"/>
      <c r="N116" s="111"/>
      <c r="O116" s="111"/>
      <c r="P116" s="111"/>
    </row>
    <row r="117" spans="1:16" x14ac:dyDescent="0.3">
      <c r="C117" s="98">
        <v>2.1</v>
      </c>
      <c r="D117" s="98" t="s">
        <v>16</v>
      </c>
      <c r="E117" s="88"/>
      <c r="F117" s="59"/>
      <c r="G117" s="60"/>
      <c r="H117" s="60"/>
      <c r="I117" s="60"/>
      <c r="J117" s="59"/>
      <c r="K117" s="60"/>
      <c r="L117" s="60"/>
      <c r="M117" s="61"/>
      <c r="N117" s="61"/>
      <c r="O117" s="61"/>
      <c r="P117" s="61"/>
    </row>
    <row r="118" spans="1:16" x14ac:dyDescent="0.3">
      <c r="C118" s="48" t="s">
        <v>430</v>
      </c>
      <c r="D118" s="77" t="s">
        <v>372</v>
      </c>
      <c r="E118" s="88" t="s">
        <v>12</v>
      </c>
      <c r="F118" s="59"/>
      <c r="G118" s="60"/>
      <c r="H118" s="60"/>
      <c r="I118" s="60"/>
      <c r="J118" s="59"/>
      <c r="K118" s="60"/>
      <c r="L118" s="60"/>
      <c r="M118" s="61"/>
      <c r="N118" s="61"/>
      <c r="O118" s="61"/>
      <c r="P118" s="55">
        <f>SUM(K118:K140)</f>
        <v>479.09999999999991</v>
      </c>
    </row>
    <row r="119" spans="1:16" x14ac:dyDescent="0.3">
      <c r="C119" s="48"/>
      <c r="D119" s="75" t="s">
        <v>145</v>
      </c>
      <c r="E119" s="73"/>
      <c r="F119" s="82"/>
      <c r="G119" s="52"/>
      <c r="H119" s="52"/>
      <c r="I119" s="52"/>
      <c r="J119" s="62"/>
      <c r="K119" s="61"/>
      <c r="L119" s="60"/>
      <c r="M119" s="61"/>
      <c r="N119" s="61"/>
      <c r="O119" s="61"/>
      <c r="P119" s="61"/>
    </row>
    <row r="120" spans="1:16" x14ac:dyDescent="0.3">
      <c r="C120" s="48"/>
      <c r="D120" s="81" t="s">
        <v>115</v>
      </c>
      <c r="E120" s="73"/>
      <c r="F120" s="82"/>
      <c r="G120" s="52"/>
      <c r="H120" s="52"/>
      <c r="I120" s="52"/>
      <c r="J120" s="62"/>
      <c r="K120" s="61"/>
      <c r="L120" s="60"/>
      <c r="M120" s="61"/>
      <c r="N120" s="61"/>
      <c r="O120" s="61"/>
      <c r="P120" s="61"/>
    </row>
    <row r="121" spans="1:16" x14ac:dyDescent="0.3">
      <c r="C121" s="48"/>
      <c r="D121" s="80" t="s">
        <v>169</v>
      </c>
      <c r="E121" s="90" t="s">
        <v>13</v>
      </c>
      <c r="F121" s="66">
        <v>1</v>
      </c>
      <c r="G121" s="67">
        <f>8.8+9.2+0.7+(9*1.2)</f>
        <v>29.5</v>
      </c>
      <c r="H121" s="67"/>
      <c r="I121" s="67"/>
      <c r="J121" s="66">
        <v>1</v>
      </c>
      <c r="K121" s="67">
        <f>F121*J121*G121</f>
        <v>29.5</v>
      </c>
      <c r="L121" s="60"/>
      <c r="M121" s="61"/>
      <c r="N121" s="61"/>
      <c r="O121" s="61"/>
      <c r="P121" s="61"/>
    </row>
    <row r="122" spans="1:16" x14ac:dyDescent="0.3">
      <c r="C122" s="48"/>
      <c r="D122" s="80" t="s">
        <v>170</v>
      </c>
      <c r="E122" s="90" t="s">
        <v>13</v>
      </c>
      <c r="F122" s="66">
        <f>10+4*9</f>
        <v>46</v>
      </c>
      <c r="G122" s="67">
        <v>1.2</v>
      </c>
      <c r="H122" s="67"/>
      <c r="I122" s="67"/>
      <c r="J122" s="66">
        <v>1</v>
      </c>
      <c r="K122" s="67">
        <f>F122*J122*G122</f>
        <v>55.199999999999996</v>
      </c>
      <c r="L122" s="60"/>
      <c r="M122" s="61"/>
      <c r="N122" s="61"/>
      <c r="O122" s="61"/>
      <c r="P122" s="61"/>
    </row>
    <row r="123" spans="1:16" x14ac:dyDescent="0.3">
      <c r="C123" s="48"/>
      <c r="D123" s="81" t="s">
        <v>139</v>
      </c>
      <c r="E123" s="73"/>
      <c r="F123" s="82"/>
      <c r="G123" s="52"/>
      <c r="H123" s="52"/>
      <c r="I123" s="52"/>
      <c r="J123" s="62"/>
      <c r="K123" s="61"/>
      <c r="L123" s="60"/>
      <c r="M123" s="61"/>
      <c r="N123" s="61"/>
      <c r="O123" s="61"/>
      <c r="P123" s="61"/>
    </row>
    <row r="124" spans="1:16" x14ac:dyDescent="0.3">
      <c r="C124" s="48"/>
      <c r="D124" s="80" t="s">
        <v>169</v>
      </c>
      <c r="E124" s="90" t="s">
        <v>13</v>
      </c>
      <c r="F124" s="66">
        <v>1</v>
      </c>
      <c r="G124" s="67">
        <f>8.8+9.2+0.7+(9*1.2)</f>
        <v>29.5</v>
      </c>
      <c r="H124" s="67"/>
      <c r="I124" s="67"/>
      <c r="J124" s="66">
        <v>1</v>
      </c>
      <c r="K124" s="67">
        <f>F124*J124*G124</f>
        <v>29.5</v>
      </c>
      <c r="L124" s="60"/>
      <c r="M124" s="61"/>
      <c r="N124" s="61"/>
      <c r="O124" s="61"/>
      <c r="P124" s="61"/>
    </row>
    <row r="125" spans="1:16" x14ac:dyDescent="0.3">
      <c r="C125" s="48"/>
      <c r="D125" s="80" t="s">
        <v>170</v>
      </c>
      <c r="E125" s="90" t="s">
        <v>13</v>
      </c>
      <c r="F125" s="66">
        <f>10+4*9</f>
        <v>46</v>
      </c>
      <c r="G125" s="67">
        <v>1.2</v>
      </c>
      <c r="H125" s="67"/>
      <c r="I125" s="67"/>
      <c r="J125" s="66">
        <v>1</v>
      </c>
      <c r="K125" s="67">
        <f>F125*J125*G125</f>
        <v>55.199999999999996</v>
      </c>
      <c r="L125" s="60"/>
      <c r="M125" s="61"/>
      <c r="N125" s="61"/>
      <c r="O125" s="61"/>
      <c r="P125" s="61"/>
    </row>
    <row r="126" spans="1:16" x14ac:dyDescent="0.3">
      <c r="C126" s="48"/>
      <c r="D126" s="81" t="s">
        <v>138</v>
      </c>
      <c r="E126" s="73"/>
      <c r="F126" s="82"/>
      <c r="G126" s="52"/>
      <c r="H126" s="52"/>
      <c r="I126" s="52"/>
      <c r="J126" s="62"/>
      <c r="K126" s="61"/>
      <c r="L126" s="60"/>
      <c r="M126" s="61"/>
      <c r="N126" s="61"/>
      <c r="O126" s="61"/>
      <c r="P126" s="61"/>
    </row>
    <row r="127" spans="1:16" x14ac:dyDescent="0.3">
      <c r="C127" s="48"/>
      <c r="D127" s="80" t="s">
        <v>169</v>
      </c>
      <c r="E127" s="90" t="s">
        <v>13</v>
      </c>
      <c r="F127" s="66">
        <v>1</v>
      </c>
      <c r="G127" s="67">
        <f>8.8+9.2+0.7+(9*1.2)</f>
        <v>29.5</v>
      </c>
      <c r="H127" s="67"/>
      <c r="I127" s="67"/>
      <c r="J127" s="66">
        <v>1</v>
      </c>
      <c r="K127" s="67">
        <f>F127*J127*G127</f>
        <v>29.5</v>
      </c>
      <c r="L127" s="60"/>
      <c r="M127" s="61"/>
      <c r="N127" s="61"/>
      <c r="O127" s="61"/>
      <c r="P127" s="61"/>
    </row>
    <row r="128" spans="1:16" x14ac:dyDescent="0.3">
      <c r="C128" s="48"/>
      <c r="D128" s="80" t="s">
        <v>170</v>
      </c>
      <c r="E128" s="90" t="s">
        <v>13</v>
      </c>
      <c r="F128" s="66">
        <f>10+4*9</f>
        <v>46</v>
      </c>
      <c r="G128" s="67">
        <v>1.2</v>
      </c>
      <c r="H128" s="67"/>
      <c r="I128" s="67"/>
      <c r="J128" s="66">
        <v>1</v>
      </c>
      <c r="K128" s="67">
        <f>F128*J128*G128</f>
        <v>55.199999999999996</v>
      </c>
      <c r="L128" s="60"/>
      <c r="M128" s="61"/>
      <c r="N128" s="61"/>
      <c r="O128" s="61"/>
      <c r="P128" s="61"/>
    </row>
    <row r="129" spans="3:16" x14ac:dyDescent="0.3">
      <c r="C129" s="286"/>
      <c r="D129" s="75"/>
      <c r="E129" s="73"/>
      <c r="F129" s="82"/>
      <c r="G129" s="52"/>
      <c r="H129" s="52"/>
      <c r="I129" s="52"/>
      <c r="J129" s="62"/>
      <c r="K129" s="61"/>
      <c r="L129" s="60"/>
      <c r="M129" s="61"/>
      <c r="N129" s="61"/>
      <c r="O129" s="61"/>
      <c r="P129" s="61"/>
    </row>
    <row r="130" spans="3:16" x14ac:dyDescent="0.3">
      <c r="C130" s="48"/>
      <c r="D130" s="75" t="s">
        <v>127</v>
      </c>
      <c r="E130" s="73"/>
      <c r="F130" s="82"/>
      <c r="G130" s="52"/>
      <c r="H130" s="52"/>
      <c r="I130" s="52"/>
      <c r="J130" s="62"/>
      <c r="K130" s="61"/>
      <c r="L130" s="60"/>
      <c r="M130" s="61"/>
      <c r="N130" s="61"/>
      <c r="O130" s="61"/>
      <c r="P130" s="60"/>
    </row>
    <row r="131" spans="3:16" x14ac:dyDescent="0.3">
      <c r="C131" s="56"/>
      <c r="D131" s="81" t="s">
        <v>115</v>
      </c>
      <c r="E131" s="73"/>
      <c r="F131" s="82"/>
      <c r="G131" s="52"/>
      <c r="H131" s="52"/>
      <c r="I131" s="52"/>
      <c r="J131" s="62"/>
      <c r="K131" s="61"/>
      <c r="L131" s="60"/>
      <c r="M131" s="61"/>
      <c r="N131" s="61"/>
      <c r="O131" s="61"/>
      <c r="P131" s="61"/>
    </row>
    <row r="132" spans="3:16" x14ac:dyDescent="0.3">
      <c r="C132" s="56"/>
      <c r="D132" s="80" t="s">
        <v>186</v>
      </c>
      <c r="E132" s="90" t="s">
        <v>13</v>
      </c>
      <c r="F132" s="66">
        <v>1</v>
      </c>
      <c r="G132" s="67">
        <v>35.799999999999997</v>
      </c>
      <c r="H132" s="67"/>
      <c r="I132" s="67"/>
      <c r="J132" s="66">
        <v>2</v>
      </c>
      <c r="K132" s="67">
        <f>F132*J132*G132</f>
        <v>71.599999999999994</v>
      </c>
      <c r="L132" s="60"/>
      <c r="M132" s="61"/>
      <c r="N132" s="61"/>
      <c r="O132" s="61"/>
      <c r="P132" s="61"/>
    </row>
    <row r="133" spans="3:16" x14ac:dyDescent="0.3">
      <c r="C133" s="56"/>
      <c r="D133" s="80" t="s">
        <v>187</v>
      </c>
      <c r="E133" s="90" t="s">
        <v>13</v>
      </c>
      <c r="F133" s="66">
        <v>17</v>
      </c>
      <c r="G133" s="67"/>
      <c r="H133" s="67"/>
      <c r="I133" s="67">
        <v>0.1</v>
      </c>
      <c r="J133" s="66">
        <v>2</v>
      </c>
      <c r="K133" s="67">
        <f>F133*J133*I133</f>
        <v>3.4000000000000004</v>
      </c>
      <c r="L133" s="60"/>
      <c r="M133" s="61"/>
      <c r="N133" s="61"/>
      <c r="O133" s="61"/>
      <c r="P133" s="61"/>
    </row>
    <row r="134" spans="3:16" x14ac:dyDescent="0.3">
      <c r="C134" s="56"/>
      <c r="D134" s="81" t="s">
        <v>139</v>
      </c>
      <c r="E134" s="73"/>
      <c r="F134" s="82"/>
      <c r="G134" s="52"/>
      <c r="H134" s="52"/>
      <c r="I134" s="52"/>
      <c r="J134" s="62"/>
      <c r="K134" s="61"/>
      <c r="L134" s="60"/>
      <c r="M134" s="61"/>
      <c r="N134" s="61"/>
      <c r="O134" s="61"/>
      <c r="P134" s="61"/>
    </row>
    <row r="135" spans="3:16" x14ac:dyDescent="0.3">
      <c r="C135" s="56"/>
      <c r="D135" s="80" t="s">
        <v>186</v>
      </c>
      <c r="E135" s="90" t="s">
        <v>13</v>
      </c>
      <c r="F135" s="66">
        <v>1</v>
      </c>
      <c r="G135" s="67">
        <v>35.799999999999997</v>
      </c>
      <c r="H135" s="67"/>
      <c r="I135" s="67"/>
      <c r="J135" s="66">
        <v>2</v>
      </c>
      <c r="K135" s="67">
        <f>F135*J135*G135</f>
        <v>71.599999999999994</v>
      </c>
      <c r="L135" s="60"/>
      <c r="M135" s="61"/>
      <c r="N135" s="61"/>
      <c r="O135" s="61"/>
      <c r="P135" s="61"/>
    </row>
    <row r="136" spans="3:16" x14ac:dyDescent="0.3">
      <c r="C136" s="56"/>
      <c r="D136" s="80" t="s">
        <v>187</v>
      </c>
      <c r="E136" s="90" t="s">
        <v>13</v>
      </c>
      <c r="F136" s="66">
        <v>17</v>
      </c>
      <c r="G136" s="67"/>
      <c r="H136" s="67"/>
      <c r="I136" s="67">
        <v>0.1</v>
      </c>
      <c r="J136" s="66">
        <v>2</v>
      </c>
      <c r="K136" s="67">
        <f>F136*J136*I136</f>
        <v>3.4000000000000004</v>
      </c>
      <c r="L136" s="60"/>
      <c r="M136" s="61"/>
      <c r="N136" s="61"/>
      <c r="O136" s="61"/>
      <c r="P136" s="61"/>
    </row>
    <row r="137" spans="3:16" x14ac:dyDescent="0.3">
      <c r="C137" s="56"/>
      <c r="D137" s="81" t="s">
        <v>138</v>
      </c>
      <c r="E137" s="73"/>
      <c r="F137" s="82"/>
      <c r="G137" s="52"/>
      <c r="H137" s="52"/>
      <c r="I137" s="52"/>
      <c r="J137" s="62"/>
      <c r="K137" s="61"/>
      <c r="L137" s="60"/>
      <c r="M137" s="61"/>
      <c r="N137" s="61"/>
      <c r="O137" s="61"/>
      <c r="P137" s="61"/>
    </row>
    <row r="138" spans="3:16" x14ac:dyDescent="0.3">
      <c r="C138" s="56"/>
      <c r="D138" s="80" t="s">
        <v>186</v>
      </c>
      <c r="E138" s="90" t="s">
        <v>13</v>
      </c>
      <c r="F138" s="66">
        <v>1</v>
      </c>
      <c r="G138" s="67">
        <v>35.799999999999997</v>
      </c>
      <c r="H138" s="67"/>
      <c r="I138" s="67"/>
      <c r="J138" s="66">
        <v>2</v>
      </c>
      <c r="K138" s="67">
        <f>F138*J138*G138</f>
        <v>71.599999999999994</v>
      </c>
      <c r="L138" s="60"/>
      <c r="M138" s="61"/>
      <c r="N138" s="61"/>
      <c r="O138" s="61"/>
      <c r="P138" s="61"/>
    </row>
    <row r="139" spans="3:16" x14ac:dyDescent="0.3">
      <c r="C139" s="56"/>
      <c r="D139" s="80" t="s">
        <v>187</v>
      </c>
      <c r="E139" s="90" t="s">
        <v>13</v>
      </c>
      <c r="F139" s="66">
        <v>17</v>
      </c>
      <c r="G139" s="67"/>
      <c r="H139" s="67"/>
      <c r="I139" s="67">
        <v>0.1</v>
      </c>
      <c r="J139" s="66">
        <v>2</v>
      </c>
      <c r="K139" s="67">
        <f>F139*J139*I139</f>
        <v>3.4000000000000004</v>
      </c>
      <c r="L139" s="60"/>
      <c r="M139" s="61"/>
      <c r="N139" s="61"/>
      <c r="O139" s="61"/>
      <c r="P139" s="61"/>
    </row>
    <row r="140" spans="3:16" x14ac:dyDescent="0.3">
      <c r="C140" s="56"/>
      <c r="D140" s="103"/>
      <c r="E140" s="165"/>
      <c r="F140" s="166"/>
      <c r="G140" s="111"/>
      <c r="H140" s="111"/>
      <c r="I140" s="111"/>
      <c r="J140" s="166"/>
      <c r="K140" s="111"/>
      <c r="L140" s="60"/>
      <c r="M140" s="61"/>
      <c r="N140" s="61"/>
      <c r="O140" s="61"/>
      <c r="P140" s="61"/>
    </row>
  </sheetData>
  <autoFilter ref="C16:P101" xr:uid="{00000000-0009-0000-0000-000005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72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8433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1843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etrado9" filterMode="1"/>
  <dimension ref="A1:W70"/>
  <sheetViews>
    <sheetView view="pageBreakPreview" topLeftCell="A28" zoomScaleNormal="85" zoomScaleSheetLayoutView="100" workbookViewId="0">
      <selection activeCell="C33" sqref="C33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5.6640625" style="104" customWidth="1"/>
    <col min="23" max="23" width="10.4414062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133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8.4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307">
        <v>1</v>
      </c>
      <c r="D18" s="278" t="s">
        <v>133</v>
      </c>
      <c r="E18" s="318"/>
      <c r="F18" s="319"/>
      <c r="G18" s="310"/>
      <c r="H18" s="310"/>
      <c r="I18" s="310"/>
      <c r="J18" s="280"/>
      <c r="K18" s="281"/>
      <c r="L18" s="281"/>
      <c r="M18" s="186"/>
      <c r="N18" s="186"/>
      <c r="O18" s="186"/>
      <c r="P18" s="186"/>
    </row>
    <row r="19" spans="1:16" s="321" customFormat="1" x14ac:dyDescent="0.3">
      <c r="A19" s="321">
        <v>1</v>
      </c>
      <c r="C19" s="145" t="s">
        <v>441</v>
      </c>
      <c r="D19" s="133" t="s">
        <v>17</v>
      </c>
      <c r="E19" s="323"/>
      <c r="F19" s="339"/>
      <c r="G19" s="326"/>
      <c r="H19" s="326"/>
      <c r="I19" s="326"/>
      <c r="J19" s="327"/>
      <c r="K19" s="328"/>
      <c r="L19" s="328"/>
      <c r="M19" s="328"/>
      <c r="N19" s="328"/>
      <c r="O19" s="328"/>
      <c r="P19" s="328"/>
    </row>
    <row r="20" spans="1:16" x14ac:dyDescent="0.3">
      <c r="C20" s="97" t="s">
        <v>426</v>
      </c>
      <c r="D20" s="97" t="s">
        <v>29</v>
      </c>
      <c r="E20" s="101"/>
      <c r="F20" s="51"/>
      <c r="G20" s="52"/>
      <c r="H20" s="52"/>
      <c r="I20" s="109"/>
      <c r="J20" s="99"/>
      <c r="K20" s="100"/>
      <c r="L20" s="100"/>
      <c r="M20" s="100"/>
      <c r="N20" s="100"/>
      <c r="O20" s="100"/>
      <c r="P20" s="100"/>
    </row>
    <row r="21" spans="1:16" x14ac:dyDescent="0.3">
      <c r="C21" s="48" t="s">
        <v>427</v>
      </c>
      <c r="D21" s="49" t="s">
        <v>160</v>
      </c>
      <c r="E21" s="50" t="s">
        <v>13</v>
      </c>
      <c r="F21" s="51"/>
      <c r="G21" s="52"/>
      <c r="H21" s="52"/>
      <c r="I21" s="53"/>
      <c r="J21" s="54"/>
      <c r="K21" s="55"/>
      <c r="L21" s="55"/>
      <c r="M21" s="55"/>
      <c r="N21" s="55"/>
      <c r="O21" s="55"/>
      <c r="P21" s="55">
        <f>SUM(K21:K30)</f>
        <v>239.92000000000002</v>
      </c>
    </row>
    <row r="22" spans="1:16" s="150" customFormat="1" x14ac:dyDescent="0.2">
      <c r="A22" s="184"/>
      <c r="B22" s="149"/>
      <c r="C22" s="63"/>
      <c r="D22" s="80" t="s">
        <v>111</v>
      </c>
      <c r="E22" s="65" t="s">
        <v>13</v>
      </c>
      <c r="F22" s="69">
        <v>2</v>
      </c>
      <c r="G22" s="67">
        <f>(2*2.15)+0.15</f>
        <v>4.45</v>
      </c>
      <c r="H22" s="67"/>
      <c r="I22" s="67"/>
      <c r="J22" s="69">
        <v>1</v>
      </c>
      <c r="K22" s="68">
        <f t="shared" ref="K22:K29" si="0">PRODUCT(F22:J22)</f>
        <v>8.9</v>
      </c>
      <c r="L22" s="181"/>
      <c r="M22" s="68"/>
      <c r="N22" s="68"/>
      <c r="O22" s="68"/>
      <c r="P22" s="68"/>
    </row>
    <row r="23" spans="1:16" s="150" customFormat="1" x14ac:dyDescent="0.2">
      <c r="A23" s="184"/>
      <c r="B23" s="149"/>
      <c r="C23" s="63"/>
      <c r="D23" s="80"/>
      <c r="E23" s="65" t="s">
        <v>13</v>
      </c>
      <c r="F23" s="69">
        <v>16</v>
      </c>
      <c r="G23" s="67">
        <v>3</v>
      </c>
      <c r="H23" s="67"/>
      <c r="I23" s="67"/>
      <c r="J23" s="69">
        <v>1</v>
      </c>
      <c r="K23" s="68">
        <f t="shared" si="0"/>
        <v>48</v>
      </c>
      <c r="L23" s="181"/>
      <c r="M23" s="68"/>
      <c r="N23" s="68"/>
      <c r="O23" s="68"/>
      <c r="P23" s="68"/>
    </row>
    <row r="24" spans="1:16" s="150" customFormat="1" x14ac:dyDescent="0.2">
      <c r="A24" s="184"/>
      <c r="B24" s="149"/>
      <c r="C24" s="63"/>
      <c r="D24" s="80" t="s">
        <v>112</v>
      </c>
      <c r="E24" s="65" t="s">
        <v>13</v>
      </c>
      <c r="F24" s="69">
        <v>2</v>
      </c>
      <c r="G24" s="67">
        <f>(2*2.15)+0.15</f>
        <v>4.45</v>
      </c>
      <c r="H24" s="67"/>
      <c r="I24" s="67"/>
      <c r="J24" s="69">
        <v>1</v>
      </c>
      <c r="K24" s="68">
        <f t="shared" si="0"/>
        <v>8.9</v>
      </c>
      <c r="L24" s="181"/>
      <c r="M24" s="68"/>
      <c r="N24" s="68"/>
      <c r="O24" s="68"/>
      <c r="P24" s="68"/>
    </row>
    <row r="25" spans="1:16" s="150" customFormat="1" x14ac:dyDescent="0.2">
      <c r="A25" s="184"/>
      <c r="B25" s="149"/>
      <c r="C25" s="63"/>
      <c r="D25" s="80"/>
      <c r="E25" s="65" t="s">
        <v>13</v>
      </c>
      <c r="F25" s="69">
        <v>16</v>
      </c>
      <c r="G25" s="67">
        <v>3.02</v>
      </c>
      <c r="H25" s="67"/>
      <c r="I25" s="67"/>
      <c r="J25" s="69">
        <v>1</v>
      </c>
      <c r="K25" s="68">
        <f t="shared" si="0"/>
        <v>48.32</v>
      </c>
      <c r="L25" s="181"/>
      <c r="M25" s="68"/>
      <c r="N25" s="68"/>
      <c r="O25" s="68"/>
      <c r="P25" s="68"/>
    </row>
    <row r="26" spans="1:16" s="150" customFormat="1" x14ac:dyDescent="0.2">
      <c r="A26" s="184"/>
      <c r="B26" s="149"/>
      <c r="C26" s="63"/>
      <c r="D26" s="80" t="s">
        <v>107</v>
      </c>
      <c r="E26" s="65" t="s">
        <v>13</v>
      </c>
      <c r="F26" s="69">
        <v>2</v>
      </c>
      <c r="G26" s="67">
        <f>(2*2.15)+0.15</f>
        <v>4.45</v>
      </c>
      <c r="H26" s="67"/>
      <c r="I26" s="67"/>
      <c r="J26" s="69">
        <v>1</v>
      </c>
      <c r="K26" s="68">
        <f t="shared" si="0"/>
        <v>8.9</v>
      </c>
      <c r="L26" s="181"/>
      <c r="M26" s="68"/>
      <c r="N26" s="68"/>
      <c r="O26" s="68"/>
      <c r="P26" s="68"/>
    </row>
    <row r="27" spans="1:16" s="150" customFormat="1" x14ac:dyDescent="0.2">
      <c r="A27" s="184"/>
      <c r="B27" s="149"/>
      <c r="C27" s="63"/>
      <c r="D27" s="80"/>
      <c r="E27" s="65" t="s">
        <v>13</v>
      </c>
      <c r="F27" s="69">
        <v>16</v>
      </c>
      <c r="G27" s="67">
        <v>2.95</v>
      </c>
      <c r="H27" s="67"/>
      <c r="I27" s="67"/>
      <c r="J27" s="69">
        <v>1</v>
      </c>
      <c r="K27" s="68">
        <f t="shared" si="0"/>
        <v>47.2</v>
      </c>
      <c r="L27" s="181"/>
      <c r="M27" s="68"/>
      <c r="N27" s="68"/>
      <c r="O27" s="68"/>
      <c r="P27" s="68"/>
    </row>
    <row r="28" spans="1:16" s="150" customFormat="1" x14ac:dyDescent="0.2">
      <c r="A28" s="184"/>
      <c r="B28" s="149"/>
      <c r="C28" s="63"/>
      <c r="D28" s="80" t="s">
        <v>189</v>
      </c>
      <c r="E28" s="65" t="s">
        <v>13</v>
      </c>
      <c r="F28" s="69">
        <v>2</v>
      </c>
      <c r="G28" s="67">
        <f>(2*2.15)+0.15</f>
        <v>4.45</v>
      </c>
      <c r="H28" s="67"/>
      <c r="I28" s="67"/>
      <c r="J28" s="69">
        <v>1</v>
      </c>
      <c r="K28" s="68">
        <f t="shared" si="0"/>
        <v>8.9</v>
      </c>
      <c r="L28" s="181"/>
      <c r="M28" s="68"/>
      <c r="N28" s="68"/>
      <c r="O28" s="68"/>
      <c r="P28" s="68"/>
    </row>
    <row r="29" spans="1:16" s="150" customFormat="1" x14ac:dyDescent="0.2">
      <c r="A29" s="184"/>
      <c r="B29" s="149"/>
      <c r="C29" s="63"/>
      <c r="D29" s="80"/>
      <c r="E29" s="65" t="s">
        <v>13</v>
      </c>
      <c r="F29" s="69">
        <v>16</v>
      </c>
      <c r="G29" s="67">
        <v>3.8</v>
      </c>
      <c r="H29" s="67"/>
      <c r="I29" s="67"/>
      <c r="J29" s="69">
        <v>1</v>
      </c>
      <c r="K29" s="68">
        <f t="shared" si="0"/>
        <v>60.8</v>
      </c>
      <c r="L29" s="181"/>
      <c r="M29" s="68"/>
      <c r="N29" s="68"/>
      <c r="O29" s="68"/>
      <c r="P29" s="68"/>
    </row>
    <row r="30" spans="1:16" x14ac:dyDescent="0.3">
      <c r="C30" s="173"/>
      <c r="D30" s="188"/>
      <c r="E30" s="189"/>
      <c r="F30" s="92"/>
      <c r="G30" s="86"/>
      <c r="H30" s="86"/>
      <c r="I30" s="190"/>
      <c r="J30" s="166"/>
      <c r="K30" s="111"/>
      <c r="L30" s="111"/>
      <c r="M30" s="111"/>
      <c r="N30" s="111"/>
      <c r="O30" s="111"/>
      <c r="P30" s="111"/>
    </row>
    <row r="31" spans="1:16" x14ac:dyDescent="0.3">
      <c r="C31" s="98">
        <v>2.1</v>
      </c>
      <c r="D31" s="98" t="s">
        <v>16</v>
      </c>
      <c r="E31" s="88"/>
      <c r="F31" s="332"/>
      <c r="G31" s="168"/>
      <c r="H31" s="52"/>
      <c r="I31" s="52"/>
      <c r="J31" s="62"/>
      <c r="K31" s="61"/>
      <c r="L31" s="334"/>
      <c r="M31" s="68"/>
      <c r="N31" s="68"/>
      <c r="O31" s="68"/>
      <c r="P31" s="68"/>
    </row>
    <row r="32" spans="1:16" x14ac:dyDescent="0.3">
      <c r="C32" s="48" t="s">
        <v>430</v>
      </c>
      <c r="D32" s="77" t="s">
        <v>372</v>
      </c>
      <c r="E32" s="88" t="s">
        <v>13</v>
      </c>
      <c r="F32" s="59"/>
      <c r="G32" s="60"/>
      <c r="H32" s="60"/>
      <c r="I32" s="60"/>
      <c r="J32" s="54"/>
      <c r="K32" s="55"/>
      <c r="L32" s="334"/>
      <c r="M32" s="68"/>
      <c r="N32" s="68"/>
      <c r="O32" s="68"/>
      <c r="P32" s="55">
        <f>SUM(K32:K57)</f>
        <v>119.70000000000002</v>
      </c>
    </row>
    <row r="33" spans="3:16" x14ac:dyDescent="0.3">
      <c r="C33" s="48"/>
      <c r="D33" s="75" t="s">
        <v>145</v>
      </c>
      <c r="E33" s="73"/>
      <c r="F33" s="82"/>
      <c r="G33" s="52"/>
      <c r="H33" s="52"/>
      <c r="I33" s="52"/>
      <c r="J33" s="62"/>
      <c r="K33" s="61"/>
      <c r="L33" s="334"/>
      <c r="M33" s="68"/>
      <c r="N33" s="68"/>
      <c r="O33" s="68"/>
      <c r="P33" s="68"/>
    </row>
    <row r="34" spans="3:16" x14ac:dyDescent="0.3">
      <c r="C34" s="320"/>
      <c r="D34" s="81" t="s">
        <v>115</v>
      </c>
      <c r="E34" s="73"/>
      <c r="F34" s="82"/>
      <c r="G34" s="52"/>
      <c r="H34" s="52"/>
      <c r="I34" s="52"/>
      <c r="J34" s="62"/>
      <c r="K34" s="61"/>
      <c r="L34" s="334"/>
      <c r="M34" s="68"/>
      <c r="N34" s="68"/>
      <c r="O34" s="68"/>
      <c r="P34" s="68"/>
    </row>
    <row r="35" spans="3:16" x14ac:dyDescent="0.3">
      <c r="C35" s="320"/>
      <c r="D35" s="80" t="s">
        <v>168</v>
      </c>
      <c r="E35" s="90" t="s">
        <v>13</v>
      </c>
      <c r="F35" s="66">
        <v>7</v>
      </c>
      <c r="G35" s="67">
        <v>2.1</v>
      </c>
      <c r="H35" s="67"/>
      <c r="I35" s="67"/>
      <c r="J35" s="66">
        <v>1</v>
      </c>
      <c r="K35" s="67">
        <f>F35*J35*G35</f>
        <v>14.700000000000001</v>
      </c>
      <c r="L35" s="334"/>
      <c r="M35" s="68"/>
      <c r="N35" s="68"/>
      <c r="O35" s="68"/>
      <c r="P35" s="68"/>
    </row>
    <row r="36" spans="3:16" x14ac:dyDescent="0.3">
      <c r="C36" s="63"/>
      <c r="D36" s="80" t="s">
        <v>169</v>
      </c>
      <c r="E36" s="90" t="s">
        <v>13</v>
      </c>
      <c r="F36" s="66">
        <v>1</v>
      </c>
      <c r="G36" s="67">
        <f>4.2+0.1+0.25+1.05+1.4</f>
        <v>7</v>
      </c>
      <c r="H36" s="67"/>
      <c r="I36" s="67"/>
      <c r="J36" s="66">
        <v>1</v>
      </c>
      <c r="K36" s="67">
        <f>F36*J36*G36</f>
        <v>7</v>
      </c>
      <c r="L36" s="334"/>
      <c r="M36" s="68"/>
      <c r="N36" s="68"/>
      <c r="O36" s="68"/>
      <c r="P36" s="68"/>
    </row>
    <row r="37" spans="3:16" x14ac:dyDescent="0.3">
      <c r="C37" s="136"/>
      <c r="D37" s="80" t="s">
        <v>170</v>
      </c>
      <c r="E37" s="90" t="s">
        <v>13</v>
      </c>
      <c r="F37" s="66">
        <v>11</v>
      </c>
      <c r="G37" s="67">
        <v>1.2</v>
      </c>
      <c r="H37" s="67"/>
      <c r="I37" s="67"/>
      <c r="J37" s="66">
        <v>1</v>
      </c>
      <c r="K37" s="67">
        <f>F37*J37*G37</f>
        <v>13.2</v>
      </c>
      <c r="L37" s="334"/>
      <c r="M37" s="68"/>
      <c r="N37" s="68"/>
      <c r="O37" s="68"/>
      <c r="P37" s="68"/>
    </row>
    <row r="38" spans="3:16" x14ac:dyDescent="0.3">
      <c r="C38" s="136"/>
      <c r="D38" s="81" t="s">
        <v>139</v>
      </c>
      <c r="E38" s="73"/>
      <c r="F38" s="82"/>
      <c r="G38" s="52"/>
      <c r="H38" s="52"/>
      <c r="I38" s="52"/>
      <c r="J38" s="62"/>
      <c r="K38" s="61"/>
      <c r="L38" s="334"/>
      <c r="M38" s="68"/>
      <c r="N38" s="68"/>
      <c r="O38" s="68"/>
      <c r="P38" s="68"/>
    </row>
    <row r="39" spans="3:16" x14ac:dyDescent="0.3">
      <c r="C39" s="136"/>
      <c r="D39" s="80" t="s">
        <v>168</v>
      </c>
      <c r="E39" s="90" t="s">
        <v>13</v>
      </c>
      <c r="F39" s="66">
        <v>7</v>
      </c>
      <c r="G39" s="67">
        <v>2.1</v>
      </c>
      <c r="H39" s="67"/>
      <c r="I39" s="67"/>
      <c r="J39" s="66">
        <v>1</v>
      </c>
      <c r="K39" s="67">
        <f>F39*J39*G39</f>
        <v>14.700000000000001</v>
      </c>
      <c r="L39" s="334"/>
      <c r="M39" s="68"/>
      <c r="N39" s="68"/>
      <c r="O39" s="68"/>
      <c r="P39" s="68"/>
    </row>
    <row r="40" spans="3:16" x14ac:dyDescent="0.3">
      <c r="C40" s="136"/>
      <c r="D40" s="80" t="s">
        <v>169</v>
      </c>
      <c r="E40" s="90" t="s">
        <v>13</v>
      </c>
      <c r="F40" s="66">
        <v>1</v>
      </c>
      <c r="G40" s="67">
        <f>4.2+0.1+0.25+1.05+1.4</f>
        <v>7</v>
      </c>
      <c r="H40" s="67"/>
      <c r="I40" s="67"/>
      <c r="J40" s="66">
        <v>1</v>
      </c>
      <c r="K40" s="67">
        <f>F40*J40*G40</f>
        <v>7</v>
      </c>
      <c r="L40" s="334"/>
      <c r="M40" s="68"/>
      <c r="N40" s="68"/>
      <c r="O40" s="68"/>
      <c r="P40" s="68"/>
    </row>
    <row r="41" spans="3:16" x14ac:dyDescent="0.3">
      <c r="C41" s="136"/>
      <c r="D41" s="80" t="s">
        <v>170</v>
      </c>
      <c r="E41" s="90" t="s">
        <v>13</v>
      </c>
      <c r="F41" s="66">
        <v>11</v>
      </c>
      <c r="G41" s="67">
        <v>1.2</v>
      </c>
      <c r="H41" s="67"/>
      <c r="I41" s="67"/>
      <c r="J41" s="66">
        <v>1</v>
      </c>
      <c r="K41" s="67">
        <f>F41*J41*G41</f>
        <v>13.2</v>
      </c>
      <c r="L41" s="334"/>
      <c r="M41" s="68"/>
      <c r="N41" s="68"/>
      <c r="O41" s="68"/>
      <c r="P41" s="68"/>
    </row>
    <row r="42" spans="3:16" x14ac:dyDescent="0.3">
      <c r="C42" s="136"/>
      <c r="D42" s="81" t="s">
        <v>138</v>
      </c>
      <c r="E42" s="73"/>
      <c r="F42" s="82"/>
      <c r="G42" s="52"/>
      <c r="H42" s="52"/>
      <c r="I42" s="52"/>
      <c r="J42" s="62"/>
      <c r="K42" s="61"/>
      <c r="L42" s="334"/>
      <c r="M42" s="68"/>
      <c r="N42" s="68"/>
      <c r="O42" s="68"/>
      <c r="P42" s="68"/>
    </row>
    <row r="43" spans="3:16" x14ac:dyDescent="0.3">
      <c r="C43" s="136"/>
      <c r="D43" s="80" t="s">
        <v>168</v>
      </c>
      <c r="E43" s="90" t="s">
        <v>13</v>
      </c>
      <c r="F43" s="66">
        <v>7</v>
      </c>
      <c r="G43" s="67">
        <v>2.1</v>
      </c>
      <c r="H43" s="67"/>
      <c r="I43" s="67"/>
      <c r="J43" s="66">
        <v>1</v>
      </c>
      <c r="K43" s="67">
        <f>F43*J43*G43</f>
        <v>14.700000000000001</v>
      </c>
      <c r="L43" s="334"/>
      <c r="M43" s="68"/>
      <c r="N43" s="68"/>
      <c r="O43" s="68"/>
      <c r="P43" s="68"/>
    </row>
    <row r="44" spans="3:16" x14ac:dyDescent="0.3">
      <c r="C44" s="136"/>
      <c r="D44" s="80" t="s">
        <v>169</v>
      </c>
      <c r="E44" s="90" t="s">
        <v>13</v>
      </c>
      <c r="F44" s="66">
        <v>1</v>
      </c>
      <c r="G44" s="67">
        <f>4.2+0.1+0.25+1.05+1.4</f>
        <v>7</v>
      </c>
      <c r="H44" s="67"/>
      <c r="I44" s="67"/>
      <c r="J44" s="66">
        <v>1</v>
      </c>
      <c r="K44" s="67">
        <f>F44*J44*G44</f>
        <v>7</v>
      </c>
      <c r="L44" s="334"/>
      <c r="M44" s="68"/>
      <c r="N44" s="68"/>
      <c r="O44" s="68"/>
      <c r="P44" s="68"/>
    </row>
    <row r="45" spans="3:16" x14ac:dyDescent="0.3">
      <c r="C45" s="136"/>
      <c r="D45" s="80" t="s">
        <v>170</v>
      </c>
      <c r="E45" s="90" t="s">
        <v>13</v>
      </c>
      <c r="F45" s="66">
        <v>11</v>
      </c>
      <c r="G45" s="67">
        <v>1.2</v>
      </c>
      <c r="H45" s="67"/>
      <c r="I45" s="67"/>
      <c r="J45" s="66">
        <v>1</v>
      </c>
      <c r="K45" s="67">
        <f>F45*J45*G45</f>
        <v>13.2</v>
      </c>
      <c r="L45" s="334"/>
      <c r="M45" s="68"/>
      <c r="N45" s="68"/>
      <c r="O45" s="68"/>
      <c r="P45" s="68"/>
    </row>
    <row r="46" spans="3:16" x14ac:dyDescent="0.3">
      <c r="C46" s="56"/>
      <c r="D46" s="57"/>
      <c r="E46" s="58"/>
      <c r="F46" s="59"/>
      <c r="G46" s="60"/>
      <c r="H46" s="60"/>
      <c r="I46" s="61"/>
      <c r="J46" s="62"/>
      <c r="K46" s="61"/>
      <c r="L46" s="334"/>
      <c r="M46" s="68"/>
      <c r="N46" s="68"/>
      <c r="O46" s="68"/>
      <c r="P46" s="68"/>
    </row>
    <row r="47" spans="3:16" x14ac:dyDescent="0.3">
      <c r="C47" s="136"/>
      <c r="D47" s="75" t="s">
        <v>182</v>
      </c>
      <c r="E47" s="73"/>
      <c r="F47" s="82"/>
      <c r="G47" s="52"/>
      <c r="H47" s="52"/>
      <c r="I47" s="52"/>
      <c r="J47" s="62"/>
      <c r="K47" s="61"/>
      <c r="L47" s="334"/>
      <c r="M47" s="68"/>
      <c r="N47" s="68"/>
      <c r="O47" s="68"/>
      <c r="P47" s="68"/>
    </row>
    <row r="48" spans="3:16" x14ac:dyDescent="0.3">
      <c r="C48" s="136"/>
      <c r="D48" s="81" t="s">
        <v>115</v>
      </c>
      <c r="E48" s="73"/>
      <c r="F48" s="82"/>
      <c r="G48" s="52"/>
      <c r="H48" s="52"/>
      <c r="I48" s="52"/>
      <c r="J48" s="62"/>
      <c r="K48" s="61"/>
      <c r="L48" s="334"/>
      <c r="M48" s="68"/>
      <c r="N48" s="68"/>
      <c r="O48" s="68"/>
      <c r="P48" s="68"/>
    </row>
    <row r="49" spans="3:16" x14ac:dyDescent="0.3">
      <c r="C49" s="136"/>
      <c r="D49" s="80" t="s">
        <v>183</v>
      </c>
      <c r="E49" s="90" t="s">
        <v>13</v>
      </c>
      <c r="F49" s="66">
        <v>1</v>
      </c>
      <c r="G49" s="67">
        <v>3.5</v>
      </c>
      <c r="H49" s="67"/>
      <c r="I49" s="67"/>
      <c r="J49" s="66">
        <v>1</v>
      </c>
      <c r="K49" s="67">
        <f t="shared" ref="K49:K50" si="1">F49*J49*G49</f>
        <v>3.5</v>
      </c>
      <c r="L49" s="334"/>
      <c r="M49" s="68"/>
      <c r="N49" s="68"/>
      <c r="O49" s="68"/>
      <c r="P49" s="68"/>
    </row>
    <row r="50" spans="3:16" x14ac:dyDescent="0.3">
      <c r="C50" s="136"/>
      <c r="D50" s="80" t="s">
        <v>184</v>
      </c>
      <c r="E50" s="90" t="s">
        <v>13</v>
      </c>
      <c r="F50" s="66">
        <v>2</v>
      </c>
      <c r="G50" s="67">
        <v>0.75</v>
      </c>
      <c r="H50" s="67"/>
      <c r="I50" s="67"/>
      <c r="J50" s="66">
        <v>1</v>
      </c>
      <c r="K50" s="67">
        <f t="shared" si="1"/>
        <v>1.5</v>
      </c>
      <c r="L50" s="334"/>
      <c r="M50" s="68"/>
      <c r="N50" s="68"/>
      <c r="O50" s="68"/>
      <c r="P50" s="68"/>
    </row>
    <row r="51" spans="3:16" x14ac:dyDescent="0.3">
      <c r="C51" s="136"/>
      <c r="D51" s="81" t="s">
        <v>139</v>
      </c>
      <c r="E51" s="73"/>
      <c r="F51" s="82"/>
      <c r="G51" s="52"/>
      <c r="H51" s="52"/>
      <c r="I51" s="52"/>
      <c r="J51" s="62"/>
      <c r="K51" s="61"/>
      <c r="L51" s="334"/>
      <c r="M51" s="68"/>
      <c r="N51" s="68"/>
      <c r="O51" s="68"/>
      <c r="P51" s="68"/>
    </row>
    <row r="52" spans="3:16" x14ac:dyDescent="0.3">
      <c r="C52" s="136"/>
      <c r="D52" s="80" t="s">
        <v>183</v>
      </c>
      <c r="E52" s="90" t="s">
        <v>13</v>
      </c>
      <c r="F52" s="66">
        <v>1</v>
      </c>
      <c r="G52" s="67">
        <v>3.5</v>
      </c>
      <c r="H52" s="67"/>
      <c r="I52" s="67"/>
      <c r="J52" s="66">
        <v>1</v>
      </c>
      <c r="K52" s="67">
        <f t="shared" ref="K52:K53" si="2">F52*J52*G52</f>
        <v>3.5</v>
      </c>
      <c r="L52" s="334"/>
      <c r="M52" s="68"/>
      <c r="N52" s="68"/>
      <c r="O52" s="68"/>
      <c r="P52" s="68"/>
    </row>
    <row r="53" spans="3:16" x14ac:dyDescent="0.3">
      <c r="C53" s="136"/>
      <c r="D53" s="80" t="s">
        <v>184</v>
      </c>
      <c r="E53" s="90" t="s">
        <v>13</v>
      </c>
      <c r="F53" s="66">
        <v>2</v>
      </c>
      <c r="G53" s="67">
        <v>0.75</v>
      </c>
      <c r="H53" s="67"/>
      <c r="I53" s="67"/>
      <c r="J53" s="66">
        <v>1</v>
      </c>
      <c r="K53" s="67">
        <f t="shared" si="2"/>
        <v>1.5</v>
      </c>
      <c r="L53" s="334"/>
      <c r="M53" s="68"/>
      <c r="N53" s="68"/>
      <c r="O53" s="68"/>
      <c r="P53" s="68"/>
    </row>
    <row r="54" spans="3:16" x14ac:dyDescent="0.3">
      <c r="C54" s="136"/>
      <c r="D54" s="81" t="s">
        <v>138</v>
      </c>
      <c r="E54" s="73"/>
      <c r="F54" s="82"/>
      <c r="G54" s="52"/>
      <c r="H54" s="52"/>
      <c r="I54" s="52"/>
      <c r="J54" s="62"/>
      <c r="K54" s="61"/>
      <c r="L54" s="334"/>
      <c r="M54" s="68"/>
      <c r="N54" s="68"/>
      <c r="O54" s="68"/>
      <c r="P54" s="68"/>
    </row>
    <row r="55" spans="3:16" x14ac:dyDescent="0.3">
      <c r="C55" s="136"/>
      <c r="D55" s="80" t="s">
        <v>183</v>
      </c>
      <c r="E55" s="90" t="s">
        <v>13</v>
      </c>
      <c r="F55" s="66">
        <v>1</v>
      </c>
      <c r="G55" s="67">
        <v>3.5</v>
      </c>
      <c r="H55" s="67"/>
      <c r="I55" s="67"/>
      <c r="J55" s="66">
        <v>1</v>
      </c>
      <c r="K55" s="67">
        <f t="shared" ref="K55:K56" si="3">F55*J55*G55</f>
        <v>3.5</v>
      </c>
      <c r="L55" s="334"/>
      <c r="M55" s="68"/>
      <c r="N55" s="68"/>
      <c r="O55" s="68"/>
      <c r="P55" s="68"/>
    </row>
    <row r="56" spans="3:16" x14ac:dyDescent="0.3">
      <c r="C56" s="136"/>
      <c r="D56" s="80" t="s">
        <v>184</v>
      </c>
      <c r="E56" s="90" t="s">
        <v>13</v>
      </c>
      <c r="F56" s="66">
        <v>2</v>
      </c>
      <c r="G56" s="67">
        <v>0.75</v>
      </c>
      <c r="H56" s="67"/>
      <c r="I56" s="67"/>
      <c r="J56" s="66">
        <v>1</v>
      </c>
      <c r="K56" s="67">
        <f t="shared" si="3"/>
        <v>1.5</v>
      </c>
      <c r="L56" s="334"/>
      <c r="M56" s="68"/>
      <c r="N56" s="68"/>
      <c r="O56" s="68"/>
      <c r="P56" s="68"/>
    </row>
    <row r="57" spans="3:16" x14ac:dyDescent="0.3">
      <c r="C57" s="48"/>
      <c r="D57" s="103"/>
      <c r="E57" s="174"/>
      <c r="F57" s="344"/>
      <c r="G57" s="168"/>
      <c r="H57" s="86"/>
      <c r="I57" s="86"/>
      <c r="J57" s="69"/>
      <c r="K57" s="68"/>
      <c r="L57" s="334"/>
      <c r="M57" s="68"/>
      <c r="N57" s="68"/>
      <c r="O57" s="68"/>
      <c r="P57" s="68"/>
    </row>
    <row r="58" spans="3:16" x14ac:dyDescent="0.3">
      <c r="C58" s="63"/>
      <c r="D58" s="64"/>
      <c r="E58" s="65"/>
      <c r="F58" s="66"/>
      <c r="G58" s="67"/>
      <c r="H58" s="67"/>
      <c r="I58" s="68"/>
      <c r="J58" s="69"/>
      <c r="K58" s="68"/>
      <c r="L58" s="68"/>
      <c r="M58" s="68"/>
      <c r="N58" s="68"/>
      <c r="O58" s="68"/>
      <c r="P58" s="68"/>
    </row>
    <row r="59" spans="3:16" x14ac:dyDescent="0.3">
      <c r="C59" s="63"/>
      <c r="D59" s="64"/>
      <c r="E59" s="65"/>
      <c r="F59" s="66"/>
      <c r="G59" s="67"/>
      <c r="H59" s="67"/>
      <c r="I59" s="68"/>
      <c r="J59" s="69"/>
      <c r="K59" s="68"/>
      <c r="L59" s="68"/>
      <c r="M59" s="68"/>
      <c r="N59" s="68"/>
      <c r="O59" s="68"/>
      <c r="P59" s="68"/>
    </row>
    <row r="60" spans="3:16" x14ac:dyDescent="0.3">
      <c r="C60" s="63"/>
      <c r="D60" s="64"/>
      <c r="E60" s="65"/>
      <c r="F60" s="66"/>
      <c r="G60" s="67"/>
      <c r="H60" s="67"/>
      <c r="I60" s="68"/>
      <c r="J60" s="69"/>
      <c r="K60" s="68"/>
      <c r="L60" s="68"/>
      <c r="M60" s="68"/>
      <c r="N60" s="68"/>
      <c r="O60" s="68"/>
      <c r="P60" s="68"/>
    </row>
    <row r="61" spans="3:16" x14ac:dyDescent="0.3">
      <c r="C61" s="63"/>
      <c r="D61" s="64"/>
      <c r="E61" s="65"/>
      <c r="F61" s="66"/>
      <c r="G61" s="67"/>
      <c r="H61" s="67"/>
      <c r="I61" s="68"/>
      <c r="J61" s="69"/>
      <c r="K61" s="68"/>
      <c r="L61" s="68"/>
      <c r="M61" s="68"/>
      <c r="N61" s="68"/>
      <c r="O61" s="68"/>
      <c r="P61" s="68"/>
    </row>
    <row r="62" spans="3:16" x14ac:dyDescent="0.3">
      <c r="C62" s="63"/>
      <c r="D62" s="64"/>
      <c r="E62" s="65"/>
      <c r="F62" s="66"/>
      <c r="G62" s="67"/>
      <c r="H62" s="67"/>
      <c r="I62" s="68"/>
      <c r="J62" s="69"/>
      <c r="K62" s="68"/>
      <c r="L62" s="68"/>
      <c r="M62" s="68"/>
      <c r="N62" s="68"/>
      <c r="O62" s="68"/>
      <c r="P62" s="68"/>
    </row>
    <row r="63" spans="3:16" x14ac:dyDescent="0.3">
      <c r="C63" s="63"/>
      <c r="D63" s="64"/>
      <c r="E63" s="65"/>
      <c r="F63" s="66"/>
      <c r="G63" s="67"/>
      <c r="H63" s="67"/>
      <c r="I63" s="68"/>
      <c r="J63" s="69"/>
      <c r="K63" s="68"/>
      <c r="L63" s="68"/>
      <c r="M63" s="68"/>
      <c r="N63" s="68"/>
      <c r="O63" s="68"/>
      <c r="P63" s="68"/>
    </row>
    <row r="64" spans="3:16" x14ac:dyDescent="0.3">
      <c r="C64" s="63"/>
      <c r="D64" s="64"/>
      <c r="E64" s="65"/>
      <c r="F64" s="66"/>
      <c r="G64" s="67"/>
      <c r="H64" s="67"/>
      <c r="I64" s="68"/>
      <c r="J64" s="69"/>
      <c r="K64" s="68"/>
      <c r="L64" s="68"/>
      <c r="M64" s="68"/>
      <c r="N64" s="68"/>
      <c r="O64" s="68"/>
      <c r="P64" s="68"/>
    </row>
    <row r="65" spans="3:16" x14ac:dyDescent="0.3">
      <c r="C65" s="63"/>
      <c r="D65" s="64"/>
      <c r="E65" s="65"/>
      <c r="F65" s="66"/>
      <c r="G65" s="67"/>
      <c r="H65" s="67"/>
      <c r="I65" s="68"/>
      <c r="J65" s="69"/>
      <c r="K65" s="68"/>
      <c r="L65" s="68"/>
      <c r="M65" s="68"/>
      <c r="N65" s="68"/>
      <c r="O65" s="68"/>
      <c r="P65" s="68"/>
    </row>
    <row r="66" spans="3:16" x14ac:dyDescent="0.3">
      <c r="C66" s="63"/>
      <c r="D66" s="64"/>
      <c r="E66" s="65"/>
      <c r="F66" s="66"/>
      <c r="G66" s="67"/>
      <c r="H66" s="67"/>
      <c r="I66" s="68"/>
      <c r="J66" s="69"/>
      <c r="K66" s="68"/>
      <c r="L66" s="68"/>
      <c r="M66" s="68"/>
      <c r="N66" s="68"/>
      <c r="O66" s="68"/>
      <c r="P66" s="68"/>
    </row>
    <row r="67" spans="3:16" x14ac:dyDescent="0.3">
      <c r="C67" s="63"/>
      <c r="D67" s="64"/>
      <c r="E67" s="65"/>
      <c r="F67" s="66"/>
      <c r="G67" s="67"/>
      <c r="H67" s="67"/>
      <c r="I67" s="68"/>
      <c r="J67" s="69"/>
      <c r="K67" s="68"/>
      <c r="L67" s="68"/>
      <c r="M67" s="68"/>
      <c r="N67" s="68"/>
      <c r="O67" s="68"/>
      <c r="P67" s="68"/>
    </row>
    <row r="68" spans="3:16" x14ac:dyDescent="0.3">
      <c r="C68" s="56"/>
      <c r="D68" s="57"/>
      <c r="E68" s="58"/>
      <c r="F68" s="59"/>
      <c r="G68" s="60"/>
      <c r="H68" s="60"/>
      <c r="I68" s="61"/>
      <c r="J68" s="62"/>
      <c r="K68" s="61"/>
      <c r="L68" s="61"/>
      <c r="M68" s="61"/>
      <c r="N68" s="61"/>
      <c r="O68" s="61"/>
      <c r="P68" s="61"/>
    </row>
    <row r="69" spans="3:16" x14ac:dyDescent="0.3">
      <c r="C69" s="63"/>
      <c r="D69" s="64"/>
      <c r="E69" s="65"/>
      <c r="F69" s="66"/>
      <c r="G69" s="67"/>
      <c r="H69" s="67"/>
      <c r="I69" s="68"/>
      <c r="J69" s="69"/>
      <c r="K69" s="68"/>
      <c r="L69" s="68"/>
      <c r="M69" s="68"/>
      <c r="N69" s="68"/>
      <c r="O69" s="68"/>
      <c r="P69" s="68"/>
    </row>
    <row r="70" spans="3:16" x14ac:dyDescent="0.3">
      <c r="C70" s="63"/>
      <c r="D70" s="64"/>
      <c r="E70" s="65"/>
      <c r="F70" s="66"/>
      <c r="G70" s="67"/>
      <c r="H70" s="67"/>
      <c r="I70" s="68"/>
      <c r="J70" s="69"/>
      <c r="K70" s="68"/>
      <c r="L70" s="68"/>
      <c r="M70" s="68"/>
      <c r="N70" s="68"/>
      <c r="O70" s="68"/>
      <c r="P70" s="68"/>
    </row>
  </sheetData>
  <autoFilter ref="C16:P18" xr:uid="{00000000-0009-0000-0000-000006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etrado10" filterMode="1"/>
  <dimension ref="A1:W58"/>
  <sheetViews>
    <sheetView view="pageBreakPreview" topLeftCell="A7" zoomScaleNormal="85" zoomScaleSheetLayoutView="100" workbookViewId="0">
      <selection activeCell="C38" sqref="C38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134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9.6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307">
        <v>1</v>
      </c>
      <c r="D18" s="278" t="s">
        <v>134</v>
      </c>
      <c r="E18" s="318"/>
      <c r="F18" s="319"/>
      <c r="G18" s="310"/>
      <c r="H18" s="310"/>
      <c r="I18" s="310"/>
      <c r="J18" s="280"/>
      <c r="K18" s="281"/>
      <c r="L18" s="281"/>
      <c r="M18" s="186"/>
      <c r="N18" s="186"/>
      <c r="O18" s="186"/>
      <c r="P18" s="186"/>
    </row>
    <row r="19" spans="1:16" s="321" customFormat="1" x14ac:dyDescent="0.3">
      <c r="A19" s="321">
        <v>1</v>
      </c>
      <c r="C19" s="145" t="s">
        <v>441</v>
      </c>
      <c r="D19" s="133" t="s">
        <v>17</v>
      </c>
      <c r="E19" s="323"/>
      <c r="F19" s="339"/>
      <c r="G19" s="326"/>
      <c r="H19" s="326"/>
      <c r="I19" s="326"/>
      <c r="J19" s="327"/>
      <c r="K19" s="328"/>
      <c r="L19" s="328"/>
      <c r="M19" s="328"/>
      <c r="N19" s="328"/>
      <c r="O19" s="328"/>
      <c r="P19" s="328"/>
    </row>
    <row r="20" spans="1:16" x14ac:dyDescent="0.3">
      <c r="A20" s="104">
        <v>2</v>
      </c>
      <c r="C20" s="97" t="s">
        <v>423</v>
      </c>
      <c r="D20" s="98" t="s">
        <v>28</v>
      </c>
      <c r="E20" s="88"/>
      <c r="F20" s="51"/>
      <c r="G20" s="52"/>
      <c r="H20" s="52"/>
      <c r="I20" s="52"/>
      <c r="J20" s="59"/>
      <c r="K20" s="60"/>
      <c r="L20" s="60"/>
      <c r="M20" s="100"/>
      <c r="N20" s="100"/>
      <c r="O20" s="100"/>
      <c r="P20" s="100"/>
    </row>
    <row r="21" spans="1:16" x14ac:dyDescent="0.3">
      <c r="C21" s="48" t="s">
        <v>425</v>
      </c>
      <c r="D21" s="77" t="s">
        <v>159</v>
      </c>
      <c r="E21" s="50" t="s">
        <v>14</v>
      </c>
      <c r="F21" s="78"/>
      <c r="G21" s="52"/>
      <c r="H21" s="52"/>
      <c r="I21" s="52"/>
      <c r="J21" s="59"/>
      <c r="K21" s="55"/>
      <c r="L21" s="55"/>
      <c r="M21" s="55"/>
      <c r="N21" s="55"/>
      <c r="O21" s="55"/>
      <c r="P21" s="55">
        <f>SUM(O21:O29)</f>
        <v>6</v>
      </c>
    </row>
    <row r="22" spans="1:16" ht="20.399999999999999" x14ac:dyDescent="0.3">
      <c r="C22" s="48"/>
      <c r="D22" s="83" t="s">
        <v>166</v>
      </c>
      <c r="E22" s="50"/>
      <c r="F22" s="154"/>
      <c r="G22" s="52"/>
      <c r="H22" s="52"/>
      <c r="I22" s="52"/>
      <c r="J22" s="155"/>
      <c r="K22" s="138"/>
      <c r="L22" s="138"/>
      <c r="M22" s="138"/>
      <c r="N22" s="138"/>
      <c r="O22" s="61"/>
      <c r="P22" s="55"/>
    </row>
    <row r="23" spans="1:16" x14ac:dyDescent="0.3">
      <c r="C23" s="63"/>
      <c r="D23" s="79" t="s">
        <v>111</v>
      </c>
      <c r="E23" s="73"/>
      <c r="F23" s="82"/>
      <c r="G23" s="52"/>
      <c r="H23" s="52"/>
      <c r="I23" s="52"/>
      <c r="J23" s="62"/>
      <c r="K23" s="61"/>
      <c r="L23" s="61"/>
      <c r="M23" s="61"/>
      <c r="N23" s="61"/>
      <c r="O23" s="68" t="str">
        <f t="shared" ref="O23:O24" si="0">IF(F23="","",PRODUCT(F23:J23))</f>
        <v/>
      </c>
      <c r="P23" s="68"/>
    </row>
    <row r="24" spans="1:16" x14ac:dyDescent="0.3">
      <c r="C24" s="63"/>
      <c r="D24" s="80" t="s">
        <v>185</v>
      </c>
      <c r="E24" s="65" t="s">
        <v>14</v>
      </c>
      <c r="F24" s="69">
        <v>2</v>
      </c>
      <c r="G24" s="67"/>
      <c r="H24" s="67"/>
      <c r="I24" s="67"/>
      <c r="J24" s="66">
        <v>1</v>
      </c>
      <c r="K24" s="68"/>
      <c r="L24" s="68"/>
      <c r="M24" s="68"/>
      <c r="N24" s="68"/>
      <c r="O24" s="68">
        <f t="shared" si="0"/>
        <v>2</v>
      </c>
      <c r="P24" s="68"/>
    </row>
    <row r="25" spans="1:16" x14ac:dyDescent="0.3">
      <c r="C25" s="63"/>
      <c r="D25" s="79" t="s">
        <v>112</v>
      </c>
      <c r="E25" s="73"/>
      <c r="F25" s="82"/>
      <c r="G25" s="52"/>
      <c r="H25" s="52"/>
      <c r="I25" s="52"/>
      <c r="J25" s="59"/>
      <c r="K25" s="61"/>
      <c r="L25" s="61"/>
      <c r="M25" s="61"/>
      <c r="N25" s="61"/>
      <c r="O25" s="61"/>
      <c r="P25" s="68"/>
    </row>
    <row r="26" spans="1:16" x14ac:dyDescent="0.3">
      <c r="C26" s="63"/>
      <c r="D26" s="80" t="s">
        <v>185</v>
      </c>
      <c r="E26" s="65" t="s">
        <v>14</v>
      </c>
      <c r="F26" s="69">
        <v>2</v>
      </c>
      <c r="G26" s="67"/>
      <c r="H26" s="67"/>
      <c r="I26" s="67"/>
      <c r="J26" s="66">
        <v>1</v>
      </c>
      <c r="K26" s="68"/>
      <c r="L26" s="68"/>
      <c r="M26" s="68"/>
      <c r="N26" s="68"/>
      <c r="O26" s="68">
        <f t="shared" ref="O26" si="1">IF(F26="","",PRODUCT(F26:J26))</f>
        <v>2</v>
      </c>
      <c r="P26" s="68"/>
    </row>
    <row r="27" spans="1:16" x14ac:dyDescent="0.3">
      <c r="C27" s="63"/>
      <c r="D27" s="79" t="s">
        <v>107</v>
      </c>
      <c r="E27" s="73"/>
      <c r="F27" s="82"/>
      <c r="G27" s="52"/>
      <c r="H27" s="52"/>
      <c r="I27" s="52"/>
      <c r="J27" s="59"/>
      <c r="K27" s="61"/>
      <c r="L27" s="61"/>
      <c r="M27" s="61"/>
      <c r="N27" s="61"/>
      <c r="O27" s="61"/>
      <c r="P27" s="68"/>
    </row>
    <row r="28" spans="1:16" x14ac:dyDescent="0.3">
      <c r="C28" s="63"/>
      <c r="D28" s="80" t="s">
        <v>185</v>
      </c>
      <c r="E28" s="65" t="s">
        <v>14</v>
      </c>
      <c r="F28" s="69">
        <v>2</v>
      </c>
      <c r="G28" s="67"/>
      <c r="H28" s="67"/>
      <c r="I28" s="67"/>
      <c r="J28" s="66">
        <v>1</v>
      </c>
      <c r="K28" s="68"/>
      <c r="L28" s="68"/>
      <c r="M28" s="68"/>
      <c r="N28" s="68"/>
      <c r="O28" s="68">
        <f t="shared" ref="O28" si="2">IF(F28="","",PRODUCT(F28:J28))</f>
        <v>2</v>
      </c>
      <c r="P28" s="68"/>
    </row>
    <row r="29" spans="1:16" x14ac:dyDescent="0.3">
      <c r="C29" s="63"/>
      <c r="D29" s="80"/>
      <c r="E29" s="90"/>
      <c r="F29" s="66"/>
      <c r="G29" s="67"/>
      <c r="H29" s="67"/>
      <c r="I29" s="67"/>
      <c r="J29" s="66"/>
      <c r="K29" s="67"/>
      <c r="L29" s="67"/>
      <c r="M29" s="68"/>
      <c r="N29" s="68"/>
      <c r="O29" s="68"/>
      <c r="P29" s="68"/>
    </row>
    <row r="30" spans="1:16" x14ac:dyDescent="0.3">
      <c r="C30" s="97" t="s">
        <v>426</v>
      </c>
      <c r="D30" s="97" t="s">
        <v>29</v>
      </c>
      <c r="E30" s="101"/>
      <c r="F30" s="51"/>
      <c r="G30" s="52"/>
      <c r="H30" s="52"/>
      <c r="I30" s="109"/>
      <c r="J30" s="99"/>
      <c r="K30" s="100"/>
      <c r="L30" s="100"/>
      <c r="M30" s="100"/>
      <c r="N30" s="100"/>
      <c r="O30" s="100"/>
      <c r="P30" s="100"/>
    </row>
    <row r="31" spans="1:16" x14ac:dyDescent="0.3">
      <c r="C31" s="48" t="s">
        <v>427</v>
      </c>
      <c r="D31" s="49" t="s">
        <v>160</v>
      </c>
      <c r="E31" s="50" t="s">
        <v>13</v>
      </c>
      <c r="F31" s="51"/>
      <c r="G31" s="52"/>
      <c r="H31" s="52"/>
      <c r="I31" s="53"/>
      <c r="J31" s="54"/>
      <c r="K31" s="55"/>
      <c r="L31" s="55"/>
      <c r="M31" s="55"/>
      <c r="N31" s="55"/>
      <c r="O31" s="55"/>
      <c r="P31" s="55">
        <f>SUM(K31:K35)</f>
        <v>80.100000000000009</v>
      </c>
    </row>
    <row r="32" spans="1:16" s="150" customFormat="1" x14ac:dyDescent="0.2">
      <c r="A32" s="184"/>
      <c r="B32" s="149"/>
      <c r="C32" s="63"/>
      <c r="D32" s="80" t="s">
        <v>111</v>
      </c>
      <c r="E32" s="65" t="s">
        <v>13</v>
      </c>
      <c r="F32" s="69">
        <v>6</v>
      </c>
      <c r="G32" s="67">
        <f>(2*2.15)+0.15</f>
        <v>4.45</v>
      </c>
      <c r="H32" s="67"/>
      <c r="I32" s="67"/>
      <c r="J32" s="69">
        <v>1</v>
      </c>
      <c r="K32" s="68">
        <f>PRODUCT(F32:J32)</f>
        <v>26.700000000000003</v>
      </c>
      <c r="L32" s="181"/>
      <c r="M32" s="68"/>
      <c r="N32" s="68"/>
      <c r="O32" s="68"/>
      <c r="P32" s="68"/>
    </row>
    <row r="33" spans="1:16" s="150" customFormat="1" x14ac:dyDescent="0.2">
      <c r="A33" s="184"/>
      <c r="B33" s="149"/>
      <c r="C33" s="63"/>
      <c r="D33" s="80" t="s">
        <v>139</v>
      </c>
      <c r="E33" s="65" t="s">
        <v>13</v>
      </c>
      <c r="F33" s="69">
        <v>6</v>
      </c>
      <c r="G33" s="67">
        <f>(2*2.15)+0.15</f>
        <v>4.45</v>
      </c>
      <c r="H33" s="67"/>
      <c r="I33" s="67"/>
      <c r="J33" s="69">
        <v>1</v>
      </c>
      <c r="K33" s="68">
        <f>PRODUCT(F33:J33)</f>
        <v>26.700000000000003</v>
      </c>
      <c r="L33" s="181"/>
      <c r="M33" s="68"/>
      <c r="N33" s="68"/>
      <c r="O33" s="68"/>
      <c r="P33" s="68"/>
    </row>
    <row r="34" spans="1:16" s="150" customFormat="1" x14ac:dyDescent="0.2">
      <c r="A34" s="184"/>
      <c r="B34" s="149"/>
      <c r="C34" s="63"/>
      <c r="D34" s="80" t="s">
        <v>138</v>
      </c>
      <c r="E34" s="65" t="s">
        <v>13</v>
      </c>
      <c r="F34" s="69">
        <v>6</v>
      </c>
      <c r="G34" s="67">
        <f>(2*2.15)+0.15</f>
        <v>4.45</v>
      </c>
      <c r="H34" s="67"/>
      <c r="I34" s="67"/>
      <c r="J34" s="69">
        <v>1</v>
      </c>
      <c r="K34" s="68">
        <f>PRODUCT(F34:J34)</f>
        <v>26.700000000000003</v>
      </c>
      <c r="L34" s="181"/>
      <c r="M34" s="68"/>
      <c r="N34" s="68"/>
      <c r="O34" s="68"/>
      <c r="P34" s="68"/>
    </row>
    <row r="35" spans="1:16" x14ac:dyDescent="0.3">
      <c r="C35" s="173"/>
      <c r="D35" s="188"/>
      <c r="E35" s="189"/>
      <c r="F35" s="92"/>
      <c r="G35" s="86"/>
      <c r="H35" s="86"/>
      <c r="I35" s="190"/>
      <c r="J35" s="166"/>
      <c r="K35" s="111"/>
      <c r="L35" s="111"/>
      <c r="M35" s="111"/>
      <c r="N35" s="111"/>
      <c r="O35" s="111"/>
      <c r="P35" s="111"/>
    </row>
    <row r="36" spans="1:16" x14ac:dyDescent="0.3">
      <c r="C36" s="98">
        <v>2.1</v>
      </c>
      <c r="D36" s="98" t="s">
        <v>16</v>
      </c>
      <c r="E36" s="88"/>
      <c r="F36" s="332"/>
      <c r="G36" s="168"/>
      <c r="H36" s="52"/>
      <c r="I36" s="52"/>
      <c r="J36" s="62"/>
      <c r="K36" s="61"/>
      <c r="L36" s="334"/>
      <c r="M36" s="68"/>
      <c r="N36" s="68"/>
      <c r="O36" s="68"/>
      <c r="P36" s="68"/>
    </row>
    <row r="37" spans="1:16" x14ac:dyDescent="0.3">
      <c r="C37" s="48" t="s">
        <v>430</v>
      </c>
      <c r="D37" s="77" t="s">
        <v>372</v>
      </c>
      <c r="E37" s="50" t="s">
        <v>13</v>
      </c>
      <c r="F37" s="78"/>
      <c r="G37" s="52"/>
      <c r="H37" s="52"/>
      <c r="I37" s="52"/>
      <c r="J37" s="59"/>
      <c r="K37" s="55"/>
      <c r="L37" s="55"/>
      <c r="M37" s="55"/>
      <c r="N37" s="55"/>
      <c r="O37" s="55"/>
      <c r="P37" s="55">
        <f>SUM(K37:K58)</f>
        <v>479.09999999999991</v>
      </c>
    </row>
    <row r="38" spans="1:16" x14ac:dyDescent="0.3">
      <c r="C38" s="56"/>
      <c r="D38" s="81" t="s">
        <v>115</v>
      </c>
      <c r="E38" s="73"/>
      <c r="F38" s="82"/>
      <c r="G38" s="52"/>
      <c r="H38" s="52"/>
      <c r="I38" s="52"/>
      <c r="J38" s="62"/>
      <c r="K38" s="61"/>
      <c r="L38" s="111"/>
      <c r="M38" s="61"/>
      <c r="N38" s="61"/>
      <c r="O38" s="61"/>
      <c r="P38" s="61"/>
    </row>
    <row r="39" spans="1:16" x14ac:dyDescent="0.3">
      <c r="C39" s="56"/>
      <c r="D39" s="80" t="s">
        <v>169</v>
      </c>
      <c r="E39" s="90" t="s">
        <v>13</v>
      </c>
      <c r="F39" s="66">
        <v>1</v>
      </c>
      <c r="G39" s="67">
        <f>8.8+9.2+0.7+(9*1.2)</f>
        <v>29.5</v>
      </c>
      <c r="H39" s="67"/>
      <c r="I39" s="67"/>
      <c r="J39" s="66">
        <v>1</v>
      </c>
      <c r="K39" s="67">
        <f>F39*J39*G39</f>
        <v>29.5</v>
      </c>
      <c r="L39" s="111"/>
      <c r="M39" s="61"/>
      <c r="N39" s="61"/>
      <c r="O39" s="61"/>
      <c r="P39" s="61"/>
    </row>
    <row r="40" spans="1:16" x14ac:dyDescent="0.3">
      <c r="C40" s="56"/>
      <c r="D40" s="80" t="s">
        <v>170</v>
      </c>
      <c r="E40" s="90" t="s">
        <v>13</v>
      </c>
      <c r="F40" s="66">
        <f>10+4*9</f>
        <v>46</v>
      </c>
      <c r="G40" s="67">
        <v>1.2</v>
      </c>
      <c r="H40" s="67"/>
      <c r="I40" s="67"/>
      <c r="J40" s="66">
        <v>1</v>
      </c>
      <c r="K40" s="67">
        <f>F40*J40*G40</f>
        <v>55.199999999999996</v>
      </c>
      <c r="L40" s="111"/>
      <c r="M40" s="61"/>
      <c r="N40" s="61"/>
      <c r="O40" s="61"/>
      <c r="P40" s="61"/>
    </row>
    <row r="41" spans="1:16" x14ac:dyDescent="0.3">
      <c r="C41" s="56"/>
      <c r="D41" s="81" t="s">
        <v>139</v>
      </c>
      <c r="E41" s="73"/>
      <c r="F41" s="82"/>
      <c r="G41" s="52"/>
      <c r="H41" s="52"/>
      <c r="I41" s="52"/>
      <c r="J41" s="62"/>
      <c r="K41" s="61"/>
      <c r="L41" s="111"/>
      <c r="M41" s="61"/>
      <c r="N41" s="61"/>
      <c r="O41" s="61"/>
      <c r="P41" s="61"/>
    </row>
    <row r="42" spans="1:16" x14ac:dyDescent="0.3">
      <c r="C42" s="56"/>
      <c r="D42" s="80" t="s">
        <v>169</v>
      </c>
      <c r="E42" s="90" t="s">
        <v>13</v>
      </c>
      <c r="F42" s="66">
        <v>1</v>
      </c>
      <c r="G42" s="67">
        <f>8.8+9.2+0.7+(9*1.2)</f>
        <v>29.5</v>
      </c>
      <c r="H42" s="67"/>
      <c r="I42" s="67"/>
      <c r="J42" s="66">
        <v>1</v>
      </c>
      <c r="K42" s="67">
        <f>F42*J42*G42</f>
        <v>29.5</v>
      </c>
      <c r="L42" s="111"/>
      <c r="M42" s="61"/>
      <c r="N42" s="61"/>
      <c r="O42" s="61"/>
      <c r="P42" s="61"/>
    </row>
    <row r="43" spans="1:16" x14ac:dyDescent="0.3">
      <c r="C43" s="56"/>
      <c r="D43" s="80" t="s">
        <v>170</v>
      </c>
      <c r="E43" s="90" t="s">
        <v>13</v>
      </c>
      <c r="F43" s="66">
        <f>10+4*9</f>
        <v>46</v>
      </c>
      <c r="G43" s="67">
        <v>1.2</v>
      </c>
      <c r="H43" s="67"/>
      <c r="I43" s="67"/>
      <c r="J43" s="66">
        <v>1</v>
      </c>
      <c r="K43" s="67">
        <f>F43*J43*G43</f>
        <v>55.199999999999996</v>
      </c>
      <c r="L43" s="111"/>
      <c r="M43" s="61"/>
      <c r="N43" s="61"/>
      <c r="O43" s="61"/>
      <c r="P43" s="61"/>
    </row>
    <row r="44" spans="1:16" x14ac:dyDescent="0.3">
      <c r="C44" s="56"/>
      <c r="D44" s="81" t="s">
        <v>138</v>
      </c>
      <c r="E44" s="73"/>
      <c r="F44" s="82"/>
      <c r="G44" s="52"/>
      <c r="H44" s="52"/>
      <c r="I44" s="52"/>
      <c r="J44" s="62"/>
      <c r="K44" s="61"/>
      <c r="L44" s="111"/>
      <c r="M44" s="61"/>
      <c r="N44" s="61"/>
      <c r="O44" s="61"/>
      <c r="P44" s="61"/>
    </row>
    <row r="45" spans="1:16" x14ac:dyDescent="0.3">
      <c r="C45" s="56"/>
      <c r="D45" s="80" t="s">
        <v>169</v>
      </c>
      <c r="E45" s="90" t="s">
        <v>13</v>
      </c>
      <c r="F45" s="66">
        <v>1</v>
      </c>
      <c r="G45" s="67">
        <f>8.8+9.2+0.7+(9*1.2)</f>
        <v>29.5</v>
      </c>
      <c r="H45" s="67"/>
      <c r="I45" s="67"/>
      <c r="J45" s="66">
        <v>1</v>
      </c>
      <c r="K45" s="67">
        <f>F45*J45*G45</f>
        <v>29.5</v>
      </c>
      <c r="L45" s="111"/>
      <c r="M45" s="61"/>
      <c r="N45" s="61"/>
      <c r="O45" s="61"/>
      <c r="P45" s="61"/>
    </row>
    <row r="46" spans="1:16" x14ac:dyDescent="0.3">
      <c r="C46" s="56"/>
      <c r="D46" s="80" t="s">
        <v>170</v>
      </c>
      <c r="E46" s="90" t="s">
        <v>13</v>
      </c>
      <c r="F46" s="66">
        <f>10+4*9</f>
        <v>46</v>
      </c>
      <c r="G46" s="67">
        <v>1.2</v>
      </c>
      <c r="H46" s="67"/>
      <c r="I46" s="67"/>
      <c r="J46" s="66">
        <v>1</v>
      </c>
      <c r="K46" s="67">
        <f>F46*J46*G46</f>
        <v>55.199999999999996</v>
      </c>
      <c r="L46" s="111"/>
      <c r="M46" s="61"/>
      <c r="N46" s="61"/>
      <c r="O46" s="61"/>
      <c r="P46" s="61"/>
    </row>
    <row r="47" spans="1:16" x14ac:dyDescent="0.3">
      <c r="C47" s="56"/>
      <c r="D47" s="75"/>
      <c r="E47" s="73"/>
      <c r="F47" s="82"/>
      <c r="G47" s="52"/>
      <c r="H47" s="52"/>
      <c r="I47" s="52"/>
      <c r="J47" s="62"/>
      <c r="K47" s="61"/>
      <c r="L47" s="111"/>
      <c r="M47" s="61"/>
      <c r="N47" s="61"/>
      <c r="O47" s="61"/>
      <c r="P47" s="61"/>
    </row>
    <row r="48" spans="1:16" x14ac:dyDescent="0.3">
      <c r="C48" s="56"/>
      <c r="D48" s="75" t="s">
        <v>127</v>
      </c>
      <c r="E48" s="73"/>
      <c r="F48" s="82"/>
      <c r="G48" s="52"/>
      <c r="H48" s="52"/>
      <c r="I48" s="52"/>
      <c r="J48" s="62"/>
      <c r="K48" s="61"/>
      <c r="L48" s="111"/>
      <c r="M48" s="61"/>
      <c r="N48" s="61"/>
      <c r="O48" s="61"/>
      <c r="P48" s="61"/>
    </row>
    <row r="49" spans="3:16" x14ac:dyDescent="0.3">
      <c r="C49" s="56"/>
      <c r="D49" s="81" t="s">
        <v>115</v>
      </c>
      <c r="E49" s="73"/>
      <c r="F49" s="82"/>
      <c r="G49" s="52"/>
      <c r="H49" s="52"/>
      <c r="I49" s="52"/>
      <c r="J49" s="62"/>
      <c r="K49" s="61"/>
      <c r="L49" s="104"/>
      <c r="M49" s="61"/>
      <c r="N49" s="61"/>
      <c r="O49" s="61"/>
      <c r="P49" s="61"/>
    </row>
    <row r="50" spans="3:16" x14ac:dyDescent="0.3">
      <c r="C50" s="98"/>
      <c r="D50" s="80" t="s">
        <v>186</v>
      </c>
      <c r="E50" s="90" t="s">
        <v>13</v>
      </c>
      <c r="F50" s="66">
        <v>1</v>
      </c>
      <c r="G50" s="67">
        <v>35.799999999999997</v>
      </c>
      <c r="H50" s="67"/>
      <c r="I50" s="67"/>
      <c r="J50" s="66">
        <v>2</v>
      </c>
      <c r="K50" s="67">
        <f>F50*J50*G50</f>
        <v>71.599999999999994</v>
      </c>
      <c r="L50" s="60"/>
      <c r="M50" s="61"/>
      <c r="N50" s="61"/>
      <c r="O50" s="61"/>
      <c r="P50" s="61"/>
    </row>
    <row r="51" spans="3:16" x14ac:dyDescent="0.3">
      <c r="C51" s="286"/>
      <c r="D51" s="80" t="s">
        <v>187</v>
      </c>
      <c r="E51" s="90" t="s">
        <v>13</v>
      </c>
      <c r="F51" s="66">
        <v>17</v>
      </c>
      <c r="G51" s="67"/>
      <c r="H51" s="67"/>
      <c r="I51" s="67">
        <v>0.1</v>
      </c>
      <c r="J51" s="66">
        <v>2</v>
      </c>
      <c r="K51" s="67">
        <f>F51*J51*I51</f>
        <v>3.4000000000000004</v>
      </c>
      <c r="L51" s="60"/>
      <c r="M51" s="61"/>
      <c r="N51" s="61"/>
      <c r="O51" s="61"/>
      <c r="P51" s="61"/>
    </row>
    <row r="52" spans="3:16" x14ac:dyDescent="0.3">
      <c r="C52" s="48"/>
      <c r="D52" s="81" t="s">
        <v>139</v>
      </c>
      <c r="E52" s="73"/>
      <c r="F52" s="82"/>
      <c r="G52" s="52"/>
      <c r="H52" s="52"/>
      <c r="I52" s="52"/>
      <c r="J52" s="62"/>
      <c r="K52" s="61"/>
      <c r="L52" s="60"/>
      <c r="M52" s="61"/>
      <c r="N52" s="61"/>
      <c r="O52" s="61"/>
      <c r="P52" s="60"/>
    </row>
    <row r="53" spans="3:16" x14ac:dyDescent="0.3">
      <c r="C53" s="56"/>
      <c r="D53" s="80" t="s">
        <v>186</v>
      </c>
      <c r="E53" s="90" t="s">
        <v>13</v>
      </c>
      <c r="F53" s="66">
        <v>1</v>
      </c>
      <c r="G53" s="67">
        <v>35.799999999999997</v>
      </c>
      <c r="H53" s="67"/>
      <c r="I53" s="67"/>
      <c r="J53" s="66">
        <v>2</v>
      </c>
      <c r="K53" s="67">
        <f>F53*J53*G53</f>
        <v>71.599999999999994</v>
      </c>
      <c r="L53" s="60"/>
      <c r="M53" s="61"/>
      <c r="N53" s="61"/>
      <c r="O53" s="61"/>
      <c r="P53" s="61"/>
    </row>
    <row r="54" spans="3:16" x14ac:dyDescent="0.3">
      <c r="C54" s="56"/>
      <c r="D54" s="80" t="s">
        <v>187</v>
      </c>
      <c r="E54" s="90" t="s">
        <v>13</v>
      </c>
      <c r="F54" s="66">
        <v>17</v>
      </c>
      <c r="G54" s="67"/>
      <c r="H54" s="67"/>
      <c r="I54" s="67">
        <v>0.1</v>
      </c>
      <c r="J54" s="66">
        <v>2</v>
      </c>
      <c r="K54" s="67">
        <f>F54*J54*I54</f>
        <v>3.4000000000000004</v>
      </c>
      <c r="L54" s="60"/>
      <c r="M54" s="61"/>
      <c r="N54" s="61"/>
      <c r="O54" s="61"/>
      <c r="P54" s="61"/>
    </row>
    <row r="55" spans="3:16" x14ac:dyDescent="0.3">
      <c r="C55" s="56"/>
      <c r="D55" s="81" t="s">
        <v>138</v>
      </c>
      <c r="E55" s="73"/>
      <c r="F55" s="82"/>
      <c r="G55" s="52"/>
      <c r="H55" s="52"/>
      <c r="I55" s="52"/>
      <c r="J55" s="62"/>
      <c r="K55" s="61"/>
      <c r="L55" s="60"/>
      <c r="M55" s="61"/>
      <c r="N55" s="61"/>
      <c r="O55" s="61"/>
      <c r="P55" s="61"/>
    </row>
    <row r="56" spans="3:16" x14ac:dyDescent="0.3">
      <c r="C56" s="56"/>
      <c r="D56" s="80" t="s">
        <v>186</v>
      </c>
      <c r="E56" s="90" t="s">
        <v>13</v>
      </c>
      <c r="F56" s="66">
        <v>1</v>
      </c>
      <c r="G56" s="67">
        <v>35.799999999999997</v>
      </c>
      <c r="H56" s="67"/>
      <c r="I56" s="67"/>
      <c r="J56" s="66">
        <v>2</v>
      </c>
      <c r="K56" s="67">
        <f>F56*J56*G56</f>
        <v>71.599999999999994</v>
      </c>
      <c r="L56" s="60"/>
      <c r="M56" s="61"/>
      <c r="N56" s="61"/>
      <c r="O56" s="61"/>
      <c r="P56" s="61"/>
    </row>
    <row r="57" spans="3:16" x14ac:dyDescent="0.3">
      <c r="C57" s="56"/>
      <c r="D57" s="80" t="s">
        <v>187</v>
      </c>
      <c r="E57" s="90" t="s">
        <v>13</v>
      </c>
      <c r="F57" s="66">
        <v>17</v>
      </c>
      <c r="G57" s="67"/>
      <c r="H57" s="67"/>
      <c r="I57" s="67">
        <v>0.1</v>
      </c>
      <c r="J57" s="66">
        <v>2</v>
      </c>
      <c r="K57" s="67">
        <f>F57*J57*I57</f>
        <v>3.4000000000000004</v>
      </c>
      <c r="L57" s="60"/>
      <c r="M57" s="61"/>
      <c r="N57" s="61"/>
      <c r="O57" s="61"/>
      <c r="P57" s="61"/>
    </row>
    <row r="58" spans="3:16" x14ac:dyDescent="0.3">
      <c r="C58" s="56"/>
      <c r="D58" s="103"/>
      <c r="E58" s="165"/>
      <c r="F58" s="166"/>
      <c r="G58" s="111"/>
      <c r="H58" s="111"/>
      <c r="I58" s="111"/>
      <c r="J58" s="166"/>
      <c r="K58" s="111"/>
      <c r="L58" s="60"/>
      <c r="M58" s="61"/>
      <c r="N58" s="61"/>
      <c r="O58" s="61"/>
      <c r="P58" s="61"/>
    </row>
  </sheetData>
  <autoFilter ref="C16:P37" xr:uid="{00000000-0009-0000-0000-000007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20481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etrado12" filterMode="1"/>
  <dimension ref="A1:W147"/>
  <sheetViews>
    <sheetView view="pageBreakPreview" topLeftCell="A16" zoomScaleNormal="85" zoomScaleSheetLayoutView="100" workbookViewId="0">
      <selection activeCell="C130" sqref="C130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110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0.95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307">
        <v>1</v>
      </c>
      <c r="D18" s="278" t="s">
        <v>110</v>
      </c>
      <c r="E18" s="318"/>
      <c r="F18" s="319"/>
      <c r="G18" s="310"/>
      <c r="H18" s="310"/>
      <c r="I18" s="310"/>
      <c r="J18" s="280"/>
      <c r="K18" s="281"/>
      <c r="L18" s="281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59"/>
      <c r="K19" s="60"/>
      <c r="L19" s="60"/>
      <c r="M19" s="129"/>
      <c r="N19" s="129"/>
      <c r="O19" s="129"/>
      <c r="P19" s="129"/>
    </row>
    <row r="20" spans="1:16" s="352" customFormat="1" x14ac:dyDescent="0.2">
      <c r="A20" s="345">
        <v>2</v>
      </c>
      <c r="B20" s="346"/>
      <c r="C20" s="147" t="s">
        <v>396</v>
      </c>
      <c r="D20" s="135" t="s">
        <v>18</v>
      </c>
      <c r="E20" s="347"/>
      <c r="F20" s="348"/>
      <c r="G20" s="349"/>
      <c r="H20" s="349"/>
      <c r="I20" s="349"/>
      <c r="J20" s="350"/>
      <c r="K20" s="351"/>
      <c r="L20" s="351"/>
      <c r="M20" s="351"/>
      <c r="N20" s="351"/>
      <c r="O20" s="351"/>
      <c r="P20" s="351"/>
    </row>
    <row r="21" spans="1:16" s="110" customFormat="1" x14ac:dyDescent="0.2">
      <c r="A21" s="107">
        <v>4</v>
      </c>
      <c r="B21" s="108"/>
      <c r="C21" s="136" t="s">
        <v>399</v>
      </c>
      <c r="D21" s="77" t="s">
        <v>148</v>
      </c>
      <c r="E21" s="50" t="s">
        <v>12</v>
      </c>
      <c r="F21" s="78"/>
      <c r="G21" s="53"/>
      <c r="H21" s="53"/>
      <c r="I21" s="53"/>
      <c r="J21" s="54"/>
      <c r="K21" s="55"/>
      <c r="L21" s="55"/>
      <c r="M21" s="55"/>
      <c r="N21" s="55"/>
      <c r="O21" s="55"/>
      <c r="P21" s="55">
        <f>SUM(L21:L94)</f>
        <v>71.091000000000022</v>
      </c>
    </row>
    <row r="22" spans="1:16" s="110" customFormat="1" x14ac:dyDescent="0.2">
      <c r="A22" s="107"/>
      <c r="B22" s="108"/>
      <c r="C22" s="136"/>
      <c r="D22" s="353" t="s">
        <v>19</v>
      </c>
      <c r="E22" s="50"/>
      <c r="F22" s="78"/>
      <c r="G22" s="53"/>
      <c r="H22" s="53"/>
      <c r="I22" s="53"/>
      <c r="J22" s="54"/>
      <c r="K22" s="55"/>
      <c r="L22" s="55"/>
      <c r="M22" s="55"/>
      <c r="N22" s="55"/>
      <c r="O22" s="55"/>
      <c r="P22" s="55"/>
    </row>
    <row r="23" spans="1:16" s="150" customFormat="1" x14ac:dyDescent="0.2">
      <c r="A23" s="184"/>
      <c r="B23" s="149"/>
      <c r="C23" s="63"/>
      <c r="D23" s="64" t="s">
        <v>231</v>
      </c>
      <c r="E23" s="90" t="s">
        <v>12</v>
      </c>
      <c r="F23" s="66">
        <v>1</v>
      </c>
      <c r="G23" s="67">
        <v>0.3</v>
      </c>
      <c r="H23" s="67"/>
      <c r="I23" s="67">
        <v>2.5</v>
      </c>
      <c r="J23" s="66">
        <v>1</v>
      </c>
      <c r="K23" s="68"/>
      <c r="L23" s="68">
        <f t="shared" ref="L23:L33" si="0">IF(F23="","",PRODUCT(F23:J23))</f>
        <v>0.75</v>
      </c>
      <c r="M23" s="68"/>
      <c r="N23" s="68"/>
      <c r="O23" s="68"/>
      <c r="P23" s="68"/>
    </row>
    <row r="24" spans="1:16" s="150" customFormat="1" x14ac:dyDescent="0.2">
      <c r="A24" s="184"/>
      <c r="B24" s="149"/>
      <c r="C24" s="63"/>
      <c r="D24" s="64" t="s">
        <v>232</v>
      </c>
      <c r="E24" s="90" t="s">
        <v>12</v>
      </c>
      <c r="F24" s="66">
        <v>1</v>
      </c>
      <c r="G24" s="67">
        <v>0.3</v>
      </c>
      <c r="H24" s="67"/>
      <c r="I24" s="67">
        <v>2.5</v>
      </c>
      <c r="J24" s="66">
        <v>1</v>
      </c>
      <c r="K24" s="68"/>
      <c r="L24" s="68">
        <f t="shared" si="0"/>
        <v>0.75</v>
      </c>
      <c r="M24" s="68"/>
      <c r="N24" s="68"/>
      <c r="O24" s="68"/>
      <c r="P24" s="68"/>
    </row>
    <row r="25" spans="1:16" s="150" customFormat="1" x14ac:dyDescent="0.2">
      <c r="A25" s="184"/>
      <c r="B25" s="149"/>
      <c r="C25" s="63"/>
      <c r="D25" s="64" t="s">
        <v>233</v>
      </c>
      <c r="E25" s="90" t="s">
        <v>12</v>
      </c>
      <c r="F25" s="66">
        <v>1</v>
      </c>
      <c r="G25" s="67">
        <v>0.3</v>
      </c>
      <c r="H25" s="67"/>
      <c r="I25" s="67">
        <v>3.58</v>
      </c>
      <c r="J25" s="66">
        <v>1</v>
      </c>
      <c r="K25" s="68"/>
      <c r="L25" s="68">
        <f t="shared" si="0"/>
        <v>1.0740000000000001</v>
      </c>
      <c r="M25" s="68"/>
      <c r="N25" s="68"/>
      <c r="O25" s="68"/>
      <c r="P25" s="68"/>
    </row>
    <row r="26" spans="1:16" s="150" customFormat="1" x14ac:dyDescent="0.2">
      <c r="A26" s="184"/>
      <c r="B26" s="149"/>
      <c r="C26" s="63"/>
      <c r="D26" s="64" t="s">
        <v>234</v>
      </c>
      <c r="E26" s="90" t="s">
        <v>12</v>
      </c>
      <c r="F26" s="66">
        <v>1</v>
      </c>
      <c r="G26" s="67">
        <v>0.3</v>
      </c>
      <c r="H26" s="67"/>
      <c r="I26" s="67">
        <v>3.47</v>
      </c>
      <c r="J26" s="66">
        <v>1</v>
      </c>
      <c r="K26" s="68"/>
      <c r="L26" s="68">
        <f t="shared" si="0"/>
        <v>1.0409999999999999</v>
      </c>
      <c r="M26" s="68"/>
      <c r="N26" s="68"/>
      <c r="O26" s="68"/>
      <c r="P26" s="68"/>
    </row>
    <row r="27" spans="1:16" s="150" customFormat="1" x14ac:dyDescent="0.2">
      <c r="A27" s="184"/>
      <c r="B27" s="149"/>
      <c r="C27" s="63"/>
      <c r="D27" s="64" t="s">
        <v>235</v>
      </c>
      <c r="E27" s="90" t="s">
        <v>12</v>
      </c>
      <c r="F27" s="66">
        <v>1</v>
      </c>
      <c r="G27" s="67">
        <v>0.3</v>
      </c>
      <c r="H27" s="67"/>
      <c r="I27" s="67">
        <v>3.34</v>
      </c>
      <c r="J27" s="66">
        <v>1</v>
      </c>
      <c r="K27" s="68"/>
      <c r="L27" s="68">
        <f t="shared" si="0"/>
        <v>1.002</v>
      </c>
      <c r="M27" s="68"/>
      <c r="N27" s="68"/>
      <c r="O27" s="68"/>
      <c r="P27" s="68"/>
    </row>
    <row r="28" spans="1:16" s="150" customFormat="1" x14ac:dyDescent="0.2">
      <c r="A28" s="184"/>
      <c r="B28" s="149"/>
      <c r="C28" s="63"/>
      <c r="D28" s="64" t="s">
        <v>236</v>
      </c>
      <c r="E28" s="90" t="s">
        <v>12</v>
      </c>
      <c r="F28" s="66">
        <v>1</v>
      </c>
      <c r="G28" s="67">
        <v>0.3</v>
      </c>
      <c r="H28" s="67"/>
      <c r="I28" s="67">
        <v>3.16</v>
      </c>
      <c r="J28" s="66">
        <v>1</v>
      </c>
      <c r="K28" s="68"/>
      <c r="L28" s="68">
        <f t="shared" si="0"/>
        <v>0.94799999999999995</v>
      </c>
      <c r="M28" s="68"/>
      <c r="N28" s="68"/>
      <c r="O28" s="68"/>
      <c r="P28" s="68"/>
    </row>
    <row r="29" spans="1:16" s="150" customFormat="1" x14ac:dyDescent="0.2">
      <c r="A29" s="184"/>
      <c r="B29" s="149"/>
      <c r="C29" s="63"/>
      <c r="D29" s="64" t="s">
        <v>237</v>
      </c>
      <c r="E29" s="90" t="s">
        <v>12</v>
      </c>
      <c r="F29" s="66">
        <v>1</v>
      </c>
      <c r="G29" s="67">
        <v>0.3</v>
      </c>
      <c r="H29" s="67"/>
      <c r="I29" s="67">
        <v>3.01</v>
      </c>
      <c r="J29" s="66">
        <v>1</v>
      </c>
      <c r="K29" s="68"/>
      <c r="L29" s="68">
        <f t="shared" si="0"/>
        <v>0.90299999999999991</v>
      </c>
      <c r="M29" s="68"/>
      <c r="N29" s="68"/>
      <c r="O29" s="68"/>
      <c r="P29" s="68"/>
    </row>
    <row r="30" spans="1:16" s="150" customFormat="1" x14ac:dyDescent="0.2">
      <c r="A30" s="184"/>
      <c r="B30" s="149"/>
      <c r="C30" s="63"/>
      <c r="D30" s="64" t="s">
        <v>238</v>
      </c>
      <c r="E30" s="90" t="s">
        <v>12</v>
      </c>
      <c r="F30" s="66">
        <v>1</v>
      </c>
      <c r="G30" s="67">
        <v>0.3</v>
      </c>
      <c r="H30" s="67"/>
      <c r="I30" s="67">
        <v>2.86</v>
      </c>
      <c r="J30" s="66">
        <v>1</v>
      </c>
      <c r="K30" s="68"/>
      <c r="L30" s="68">
        <f t="shared" si="0"/>
        <v>0.85799999999999998</v>
      </c>
      <c r="M30" s="68"/>
      <c r="N30" s="68"/>
      <c r="O30" s="68"/>
      <c r="P30" s="68"/>
    </row>
    <row r="31" spans="1:16" s="150" customFormat="1" x14ac:dyDescent="0.2">
      <c r="A31" s="184"/>
      <c r="B31" s="149"/>
      <c r="C31" s="63"/>
      <c r="D31" s="64" t="s">
        <v>239</v>
      </c>
      <c r="E31" s="90" t="s">
        <v>12</v>
      </c>
      <c r="F31" s="66">
        <v>1</v>
      </c>
      <c r="G31" s="67">
        <v>0.3</v>
      </c>
      <c r="H31" s="67"/>
      <c r="I31" s="67">
        <v>2.71</v>
      </c>
      <c r="J31" s="66">
        <v>1</v>
      </c>
      <c r="K31" s="68"/>
      <c r="L31" s="68">
        <f t="shared" si="0"/>
        <v>0.81299999999999994</v>
      </c>
      <c r="M31" s="68"/>
      <c r="N31" s="68"/>
      <c r="O31" s="68"/>
      <c r="P31" s="68"/>
    </row>
    <row r="32" spans="1:16" s="150" customFormat="1" x14ac:dyDescent="0.2">
      <c r="A32" s="184"/>
      <c r="B32" s="149"/>
      <c r="C32" s="63"/>
      <c r="D32" s="64" t="s">
        <v>240</v>
      </c>
      <c r="E32" s="90" t="s">
        <v>12</v>
      </c>
      <c r="F32" s="66">
        <v>1</v>
      </c>
      <c r="G32" s="67">
        <v>0.3</v>
      </c>
      <c r="H32" s="67"/>
      <c r="I32" s="67">
        <v>2.4900000000000002</v>
      </c>
      <c r="J32" s="66">
        <v>1</v>
      </c>
      <c r="K32" s="68"/>
      <c r="L32" s="68">
        <f t="shared" si="0"/>
        <v>0.747</v>
      </c>
      <c r="M32" s="68"/>
      <c r="N32" s="68"/>
      <c r="O32" s="68"/>
      <c r="P32" s="68"/>
    </row>
    <row r="33" spans="1:16" s="150" customFormat="1" x14ac:dyDescent="0.2">
      <c r="A33" s="184"/>
      <c r="B33" s="149"/>
      <c r="C33" s="63"/>
      <c r="D33" s="64" t="s">
        <v>241</v>
      </c>
      <c r="E33" s="90" t="s">
        <v>12</v>
      </c>
      <c r="F33" s="66">
        <v>1</v>
      </c>
      <c r="G33" s="67">
        <v>0.3</v>
      </c>
      <c r="H33" s="67"/>
      <c r="I33" s="67">
        <v>2.31</v>
      </c>
      <c r="J33" s="66">
        <v>1</v>
      </c>
      <c r="K33" s="68"/>
      <c r="L33" s="68">
        <f t="shared" si="0"/>
        <v>0.69299999999999995</v>
      </c>
      <c r="M33" s="68"/>
      <c r="N33" s="68"/>
      <c r="O33" s="68"/>
      <c r="P33" s="68"/>
    </row>
    <row r="34" spans="1:16" s="150" customFormat="1" x14ac:dyDescent="0.2">
      <c r="A34" s="184"/>
      <c r="B34" s="149"/>
      <c r="C34" s="63"/>
      <c r="D34" s="353" t="s">
        <v>242</v>
      </c>
      <c r="E34" s="90"/>
      <c r="F34" s="66"/>
      <c r="G34" s="67"/>
      <c r="H34" s="67"/>
      <c r="I34" s="67"/>
      <c r="J34" s="69"/>
      <c r="K34" s="68"/>
      <c r="L34" s="68"/>
      <c r="M34" s="68"/>
      <c r="N34" s="68"/>
      <c r="O34" s="68"/>
      <c r="P34" s="68"/>
    </row>
    <row r="35" spans="1:16" s="150" customFormat="1" x14ac:dyDescent="0.2">
      <c r="A35" s="184"/>
      <c r="B35" s="149"/>
      <c r="C35" s="63"/>
      <c r="D35" s="64" t="s">
        <v>243</v>
      </c>
      <c r="E35" s="90" t="s">
        <v>12</v>
      </c>
      <c r="F35" s="66">
        <v>1</v>
      </c>
      <c r="G35" s="67">
        <v>0.3</v>
      </c>
      <c r="H35" s="67"/>
      <c r="I35" s="67">
        <v>3.1</v>
      </c>
      <c r="J35" s="66">
        <v>1</v>
      </c>
      <c r="K35" s="68"/>
      <c r="L35" s="68">
        <f t="shared" ref="L35:L40" si="1">IF(F35="","",PRODUCT(F35:J35))</f>
        <v>0.92999999999999994</v>
      </c>
      <c r="M35" s="68"/>
      <c r="N35" s="68"/>
      <c r="O35" s="68"/>
      <c r="P35" s="68"/>
    </row>
    <row r="36" spans="1:16" s="150" customFormat="1" x14ac:dyDescent="0.2">
      <c r="A36" s="184"/>
      <c r="B36" s="149"/>
      <c r="C36" s="63"/>
      <c r="D36" s="64" t="s">
        <v>244</v>
      </c>
      <c r="E36" s="90" t="s">
        <v>12</v>
      </c>
      <c r="F36" s="66">
        <v>1</v>
      </c>
      <c r="G36" s="67">
        <v>0.3</v>
      </c>
      <c r="H36" s="67"/>
      <c r="I36" s="67">
        <v>3.1</v>
      </c>
      <c r="J36" s="66">
        <v>1</v>
      </c>
      <c r="K36" s="68"/>
      <c r="L36" s="68">
        <f t="shared" si="1"/>
        <v>0.92999999999999994</v>
      </c>
      <c r="M36" s="68"/>
      <c r="N36" s="68"/>
      <c r="O36" s="68"/>
      <c r="P36" s="68"/>
    </row>
    <row r="37" spans="1:16" s="150" customFormat="1" x14ac:dyDescent="0.2">
      <c r="A37" s="184"/>
      <c r="B37" s="149"/>
      <c r="C37" s="63"/>
      <c r="D37" s="64" t="s">
        <v>245</v>
      </c>
      <c r="E37" s="90" t="s">
        <v>12</v>
      </c>
      <c r="F37" s="66">
        <v>1</v>
      </c>
      <c r="G37" s="67">
        <v>0.3</v>
      </c>
      <c r="H37" s="67"/>
      <c r="I37" s="67">
        <v>3.1</v>
      </c>
      <c r="J37" s="66">
        <v>1</v>
      </c>
      <c r="K37" s="68"/>
      <c r="L37" s="68">
        <f t="shared" si="1"/>
        <v>0.92999999999999994</v>
      </c>
      <c r="M37" s="68"/>
      <c r="N37" s="68"/>
      <c r="O37" s="68"/>
      <c r="P37" s="68"/>
    </row>
    <row r="38" spans="1:16" s="150" customFormat="1" x14ac:dyDescent="0.2">
      <c r="A38" s="184"/>
      <c r="B38" s="149"/>
      <c r="C38" s="63"/>
      <c r="D38" s="64" t="s">
        <v>246</v>
      </c>
      <c r="E38" s="90" t="s">
        <v>12</v>
      </c>
      <c r="F38" s="66">
        <v>1</v>
      </c>
      <c r="G38" s="67">
        <v>0.3</v>
      </c>
      <c r="H38" s="67"/>
      <c r="I38" s="67">
        <v>2.9</v>
      </c>
      <c r="J38" s="66">
        <v>1</v>
      </c>
      <c r="K38" s="68"/>
      <c r="L38" s="68">
        <f t="shared" si="1"/>
        <v>0.87</v>
      </c>
      <c r="M38" s="68"/>
      <c r="N38" s="68"/>
      <c r="O38" s="68"/>
      <c r="P38" s="68"/>
    </row>
    <row r="39" spans="1:16" s="150" customFormat="1" x14ac:dyDescent="0.2">
      <c r="A39" s="184"/>
      <c r="B39" s="149"/>
      <c r="C39" s="63"/>
      <c r="D39" s="64" t="s">
        <v>247</v>
      </c>
      <c r="E39" s="90" t="s">
        <v>12</v>
      </c>
      <c r="F39" s="66">
        <v>1</v>
      </c>
      <c r="G39" s="67">
        <v>0.3</v>
      </c>
      <c r="H39" s="67"/>
      <c r="I39" s="67">
        <v>2.7</v>
      </c>
      <c r="J39" s="66">
        <v>1</v>
      </c>
      <c r="K39" s="68"/>
      <c r="L39" s="68">
        <f t="shared" si="1"/>
        <v>0.81</v>
      </c>
      <c r="M39" s="68"/>
      <c r="N39" s="68"/>
      <c r="O39" s="68"/>
      <c r="P39" s="68"/>
    </row>
    <row r="40" spans="1:16" s="150" customFormat="1" x14ac:dyDescent="0.2">
      <c r="A40" s="184"/>
      <c r="B40" s="149"/>
      <c r="C40" s="63"/>
      <c r="D40" s="64" t="s">
        <v>243</v>
      </c>
      <c r="E40" s="90" t="s">
        <v>12</v>
      </c>
      <c r="F40" s="66">
        <v>1</v>
      </c>
      <c r="G40" s="67">
        <v>0.3</v>
      </c>
      <c r="H40" s="67"/>
      <c r="I40" s="67">
        <v>2.5</v>
      </c>
      <c r="J40" s="66">
        <v>1</v>
      </c>
      <c r="K40" s="68"/>
      <c r="L40" s="68">
        <f t="shared" si="1"/>
        <v>0.75</v>
      </c>
      <c r="M40" s="68"/>
      <c r="N40" s="68"/>
      <c r="O40" s="68"/>
      <c r="P40" s="68"/>
    </row>
    <row r="41" spans="1:16" s="150" customFormat="1" x14ac:dyDescent="0.2">
      <c r="A41" s="184"/>
      <c r="B41" s="149"/>
      <c r="C41" s="63"/>
      <c r="D41" s="353" t="s">
        <v>141</v>
      </c>
      <c r="E41" s="90"/>
      <c r="F41" s="66"/>
      <c r="G41" s="67"/>
      <c r="H41" s="67"/>
      <c r="I41" s="67"/>
      <c r="J41" s="69"/>
      <c r="K41" s="68"/>
      <c r="L41" s="68"/>
      <c r="M41" s="68"/>
      <c r="N41" s="68"/>
      <c r="O41" s="68"/>
      <c r="P41" s="68"/>
    </row>
    <row r="42" spans="1:16" s="150" customFormat="1" x14ac:dyDescent="0.2">
      <c r="A42" s="184"/>
      <c r="B42" s="149"/>
      <c r="C42" s="63"/>
      <c r="D42" s="64" t="s">
        <v>245</v>
      </c>
      <c r="E42" s="90" t="s">
        <v>12</v>
      </c>
      <c r="F42" s="66">
        <v>1</v>
      </c>
      <c r="G42" s="67">
        <v>0.3</v>
      </c>
      <c r="H42" s="67"/>
      <c r="I42" s="67">
        <v>3.1</v>
      </c>
      <c r="J42" s="66">
        <v>1</v>
      </c>
      <c r="K42" s="68"/>
      <c r="L42" s="68">
        <f t="shared" ref="L42:L62" si="2">IF(F42="","",PRODUCT(F42:J42))</f>
        <v>0.92999999999999994</v>
      </c>
      <c r="M42" s="68"/>
      <c r="N42" s="68"/>
      <c r="O42" s="68"/>
      <c r="P42" s="68"/>
    </row>
    <row r="43" spans="1:16" s="150" customFormat="1" x14ac:dyDescent="0.2">
      <c r="A43" s="184"/>
      <c r="B43" s="149"/>
      <c r="C43" s="63"/>
      <c r="D43" s="64" t="s">
        <v>246</v>
      </c>
      <c r="E43" s="90" t="s">
        <v>12</v>
      </c>
      <c r="F43" s="66">
        <v>1</v>
      </c>
      <c r="G43" s="67">
        <v>0.3</v>
      </c>
      <c r="H43" s="67"/>
      <c r="I43" s="67">
        <v>3.1</v>
      </c>
      <c r="J43" s="66">
        <v>1</v>
      </c>
      <c r="K43" s="68"/>
      <c r="L43" s="68">
        <f t="shared" si="2"/>
        <v>0.92999999999999994</v>
      </c>
      <c r="M43" s="68"/>
      <c r="N43" s="68"/>
      <c r="O43" s="68"/>
      <c r="P43" s="68"/>
    </row>
    <row r="44" spans="1:16" s="150" customFormat="1" x14ac:dyDescent="0.2">
      <c r="A44" s="184"/>
      <c r="B44" s="149"/>
      <c r="C44" s="63"/>
      <c r="D44" s="64" t="s">
        <v>247</v>
      </c>
      <c r="E44" s="90" t="s">
        <v>12</v>
      </c>
      <c r="F44" s="66">
        <v>1</v>
      </c>
      <c r="G44" s="67">
        <v>0.3</v>
      </c>
      <c r="H44" s="67"/>
      <c r="I44" s="67">
        <v>3.1</v>
      </c>
      <c r="J44" s="66">
        <v>1</v>
      </c>
      <c r="K44" s="68"/>
      <c r="L44" s="68">
        <f t="shared" si="2"/>
        <v>0.92999999999999994</v>
      </c>
      <c r="M44" s="68"/>
      <c r="N44" s="68"/>
      <c r="O44" s="68"/>
      <c r="P44" s="68"/>
    </row>
    <row r="45" spans="1:16" s="150" customFormat="1" x14ac:dyDescent="0.2">
      <c r="A45" s="184"/>
      <c r="B45" s="149"/>
      <c r="C45" s="63"/>
      <c r="D45" s="64" t="s">
        <v>243</v>
      </c>
      <c r="E45" s="90" t="s">
        <v>12</v>
      </c>
      <c r="F45" s="66">
        <v>1</v>
      </c>
      <c r="G45" s="67">
        <v>0.3</v>
      </c>
      <c r="H45" s="67"/>
      <c r="I45" s="67">
        <v>3.1</v>
      </c>
      <c r="J45" s="66">
        <v>1</v>
      </c>
      <c r="K45" s="68"/>
      <c r="L45" s="68">
        <f t="shared" si="2"/>
        <v>0.92999999999999994</v>
      </c>
      <c r="M45" s="68"/>
      <c r="N45" s="68"/>
      <c r="O45" s="68"/>
      <c r="P45" s="68"/>
    </row>
    <row r="46" spans="1:16" s="150" customFormat="1" x14ac:dyDescent="0.2">
      <c r="A46" s="184"/>
      <c r="B46" s="149"/>
      <c r="C46" s="63"/>
      <c r="D46" s="64" t="s">
        <v>248</v>
      </c>
      <c r="E46" s="90" t="s">
        <v>12</v>
      </c>
      <c r="F46" s="66">
        <v>1</v>
      </c>
      <c r="G46" s="67">
        <v>0.3</v>
      </c>
      <c r="H46" s="67"/>
      <c r="I46" s="67">
        <v>3.1</v>
      </c>
      <c r="J46" s="66">
        <v>1</v>
      </c>
      <c r="K46" s="68"/>
      <c r="L46" s="68">
        <f t="shared" si="2"/>
        <v>0.92999999999999994</v>
      </c>
      <c r="M46" s="68"/>
      <c r="N46" s="68"/>
      <c r="O46" s="68"/>
      <c r="P46" s="68"/>
    </row>
    <row r="47" spans="1:16" s="150" customFormat="1" x14ac:dyDescent="0.2">
      <c r="A47" s="184"/>
      <c r="B47" s="149"/>
      <c r="C47" s="63"/>
      <c r="D47" s="64" t="s">
        <v>249</v>
      </c>
      <c r="E47" s="90" t="s">
        <v>12</v>
      </c>
      <c r="F47" s="66">
        <v>1</v>
      </c>
      <c r="G47" s="67">
        <v>0.3</v>
      </c>
      <c r="H47" s="67"/>
      <c r="I47" s="67">
        <v>3.1</v>
      </c>
      <c r="J47" s="66">
        <v>1</v>
      </c>
      <c r="K47" s="68"/>
      <c r="L47" s="68">
        <f t="shared" si="2"/>
        <v>0.92999999999999994</v>
      </c>
      <c r="M47" s="68"/>
      <c r="N47" s="68"/>
      <c r="O47" s="68"/>
      <c r="P47" s="68"/>
    </row>
    <row r="48" spans="1:16" s="150" customFormat="1" x14ac:dyDescent="0.2">
      <c r="A48" s="184"/>
      <c r="B48" s="149"/>
      <c r="C48" s="56"/>
      <c r="D48" s="64" t="s">
        <v>250</v>
      </c>
      <c r="E48" s="90" t="s">
        <v>12</v>
      </c>
      <c r="F48" s="66">
        <v>1</v>
      </c>
      <c r="G48" s="67">
        <v>0.3</v>
      </c>
      <c r="H48" s="67"/>
      <c r="I48" s="67">
        <v>3.1</v>
      </c>
      <c r="J48" s="66">
        <v>1</v>
      </c>
      <c r="K48" s="68"/>
      <c r="L48" s="68">
        <f t="shared" si="2"/>
        <v>0.92999999999999994</v>
      </c>
      <c r="M48" s="61"/>
      <c r="N48" s="61"/>
      <c r="O48" s="61"/>
      <c r="P48" s="61"/>
    </row>
    <row r="49" spans="1:16" s="150" customFormat="1" x14ac:dyDescent="0.2">
      <c r="A49" s="184"/>
      <c r="B49" s="149"/>
      <c r="C49" s="63"/>
      <c r="D49" s="64" t="s">
        <v>251</v>
      </c>
      <c r="E49" s="90" t="s">
        <v>12</v>
      </c>
      <c r="F49" s="66">
        <v>1</v>
      </c>
      <c r="G49" s="67">
        <v>0.3</v>
      </c>
      <c r="H49" s="67"/>
      <c r="I49" s="67">
        <v>3.1</v>
      </c>
      <c r="J49" s="66">
        <v>1</v>
      </c>
      <c r="K49" s="68"/>
      <c r="L49" s="68">
        <f t="shared" si="2"/>
        <v>0.92999999999999994</v>
      </c>
      <c r="M49" s="68"/>
      <c r="N49" s="68"/>
      <c r="O49" s="68"/>
      <c r="P49" s="68"/>
    </row>
    <row r="50" spans="1:16" s="150" customFormat="1" x14ac:dyDescent="0.2">
      <c r="A50" s="184"/>
      <c r="B50" s="149"/>
      <c r="C50" s="63"/>
      <c r="D50" s="64" t="s">
        <v>252</v>
      </c>
      <c r="E50" s="90" t="s">
        <v>12</v>
      </c>
      <c r="F50" s="66">
        <v>1</v>
      </c>
      <c r="G50" s="67">
        <v>0.3</v>
      </c>
      <c r="H50" s="67"/>
      <c r="I50" s="67">
        <v>3.1</v>
      </c>
      <c r="J50" s="66">
        <v>1</v>
      </c>
      <c r="K50" s="68"/>
      <c r="L50" s="68">
        <f t="shared" si="2"/>
        <v>0.92999999999999994</v>
      </c>
      <c r="M50" s="68"/>
      <c r="N50" s="68"/>
      <c r="O50" s="68"/>
      <c r="P50" s="68"/>
    </row>
    <row r="51" spans="1:16" s="150" customFormat="1" x14ac:dyDescent="0.2">
      <c r="A51" s="184"/>
      <c r="B51" s="149"/>
      <c r="C51" s="63"/>
      <c r="D51" s="64" t="s">
        <v>253</v>
      </c>
      <c r="E51" s="90" t="s">
        <v>12</v>
      </c>
      <c r="F51" s="66">
        <v>1</v>
      </c>
      <c r="G51" s="67">
        <v>0.3</v>
      </c>
      <c r="H51" s="67"/>
      <c r="I51" s="67">
        <v>3.1</v>
      </c>
      <c r="J51" s="66">
        <v>1</v>
      </c>
      <c r="K51" s="68"/>
      <c r="L51" s="68">
        <f t="shared" si="2"/>
        <v>0.92999999999999994</v>
      </c>
      <c r="M51" s="68"/>
      <c r="N51" s="68"/>
      <c r="O51" s="68"/>
      <c r="P51" s="68"/>
    </row>
    <row r="52" spans="1:16" s="150" customFormat="1" x14ac:dyDescent="0.2">
      <c r="A52" s="184"/>
      <c r="B52" s="149"/>
      <c r="C52" s="63"/>
      <c r="D52" s="64" t="s">
        <v>254</v>
      </c>
      <c r="E52" s="90" t="s">
        <v>12</v>
      </c>
      <c r="F52" s="66">
        <v>1</v>
      </c>
      <c r="G52" s="67">
        <v>0.3</v>
      </c>
      <c r="H52" s="67"/>
      <c r="I52" s="67">
        <v>3.1</v>
      </c>
      <c r="J52" s="66">
        <v>1</v>
      </c>
      <c r="K52" s="68"/>
      <c r="L52" s="68">
        <f t="shared" si="2"/>
        <v>0.92999999999999994</v>
      </c>
      <c r="M52" s="68"/>
      <c r="N52" s="68"/>
      <c r="O52" s="68"/>
      <c r="P52" s="68"/>
    </row>
    <row r="53" spans="1:16" s="150" customFormat="1" x14ac:dyDescent="0.2">
      <c r="A53" s="184"/>
      <c r="B53" s="149"/>
      <c r="C53" s="63"/>
      <c r="D53" s="64" t="s">
        <v>255</v>
      </c>
      <c r="E53" s="90" t="s">
        <v>12</v>
      </c>
      <c r="F53" s="66">
        <v>1</v>
      </c>
      <c r="G53" s="67">
        <v>0.3</v>
      </c>
      <c r="H53" s="67"/>
      <c r="I53" s="67">
        <v>3.1</v>
      </c>
      <c r="J53" s="66">
        <v>1</v>
      </c>
      <c r="K53" s="68"/>
      <c r="L53" s="68">
        <f t="shared" si="2"/>
        <v>0.92999999999999994</v>
      </c>
      <c r="M53" s="68"/>
      <c r="N53" s="68"/>
      <c r="O53" s="68"/>
      <c r="P53" s="68"/>
    </row>
    <row r="54" spans="1:16" s="150" customFormat="1" x14ac:dyDescent="0.2">
      <c r="A54" s="184"/>
      <c r="B54" s="149"/>
      <c r="C54" s="63"/>
      <c r="D54" s="64" t="s">
        <v>256</v>
      </c>
      <c r="E54" s="90" t="s">
        <v>12</v>
      </c>
      <c r="F54" s="66">
        <v>1</v>
      </c>
      <c r="G54" s="67">
        <v>0.3</v>
      </c>
      <c r="H54" s="67"/>
      <c r="I54" s="67">
        <v>3.1</v>
      </c>
      <c r="J54" s="66">
        <v>1</v>
      </c>
      <c r="K54" s="68"/>
      <c r="L54" s="68">
        <f t="shared" si="2"/>
        <v>0.92999999999999994</v>
      </c>
      <c r="M54" s="68"/>
      <c r="N54" s="68"/>
      <c r="O54" s="68"/>
      <c r="P54" s="68"/>
    </row>
    <row r="55" spans="1:16" s="150" customFormat="1" x14ac:dyDescent="0.2">
      <c r="A55" s="184"/>
      <c r="B55" s="149"/>
      <c r="C55" s="63"/>
      <c r="D55" s="64" t="s">
        <v>257</v>
      </c>
      <c r="E55" s="90" t="s">
        <v>12</v>
      </c>
      <c r="F55" s="66">
        <v>1</v>
      </c>
      <c r="G55" s="67">
        <v>0.3</v>
      </c>
      <c r="H55" s="67"/>
      <c r="I55" s="67">
        <v>3.1</v>
      </c>
      <c r="J55" s="66">
        <v>1</v>
      </c>
      <c r="K55" s="68"/>
      <c r="L55" s="68">
        <f t="shared" si="2"/>
        <v>0.92999999999999994</v>
      </c>
      <c r="M55" s="68"/>
      <c r="N55" s="68"/>
      <c r="O55" s="68"/>
      <c r="P55" s="68"/>
    </row>
    <row r="56" spans="1:16" s="150" customFormat="1" x14ac:dyDescent="0.2">
      <c r="A56" s="184"/>
      <c r="B56" s="149"/>
      <c r="C56" s="63"/>
      <c r="D56" s="64" t="s">
        <v>258</v>
      </c>
      <c r="E56" s="90" t="s">
        <v>12</v>
      </c>
      <c r="F56" s="66">
        <v>1</v>
      </c>
      <c r="G56" s="67">
        <v>0.3</v>
      </c>
      <c r="H56" s="67"/>
      <c r="I56" s="67">
        <v>3.1</v>
      </c>
      <c r="J56" s="66">
        <v>1</v>
      </c>
      <c r="K56" s="68"/>
      <c r="L56" s="68">
        <f t="shared" si="2"/>
        <v>0.92999999999999994</v>
      </c>
      <c r="M56" s="68"/>
      <c r="N56" s="68"/>
      <c r="O56" s="68"/>
      <c r="P56" s="68"/>
    </row>
    <row r="57" spans="1:16" s="150" customFormat="1" x14ac:dyDescent="0.2">
      <c r="A57" s="184"/>
      <c r="B57" s="149"/>
      <c r="C57" s="63"/>
      <c r="D57" s="64" t="s">
        <v>259</v>
      </c>
      <c r="E57" s="90" t="s">
        <v>12</v>
      </c>
      <c r="F57" s="66">
        <v>1</v>
      </c>
      <c r="G57" s="67">
        <v>0.3</v>
      </c>
      <c r="H57" s="67"/>
      <c r="I57" s="67">
        <v>3.1</v>
      </c>
      <c r="J57" s="66">
        <v>1</v>
      </c>
      <c r="K57" s="68"/>
      <c r="L57" s="68">
        <f t="shared" si="2"/>
        <v>0.92999999999999994</v>
      </c>
      <c r="M57" s="68"/>
      <c r="N57" s="68"/>
      <c r="O57" s="68"/>
      <c r="P57" s="68"/>
    </row>
    <row r="58" spans="1:16" s="150" customFormat="1" x14ac:dyDescent="0.2">
      <c r="A58" s="184"/>
      <c r="B58" s="149"/>
      <c r="C58" s="63"/>
      <c r="D58" s="64" t="s">
        <v>260</v>
      </c>
      <c r="E58" s="90" t="s">
        <v>12</v>
      </c>
      <c r="F58" s="66">
        <v>1</v>
      </c>
      <c r="G58" s="67">
        <v>0.3</v>
      </c>
      <c r="H58" s="67"/>
      <c r="I58" s="67">
        <v>3.1</v>
      </c>
      <c r="J58" s="66">
        <v>1</v>
      </c>
      <c r="K58" s="68"/>
      <c r="L58" s="68">
        <f t="shared" si="2"/>
        <v>0.92999999999999994</v>
      </c>
      <c r="M58" s="68"/>
      <c r="N58" s="68"/>
      <c r="O58" s="68"/>
      <c r="P58" s="68"/>
    </row>
    <row r="59" spans="1:16" s="150" customFormat="1" x14ac:dyDescent="0.2">
      <c r="A59" s="184"/>
      <c r="B59" s="149"/>
      <c r="C59" s="63"/>
      <c r="D59" s="64" t="s">
        <v>261</v>
      </c>
      <c r="E59" s="90" t="s">
        <v>12</v>
      </c>
      <c r="F59" s="66">
        <v>1</v>
      </c>
      <c r="G59" s="67">
        <v>0.3</v>
      </c>
      <c r="H59" s="67"/>
      <c r="I59" s="67">
        <v>3.1</v>
      </c>
      <c r="J59" s="66">
        <v>1</v>
      </c>
      <c r="K59" s="68"/>
      <c r="L59" s="68">
        <f t="shared" si="2"/>
        <v>0.92999999999999994</v>
      </c>
      <c r="M59" s="68"/>
      <c r="N59" s="68"/>
      <c r="O59" s="68"/>
      <c r="P59" s="68"/>
    </row>
    <row r="60" spans="1:16" s="150" customFormat="1" x14ac:dyDescent="0.2">
      <c r="A60" s="184"/>
      <c r="B60" s="149"/>
      <c r="C60" s="63"/>
      <c r="D60" s="64" t="s">
        <v>262</v>
      </c>
      <c r="E60" s="90" t="s">
        <v>12</v>
      </c>
      <c r="F60" s="66">
        <v>1</v>
      </c>
      <c r="G60" s="67">
        <v>0.3</v>
      </c>
      <c r="H60" s="67"/>
      <c r="I60" s="67">
        <v>3.1</v>
      </c>
      <c r="J60" s="66">
        <v>1</v>
      </c>
      <c r="K60" s="68"/>
      <c r="L60" s="68">
        <f t="shared" si="2"/>
        <v>0.92999999999999994</v>
      </c>
      <c r="M60" s="68"/>
      <c r="N60" s="68"/>
      <c r="O60" s="68"/>
      <c r="P60" s="68"/>
    </row>
    <row r="61" spans="1:16" s="150" customFormat="1" x14ac:dyDescent="0.2">
      <c r="A61" s="184"/>
      <c r="B61" s="149"/>
      <c r="C61" s="63"/>
      <c r="D61" s="64" t="s">
        <v>263</v>
      </c>
      <c r="E61" s="90" t="s">
        <v>12</v>
      </c>
      <c r="F61" s="66">
        <v>1</v>
      </c>
      <c r="G61" s="67">
        <v>0.3</v>
      </c>
      <c r="H61" s="67"/>
      <c r="I61" s="67">
        <v>3.1</v>
      </c>
      <c r="J61" s="66">
        <v>1</v>
      </c>
      <c r="K61" s="68"/>
      <c r="L61" s="68">
        <f t="shared" si="2"/>
        <v>0.92999999999999994</v>
      </c>
      <c r="M61" s="68"/>
      <c r="N61" s="68"/>
      <c r="O61" s="68"/>
      <c r="P61" s="68"/>
    </row>
    <row r="62" spans="1:16" s="150" customFormat="1" x14ac:dyDescent="0.2">
      <c r="A62" s="184"/>
      <c r="B62" s="149"/>
      <c r="C62" s="63"/>
      <c r="D62" s="64" t="s">
        <v>264</v>
      </c>
      <c r="E62" s="90" t="s">
        <v>12</v>
      </c>
      <c r="F62" s="66">
        <v>1</v>
      </c>
      <c r="G62" s="67">
        <v>0.3</v>
      </c>
      <c r="H62" s="67"/>
      <c r="I62" s="67">
        <v>3.1</v>
      </c>
      <c r="J62" s="66">
        <v>1</v>
      </c>
      <c r="K62" s="68"/>
      <c r="L62" s="68">
        <f t="shared" si="2"/>
        <v>0.92999999999999994</v>
      </c>
      <c r="M62" s="68"/>
      <c r="N62" s="68"/>
      <c r="O62" s="68"/>
      <c r="P62" s="68"/>
    </row>
    <row r="63" spans="1:16" s="150" customFormat="1" x14ac:dyDescent="0.2">
      <c r="A63" s="184"/>
      <c r="B63" s="149"/>
      <c r="C63" s="63"/>
      <c r="D63" s="353" t="s">
        <v>265</v>
      </c>
      <c r="E63" s="90"/>
      <c r="F63" s="66"/>
      <c r="G63" s="67"/>
      <c r="H63" s="67"/>
      <c r="I63" s="67"/>
      <c r="J63" s="66"/>
      <c r="K63" s="68"/>
      <c r="L63" s="68"/>
      <c r="M63" s="68"/>
      <c r="N63" s="68"/>
      <c r="O63" s="68"/>
      <c r="P63" s="68"/>
    </row>
    <row r="64" spans="1:16" s="150" customFormat="1" x14ac:dyDescent="0.2">
      <c r="A64" s="184"/>
      <c r="B64" s="149"/>
      <c r="C64" s="63"/>
      <c r="D64" s="64" t="s">
        <v>266</v>
      </c>
      <c r="E64" s="90" t="s">
        <v>12</v>
      </c>
      <c r="F64" s="66">
        <v>1</v>
      </c>
      <c r="G64" s="67">
        <v>0.3</v>
      </c>
      <c r="H64" s="67"/>
      <c r="I64" s="67">
        <v>3.1</v>
      </c>
      <c r="J64" s="66">
        <v>1</v>
      </c>
      <c r="K64" s="68"/>
      <c r="L64" s="68">
        <f t="shared" ref="L64:L67" si="3">IF(F64="","",PRODUCT(F64:J64))</f>
        <v>0.92999999999999994</v>
      </c>
      <c r="M64" s="68"/>
      <c r="N64" s="68"/>
      <c r="O64" s="68"/>
      <c r="P64" s="68"/>
    </row>
    <row r="65" spans="1:16" s="150" customFormat="1" x14ac:dyDescent="0.2">
      <c r="A65" s="184"/>
      <c r="B65" s="149"/>
      <c r="C65" s="63"/>
      <c r="D65" s="64" t="s">
        <v>267</v>
      </c>
      <c r="E65" s="90" t="s">
        <v>12</v>
      </c>
      <c r="F65" s="66">
        <v>1</v>
      </c>
      <c r="G65" s="67">
        <v>0.3</v>
      </c>
      <c r="H65" s="67"/>
      <c r="I65" s="67">
        <v>3.1</v>
      </c>
      <c r="J65" s="66">
        <v>1</v>
      </c>
      <c r="K65" s="68"/>
      <c r="L65" s="68">
        <f t="shared" si="3"/>
        <v>0.92999999999999994</v>
      </c>
      <c r="M65" s="68"/>
      <c r="N65" s="68"/>
      <c r="O65" s="68"/>
      <c r="P65" s="68"/>
    </row>
    <row r="66" spans="1:16" s="150" customFormat="1" x14ac:dyDescent="0.2">
      <c r="A66" s="184"/>
      <c r="B66" s="149"/>
      <c r="C66" s="63"/>
      <c r="D66" s="64" t="s">
        <v>244</v>
      </c>
      <c r="E66" s="90" t="s">
        <v>12</v>
      </c>
      <c r="F66" s="66">
        <v>1</v>
      </c>
      <c r="G66" s="67">
        <v>0.3</v>
      </c>
      <c r="H66" s="67"/>
      <c r="I66" s="67">
        <v>3.1</v>
      </c>
      <c r="J66" s="66">
        <v>1</v>
      </c>
      <c r="K66" s="68"/>
      <c r="L66" s="68">
        <f t="shared" si="3"/>
        <v>0.92999999999999994</v>
      </c>
      <c r="M66" s="68"/>
      <c r="N66" s="68"/>
      <c r="O66" s="68"/>
      <c r="P66" s="68"/>
    </row>
    <row r="67" spans="1:16" s="150" customFormat="1" x14ac:dyDescent="0.2">
      <c r="A67" s="184"/>
      <c r="B67" s="149"/>
      <c r="C67" s="63"/>
      <c r="D67" s="64" t="s">
        <v>245</v>
      </c>
      <c r="E67" s="90" t="s">
        <v>12</v>
      </c>
      <c r="F67" s="66">
        <v>1</v>
      </c>
      <c r="G67" s="67">
        <v>0.3</v>
      </c>
      <c r="H67" s="67"/>
      <c r="I67" s="67">
        <v>3.1</v>
      </c>
      <c r="J67" s="66">
        <v>1</v>
      </c>
      <c r="K67" s="68"/>
      <c r="L67" s="68">
        <f t="shared" si="3"/>
        <v>0.92999999999999994</v>
      </c>
      <c r="M67" s="68"/>
      <c r="N67" s="68"/>
      <c r="O67" s="68"/>
      <c r="P67" s="68"/>
    </row>
    <row r="68" spans="1:16" s="150" customFormat="1" x14ac:dyDescent="0.2">
      <c r="A68" s="184"/>
      <c r="B68" s="149"/>
      <c r="C68" s="63"/>
      <c r="D68" s="353" t="s">
        <v>142</v>
      </c>
      <c r="E68" s="90"/>
      <c r="F68" s="66"/>
      <c r="G68" s="67"/>
      <c r="H68" s="67"/>
      <c r="I68" s="67"/>
      <c r="J68" s="69"/>
      <c r="K68" s="68"/>
      <c r="L68" s="68"/>
      <c r="M68" s="68"/>
      <c r="N68" s="68"/>
      <c r="O68" s="68"/>
      <c r="P68" s="68"/>
    </row>
    <row r="69" spans="1:16" s="150" customFormat="1" x14ac:dyDescent="0.2">
      <c r="A69" s="184"/>
      <c r="B69" s="149"/>
      <c r="C69" s="63"/>
      <c r="D69" s="64" t="s">
        <v>245</v>
      </c>
      <c r="E69" s="90" t="s">
        <v>12</v>
      </c>
      <c r="F69" s="66">
        <v>1</v>
      </c>
      <c r="G69" s="67">
        <v>0.3</v>
      </c>
      <c r="H69" s="67"/>
      <c r="I69" s="67">
        <v>3.3</v>
      </c>
      <c r="J69" s="66">
        <v>1</v>
      </c>
      <c r="K69" s="68"/>
      <c r="L69" s="68">
        <f t="shared" ref="L69:L89" si="4">IF(F69="","",PRODUCT(F69:J69))</f>
        <v>0.98999999999999988</v>
      </c>
      <c r="M69" s="68"/>
      <c r="N69" s="68"/>
      <c r="O69" s="68"/>
      <c r="P69" s="68"/>
    </row>
    <row r="70" spans="1:16" s="150" customFormat="1" x14ac:dyDescent="0.2">
      <c r="A70" s="184"/>
      <c r="B70" s="149"/>
      <c r="C70" s="63"/>
      <c r="D70" s="64" t="s">
        <v>246</v>
      </c>
      <c r="E70" s="90" t="s">
        <v>12</v>
      </c>
      <c r="F70" s="66">
        <v>1</v>
      </c>
      <c r="G70" s="67">
        <v>0.3</v>
      </c>
      <c r="H70" s="67"/>
      <c r="I70" s="67">
        <v>3.5</v>
      </c>
      <c r="J70" s="66">
        <v>1</v>
      </c>
      <c r="K70" s="68"/>
      <c r="L70" s="68">
        <f t="shared" si="4"/>
        <v>1.05</v>
      </c>
      <c r="M70" s="68"/>
      <c r="N70" s="68"/>
      <c r="O70" s="68"/>
      <c r="P70" s="68"/>
    </row>
    <row r="71" spans="1:16" s="150" customFormat="1" x14ac:dyDescent="0.2">
      <c r="A71" s="184"/>
      <c r="B71" s="149"/>
      <c r="C71" s="63"/>
      <c r="D71" s="64" t="s">
        <v>247</v>
      </c>
      <c r="E71" s="90" t="s">
        <v>12</v>
      </c>
      <c r="F71" s="66">
        <v>1</v>
      </c>
      <c r="G71" s="67">
        <v>0.3</v>
      </c>
      <c r="H71" s="67"/>
      <c r="I71" s="67">
        <v>3.7</v>
      </c>
      <c r="J71" s="66">
        <v>1</v>
      </c>
      <c r="K71" s="68"/>
      <c r="L71" s="68">
        <f t="shared" si="4"/>
        <v>1.1100000000000001</v>
      </c>
      <c r="M71" s="68"/>
      <c r="N71" s="68"/>
      <c r="O71" s="68"/>
      <c r="P71" s="68"/>
    </row>
    <row r="72" spans="1:16" s="150" customFormat="1" x14ac:dyDescent="0.2">
      <c r="A72" s="184"/>
      <c r="B72" s="149"/>
      <c r="C72" s="63"/>
      <c r="D72" s="64" t="s">
        <v>243</v>
      </c>
      <c r="E72" s="90" t="s">
        <v>12</v>
      </c>
      <c r="F72" s="66">
        <v>1</v>
      </c>
      <c r="G72" s="67">
        <v>0.3</v>
      </c>
      <c r="H72" s="67"/>
      <c r="I72" s="67">
        <v>3.9</v>
      </c>
      <c r="J72" s="66">
        <v>1</v>
      </c>
      <c r="K72" s="68"/>
      <c r="L72" s="68">
        <f t="shared" si="4"/>
        <v>1.17</v>
      </c>
      <c r="M72" s="68"/>
      <c r="N72" s="68"/>
      <c r="O72" s="68"/>
      <c r="P72" s="68"/>
    </row>
    <row r="73" spans="1:16" s="150" customFormat="1" x14ac:dyDescent="0.2">
      <c r="A73" s="184"/>
      <c r="B73" s="149"/>
      <c r="C73" s="63"/>
      <c r="D73" s="64" t="s">
        <v>248</v>
      </c>
      <c r="E73" s="90" t="s">
        <v>12</v>
      </c>
      <c r="F73" s="66">
        <v>1</v>
      </c>
      <c r="G73" s="67">
        <v>0.3</v>
      </c>
      <c r="H73" s="67"/>
      <c r="I73" s="67">
        <v>3.9</v>
      </c>
      <c r="J73" s="66">
        <v>1</v>
      </c>
      <c r="K73" s="68"/>
      <c r="L73" s="68">
        <f t="shared" si="4"/>
        <v>1.17</v>
      </c>
      <c r="M73" s="68"/>
      <c r="N73" s="68"/>
      <c r="O73" s="68"/>
      <c r="P73" s="68"/>
    </row>
    <row r="74" spans="1:16" s="150" customFormat="1" x14ac:dyDescent="0.2">
      <c r="A74" s="184"/>
      <c r="B74" s="149"/>
      <c r="C74" s="63"/>
      <c r="D74" s="64" t="s">
        <v>249</v>
      </c>
      <c r="E74" s="90" t="s">
        <v>12</v>
      </c>
      <c r="F74" s="66">
        <v>1</v>
      </c>
      <c r="G74" s="67">
        <v>0.3</v>
      </c>
      <c r="H74" s="67"/>
      <c r="I74" s="67">
        <v>3.9</v>
      </c>
      <c r="J74" s="66">
        <v>1</v>
      </c>
      <c r="K74" s="68"/>
      <c r="L74" s="68">
        <f t="shared" si="4"/>
        <v>1.17</v>
      </c>
      <c r="M74" s="68"/>
      <c r="N74" s="68"/>
      <c r="O74" s="68"/>
      <c r="P74" s="68"/>
    </row>
    <row r="75" spans="1:16" s="150" customFormat="1" x14ac:dyDescent="0.2">
      <c r="A75" s="184"/>
      <c r="B75" s="149"/>
      <c r="C75" s="63"/>
      <c r="D75" s="64" t="s">
        <v>250</v>
      </c>
      <c r="E75" s="90" t="s">
        <v>12</v>
      </c>
      <c r="F75" s="66">
        <v>1</v>
      </c>
      <c r="G75" s="67">
        <v>0.3</v>
      </c>
      <c r="H75" s="67"/>
      <c r="I75" s="67">
        <v>4.0199999999999996</v>
      </c>
      <c r="J75" s="66">
        <v>1</v>
      </c>
      <c r="K75" s="68"/>
      <c r="L75" s="68">
        <f t="shared" si="4"/>
        <v>1.2059999999999997</v>
      </c>
      <c r="M75" s="68"/>
      <c r="N75" s="68"/>
      <c r="O75" s="68"/>
      <c r="P75" s="68"/>
    </row>
    <row r="76" spans="1:16" s="150" customFormat="1" x14ac:dyDescent="0.2">
      <c r="A76" s="184"/>
      <c r="B76" s="149"/>
      <c r="C76" s="63"/>
      <c r="D76" s="64" t="s">
        <v>251</v>
      </c>
      <c r="E76" s="90" t="s">
        <v>12</v>
      </c>
      <c r="F76" s="66">
        <v>1</v>
      </c>
      <c r="G76" s="67">
        <v>0.3</v>
      </c>
      <c r="H76" s="67"/>
      <c r="I76" s="67">
        <v>4.2300000000000004</v>
      </c>
      <c r="J76" s="66">
        <v>1</v>
      </c>
      <c r="K76" s="68"/>
      <c r="L76" s="68">
        <f t="shared" si="4"/>
        <v>1.2690000000000001</v>
      </c>
      <c r="M76" s="68"/>
      <c r="N76" s="68"/>
      <c r="O76" s="68"/>
      <c r="P76" s="68"/>
    </row>
    <row r="77" spans="1:16" s="150" customFormat="1" x14ac:dyDescent="0.2">
      <c r="A77" s="184"/>
      <c r="B77" s="149"/>
      <c r="C77" s="63"/>
      <c r="D77" s="64" t="s">
        <v>252</v>
      </c>
      <c r="E77" s="90" t="s">
        <v>12</v>
      </c>
      <c r="F77" s="66">
        <v>1</v>
      </c>
      <c r="G77" s="67">
        <v>0.3</v>
      </c>
      <c r="H77" s="67"/>
      <c r="I77" s="67">
        <v>4.3600000000000003</v>
      </c>
      <c r="J77" s="66">
        <v>1</v>
      </c>
      <c r="K77" s="68"/>
      <c r="L77" s="68">
        <f t="shared" si="4"/>
        <v>1.3080000000000001</v>
      </c>
      <c r="M77" s="68"/>
      <c r="N77" s="68"/>
      <c r="O77" s="68"/>
      <c r="P77" s="68"/>
    </row>
    <row r="78" spans="1:16" s="150" customFormat="1" x14ac:dyDescent="0.2">
      <c r="A78" s="184"/>
      <c r="B78" s="149"/>
      <c r="C78" s="63"/>
      <c r="D78" s="64" t="s">
        <v>253</v>
      </c>
      <c r="E78" s="90" t="s">
        <v>12</v>
      </c>
      <c r="F78" s="66">
        <v>1</v>
      </c>
      <c r="G78" s="67">
        <v>0.3</v>
      </c>
      <c r="H78" s="67"/>
      <c r="I78" s="67">
        <v>4.53</v>
      </c>
      <c r="J78" s="66">
        <v>1</v>
      </c>
      <c r="K78" s="68"/>
      <c r="L78" s="68">
        <f t="shared" si="4"/>
        <v>1.359</v>
      </c>
      <c r="M78" s="68"/>
      <c r="N78" s="68"/>
      <c r="O78" s="68"/>
      <c r="P78" s="68"/>
    </row>
    <row r="79" spans="1:16" s="150" customFormat="1" x14ac:dyDescent="0.2">
      <c r="A79" s="184"/>
      <c r="B79" s="149"/>
      <c r="C79" s="63"/>
      <c r="D79" s="64" t="s">
        <v>254</v>
      </c>
      <c r="E79" s="90" t="s">
        <v>12</v>
      </c>
      <c r="F79" s="66">
        <v>1</v>
      </c>
      <c r="G79" s="67">
        <v>0.3</v>
      </c>
      <c r="H79" s="67"/>
      <c r="I79" s="67">
        <v>4.67</v>
      </c>
      <c r="J79" s="66">
        <v>1</v>
      </c>
      <c r="K79" s="68"/>
      <c r="L79" s="68">
        <f t="shared" si="4"/>
        <v>1.401</v>
      </c>
      <c r="M79" s="68"/>
      <c r="N79" s="68"/>
      <c r="O79" s="68"/>
      <c r="P79" s="68"/>
    </row>
    <row r="80" spans="1:16" s="150" customFormat="1" x14ac:dyDescent="0.2">
      <c r="A80" s="184"/>
      <c r="B80" s="149"/>
      <c r="C80" s="63"/>
      <c r="D80" s="64" t="s">
        <v>255</v>
      </c>
      <c r="E80" s="90" t="s">
        <v>12</v>
      </c>
      <c r="F80" s="66">
        <v>1</v>
      </c>
      <c r="G80" s="67">
        <v>0.3</v>
      </c>
      <c r="H80" s="67"/>
      <c r="I80" s="67">
        <v>4.8099999999999996</v>
      </c>
      <c r="J80" s="66">
        <v>1</v>
      </c>
      <c r="K80" s="68"/>
      <c r="L80" s="68">
        <f t="shared" si="4"/>
        <v>1.4429999999999998</v>
      </c>
      <c r="M80" s="68"/>
      <c r="N80" s="68"/>
      <c r="O80" s="68"/>
      <c r="P80" s="68"/>
    </row>
    <row r="81" spans="1:16" s="150" customFormat="1" x14ac:dyDescent="0.2">
      <c r="A81" s="184"/>
      <c r="B81" s="149"/>
      <c r="C81" s="63"/>
      <c r="D81" s="64" t="s">
        <v>256</v>
      </c>
      <c r="E81" s="90" t="s">
        <v>12</v>
      </c>
      <c r="F81" s="66">
        <v>1</v>
      </c>
      <c r="G81" s="67">
        <v>0.3</v>
      </c>
      <c r="H81" s="67"/>
      <c r="I81" s="67">
        <v>5.03</v>
      </c>
      <c r="J81" s="66">
        <v>1</v>
      </c>
      <c r="K81" s="68"/>
      <c r="L81" s="68">
        <f t="shared" si="4"/>
        <v>1.5090000000000001</v>
      </c>
      <c r="M81" s="68"/>
      <c r="N81" s="68"/>
      <c r="O81" s="68"/>
      <c r="P81" s="68"/>
    </row>
    <row r="82" spans="1:16" s="150" customFormat="1" x14ac:dyDescent="0.2">
      <c r="A82" s="184"/>
      <c r="B82" s="149"/>
      <c r="C82" s="63"/>
      <c r="D82" s="64" t="s">
        <v>257</v>
      </c>
      <c r="E82" s="90" t="s">
        <v>12</v>
      </c>
      <c r="F82" s="66">
        <v>1</v>
      </c>
      <c r="G82" s="67">
        <v>0.3</v>
      </c>
      <c r="H82" s="67"/>
      <c r="I82" s="67">
        <v>5.25</v>
      </c>
      <c r="J82" s="66">
        <v>1</v>
      </c>
      <c r="K82" s="68"/>
      <c r="L82" s="68">
        <f t="shared" si="4"/>
        <v>1.575</v>
      </c>
      <c r="M82" s="68"/>
      <c r="N82" s="68"/>
      <c r="O82" s="68"/>
      <c r="P82" s="68"/>
    </row>
    <row r="83" spans="1:16" s="150" customFormat="1" x14ac:dyDescent="0.2">
      <c r="A83" s="184"/>
      <c r="B83" s="149"/>
      <c r="C83" s="63"/>
      <c r="D83" s="64" t="s">
        <v>258</v>
      </c>
      <c r="E83" s="90" t="s">
        <v>12</v>
      </c>
      <c r="F83" s="66">
        <v>1</v>
      </c>
      <c r="G83" s="67">
        <v>0.3</v>
      </c>
      <c r="H83" s="67"/>
      <c r="I83" s="67">
        <v>5.42</v>
      </c>
      <c r="J83" s="66">
        <v>1</v>
      </c>
      <c r="K83" s="68"/>
      <c r="L83" s="68">
        <f t="shared" si="4"/>
        <v>1.6259999999999999</v>
      </c>
      <c r="M83" s="68"/>
      <c r="N83" s="68"/>
      <c r="O83" s="68"/>
      <c r="P83" s="68"/>
    </row>
    <row r="84" spans="1:16" s="150" customFormat="1" x14ac:dyDescent="0.2">
      <c r="A84" s="184"/>
      <c r="B84" s="149"/>
      <c r="C84" s="63"/>
      <c r="D84" s="64" t="s">
        <v>259</v>
      </c>
      <c r="E84" s="90" t="s">
        <v>12</v>
      </c>
      <c r="F84" s="66">
        <v>1</v>
      </c>
      <c r="G84" s="67">
        <v>0.3</v>
      </c>
      <c r="H84" s="67"/>
      <c r="I84" s="67">
        <v>5.64</v>
      </c>
      <c r="J84" s="66">
        <v>1</v>
      </c>
      <c r="K84" s="68"/>
      <c r="L84" s="68">
        <f t="shared" si="4"/>
        <v>1.6919999999999999</v>
      </c>
      <c r="M84" s="68"/>
      <c r="N84" s="68"/>
      <c r="O84" s="68"/>
      <c r="P84" s="68"/>
    </row>
    <row r="85" spans="1:16" s="150" customFormat="1" x14ac:dyDescent="0.2">
      <c r="A85" s="184"/>
      <c r="B85" s="149"/>
      <c r="C85" s="63"/>
      <c r="D85" s="64" t="s">
        <v>260</v>
      </c>
      <c r="E85" s="90" t="s">
        <v>12</v>
      </c>
      <c r="F85" s="66">
        <v>1</v>
      </c>
      <c r="G85" s="67">
        <v>0.3</v>
      </c>
      <c r="H85" s="67"/>
      <c r="I85" s="67">
        <v>5.85</v>
      </c>
      <c r="J85" s="66">
        <v>1</v>
      </c>
      <c r="K85" s="68"/>
      <c r="L85" s="68">
        <f t="shared" si="4"/>
        <v>1.7549999999999999</v>
      </c>
      <c r="M85" s="68"/>
      <c r="N85" s="68"/>
      <c r="O85" s="68"/>
      <c r="P85" s="68"/>
    </row>
    <row r="86" spans="1:16" s="150" customFormat="1" x14ac:dyDescent="0.2">
      <c r="A86" s="184"/>
      <c r="B86" s="149"/>
      <c r="C86" s="63"/>
      <c r="D86" s="64" t="s">
        <v>261</v>
      </c>
      <c r="E86" s="90" t="s">
        <v>12</v>
      </c>
      <c r="F86" s="66">
        <v>1</v>
      </c>
      <c r="G86" s="67">
        <v>0.3</v>
      </c>
      <c r="H86" s="67"/>
      <c r="I86" s="67">
        <v>5.99</v>
      </c>
      <c r="J86" s="66">
        <v>1</v>
      </c>
      <c r="K86" s="68"/>
      <c r="L86" s="68">
        <f t="shared" si="4"/>
        <v>1.7969999999999999</v>
      </c>
      <c r="M86" s="68"/>
      <c r="N86" s="68"/>
      <c r="O86" s="68"/>
      <c r="P86" s="68"/>
    </row>
    <row r="87" spans="1:16" s="150" customFormat="1" x14ac:dyDescent="0.2">
      <c r="A87" s="184"/>
      <c r="B87" s="149"/>
      <c r="C87" s="63"/>
      <c r="D87" s="64" t="s">
        <v>262</v>
      </c>
      <c r="E87" s="90" t="s">
        <v>12</v>
      </c>
      <c r="F87" s="66">
        <v>1</v>
      </c>
      <c r="G87" s="67">
        <v>0.3</v>
      </c>
      <c r="H87" s="67"/>
      <c r="I87" s="67">
        <v>6.13</v>
      </c>
      <c r="J87" s="66">
        <v>1</v>
      </c>
      <c r="K87" s="68"/>
      <c r="L87" s="68">
        <f t="shared" si="4"/>
        <v>1.839</v>
      </c>
      <c r="M87" s="68"/>
      <c r="N87" s="68"/>
      <c r="O87" s="68"/>
      <c r="P87" s="68"/>
    </row>
    <row r="88" spans="1:16" s="150" customFormat="1" x14ac:dyDescent="0.2">
      <c r="A88" s="184"/>
      <c r="B88" s="149"/>
      <c r="C88" s="63"/>
      <c r="D88" s="64" t="s">
        <v>263</v>
      </c>
      <c r="E88" s="90" t="s">
        <v>12</v>
      </c>
      <c r="F88" s="66">
        <v>1</v>
      </c>
      <c r="G88" s="67">
        <v>0.3</v>
      </c>
      <c r="H88" s="67"/>
      <c r="I88" s="67">
        <v>6.29</v>
      </c>
      <c r="J88" s="66">
        <v>1</v>
      </c>
      <c r="K88" s="68"/>
      <c r="L88" s="68">
        <f t="shared" si="4"/>
        <v>1.887</v>
      </c>
      <c r="M88" s="68"/>
      <c r="N88" s="68"/>
      <c r="O88" s="68"/>
      <c r="P88" s="68"/>
    </row>
    <row r="89" spans="1:16" s="150" customFormat="1" x14ac:dyDescent="0.2">
      <c r="A89" s="184"/>
      <c r="B89" s="149"/>
      <c r="C89" s="63"/>
      <c r="D89" s="64" t="s">
        <v>264</v>
      </c>
      <c r="E89" s="90" t="s">
        <v>12</v>
      </c>
      <c r="F89" s="66">
        <v>1</v>
      </c>
      <c r="G89" s="67">
        <v>0.3</v>
      </c>
      <c r="H89" s="67"/>
      <c r="I89" s="67">
        <v>6.42</v>
      </c>
      <c r="J89" s="66">
        <v>1</v>
      </c>
      <c r="K89" s="68"/>
      <c r="L89" s="68">
        <f t="shared" si="4"/>
        <v>1.9259999999999999</v>
      </c>
      <c r="M89" s="68"/>
      <c r="N89" s="68"/>
      <c r="O89" s="68"/>
      <c r="P89" s="68"/>
    </row>
    <row r="90" spans="1:16" s="150" customFormat="1" x14ac:dyDescent="0.2">
      <c r="A90" s="184"/>
      <c r="B90" s="149"/>
      <c r="C90" s="63"/>
      <c r="D90" s="353" t="s">
        <v>268</v>
      </c>
      <c r="E90" s="90"/>
      <c r="F90" s="66"/>
      <c r="G90" s="67"/>
      <c r="H90" s="67"/>
      <c r="I90" s="67"/>
      <c r="J90" s="66"/>
      <c r="K90" s="68"/>
      <c r="L90" s="68"/>
      <c r="M90" s="68"/>
      <c r="N90" s="68"/>
      <c r="O90" s="68"/>
      <c r="P90" s="68"/>
    </row>
    <row r="91" spans="1:16" s="150" customFormat="1" x14ac:dyDescent="0.2">
      <c r="A91" s="184"/>
      <c r="B91" s="149"/>
      <c r="C91" s="63"/>
      <c r="D91" s="64" t="s">
        <v>269</v>
      </c>
      <c r="E91" s="90" t="s">
        <v>12</v>
      </c>
      <c r="F91" s="66">
        <v>1</v>
      </c>
      <c r="G91" s="67">
        <v>0.3</v>
      </c>
      <c r="H91" s="67"/>
      <c r="I91" s="67">
        <v>3.1</v>
      </c>
      <c r="J91" s="66">
        <v>1</v>
      </c>
      <c r="K91" s="68"/>
      <c r="L91" s="68">
        <f t="shared" ref="L91:L93" si="5">IF(F91="","",PRODUCT(F91:J91))</f>
        <v>0.92999999999999994</v>
      </c>
      <c r="M91" s="68"/>
      <c r="N91" s="68"/>
      <c r="O91" s="68"/>
      <c r="P91" s="68"/>
    </row>
    <row r="92" spans="1:16" s="150" customFormat="1" x14ac:dyDescent="0.2">
      <c r="A92" s="184"/>
      <c r="B92" s="149"/>
      <c r="C92" s="63"/>
      <c r="D92" s="64" t="s">
        <v>267</v>
      </c>
      <c r="E92" s="90" t="s">
        <v>12</v>
      </c>
      <c r="F92" s="66">
        <v>1</v>
      </c>
      <c r="G92" s="67">
        <v>0.3</v>
      </c>
      <c r="H92" s="67"/>
      <c r="I92" s="67">
        <v>3.1</v>
      </c>
      <c r="J92" s="66">
        <v>1</v>
      </c>
      <c r="K92" s="68"/>
      <c r="L92" s="68">
        <f t="shared" si="5"/>
        <v>0.92999999999999994</v>
      </c>
      <c r="M92" s="68"/>
      <c r="N92" s="68"/>
      <c r="O92" s="68"/>
      <c r="P92" s="68"/>
    </row>
    <row r="93" spans="1:16" s="150" customFormat="1" x14ac:dyDescent="0.2">
      <c r="A93" s="184"/>
      <c r="B93" s="149"/>
      <c r="C93" s="63"/>
      <c r="D93" s="64" t="s">
        <v>244</v>
      </c>
      <c r="E93" s="90" t="s">
        <v>12</v>
      </c>
      <c r="F93" s="66">
        <v>1</v>
      </c>
      <c r="G93" s="67">
        <v>0.3</v>
      </c>
      <c r="H93" s="67"/>
      <c r="I93" s="67">
        <v>3.1</v>
      </c>
      <c r="J93" s="66">
        <v>1</v>
      </c>
      <c r="K93" s="68"/>
      <c r="L93" s="68">
        <f t="shared" si="5"/>
        <v>0.92999999999999994</v>
      </c>
      <c r="M93" s="68"/>
      <c r="N93" s="68"/>
      <c r="O93" s="68"/>
      <c r="P93" s="68"/>
    </row>
    <row r="94" spans="1:16" x14ac:dyDescent="0.3">
      <c r="C94" s="96"/>
      <c r="D94" s="354"/>
      <c r="E94" s="355"/>
      <c r="F94" s="356"/>
      <c r="G94" s="357"/>
      <c r="H94" s="358"/>
      <c r="I94" s="359"/>
      <c r="J94" s="356"/>
      <c r="K94" s="359"/>
      <c r="L94" s="359"/>
      <c r="M94" s="360"/>
      <c r="N94" s="360"/>
      <c r="O94" s="360"/>
      <c r="P94" s="360"/>
    </row>
    <row r="95" spans="1:16" x14ac:dyDescent="0.3">
      <c r="C95" s="97" t="s">
        <v>397</v>
      </c>
      <c r="D95" s="98" t="s">
        <v>20</v>
      </c>
      <c r="E95" s="88"/>
      <c r="F95" s="66"/>
      <c r="G95" s="67"/>
      <c r="H95" s="67"/>
      <c r="I95" s="67"/>
      <c r="J95" s="66"/>
      <c r="K95" s="67"/>
      <c r="L95" s="67"/>
      <c r="M95" s="68"/>
      <c r="N95" s="68"/>
      <c r="O95" s="68"/>
      <c r="P95" s="68"/>
    </row>
    <row r="96" spans="1:16" x14ac:dyDescent="0.3">
      <c r="C96" s="361" t="s">
        <v>401</v>
      </c>
      <c r="D96" s="362" t="s">
        <v>21</v>
      </c>
      <c r="E96" s="88"/>
      <c r="F96" s="66"/>
      <c r="G96" s="67"/>
      <c r="H96" s="67"/>
      <c r="I96" s="67"/>
      <c r="J96" s="66"/>
      <c r="K96" s="67"/>
      <c r="L96" s="67"/>
      <c r="M96" s="68"/>
      <c r="N96" s="68"/>
      <c r="O96" s="68"/>
      <c r="P96" s="68"/>
    </row>
    <row r="97" spans="3:16" x14ac:dyDescent="0.3">
      <c r="C97" s="48" t="s">
        <v>402</v>
      </c>
      <c r="D97" s="77" t="s">
        <v>446</v>
      </c>
      <c r="E97" s="88" t="s">
        <v>12</v>
      </c>
      <c r="F97" s="66"/>
      <c r="G97" s="67"/>
      <c r="H97" s="67"/>
      <c r="I97" s="67"/>
      <c r="J97" s="66"/>
      <c r="K97" s="67"/>
      <c r="L97" s="67"/>
      <c r="M97" s="68"/>
      <c r="N97" s="68"/>
      <c r="O97" s="68"/>
      <c r="P97" s="55">
        <f>SUM(L97:L111)</f>
        <v>212.67000000000002</v>
      </c>
    </row>
    <row r="98" spans="3:16" x14ac:dyDescent="0.3">
      <c r="C98" s="56"/>
      <c r="D98" s="79" t="s">
        <v>111</v>
      </c>
      <c r="E98" s="89"/>
      <c r="F98" s="59"/>
      <c r="G98" s="60"/>
      <c r="H98" s="60"/>
      <c r="I98" s="60"/>
      <c r="J98" s="62"/>
      <c r="K98" s="61"/>
      <c r="L98" s="61"/>
      <c r="M98" s="61"/>
      <c r="N98" s="61"/>
      <c r="O98" s="61"/>
      <c r="P98" s="61"/>
    </row>
    <row r="99" spans="3:16" x14ac:dyDescent="0.3">
      <c r="C99" s="63"/>
      <c r="D99" s="80" t="s">
        <v>270</v>
      </c>
      <c r="E99" s="90" t="s">
        <v>12</v>
      </c>
      <c r="F99" s="66">
        <v>1</v>
      </c>
      <c r="G99" s="67" t="s">
        <v>63</v>
      </c>
      <c r="H99" s="67">
        <f>39.06-0.03*16</f>
        <v>38.580000000000005</v>
      </c>
      <c r="I99" s="67"/>
      <c r="J99" s="69">
        <v>1</v>
      </c>
      <c r="K99" s="68"/>
      <c r="L99" s="68">
        <f>IF(F99="","",PRODUCT(F99:J99))</f>
        <v>38.580000000000005</v>
      </c>
      <c r="M99" s="68"/>
      <c r="N99" s="68"/>
      <c r="O99" s="68"/>
      <c r="P99" s="68"/>
    </row>
    <row r="100" spans="3:16" x14ac:dyDescent="0.3">
      <c r="C100" s="63"/>
      <c r="D100" s="80" t="s">
        <v>146</v>
      </c>
      <c r="E100" s="90" t="s">
        <v>12</v>
      </c>
      <c r="F100" s="66">
        <v>1</v>
      </c>
      <c r="G100" s="67" t="s">
        <v>63</v>
      </c>
      <c r="H100" s="67">
        <f>2.9-0.03</f>
        <v>2.87</v>
      </c>
      <c r="I100" s="67"/>
      <c r="J100" s="69">
        <v>1</v>
      </c>
      <c r="K100" s="68"/>
      <c r="L100" s="68">
        <f t="shared" ref="L100:L101" si="6">IF(F100="","",PRODUCT(F100:J100))</f>
        <v>2.87</v>
      </c>
      <c r="M100" s="68"/>
      <c r="N100" s="68"/>
      <c r="O100" s="68"/>
      <c r="P100" s="68"/>
    </row>
    <row r="101" spans="3:16" x14ac:dyDescent="0.3">
      <c r="C101" s="63"/>
      <c r="D101" s="80" t="s">
        <v>271</v>
      </c>
      <c r="E101" s="90" t="s">
        <v>12</v>
      </c>
      <c r="F101" s="66">
        <v>1</v>
      </c>
      <c r="G101" s="67" t="s">
        <v>63</v>
      </c>
      <c r="H101" s="67">
        <f>10.4-0.03*3</f>
        <v>10.31</v>
      </c>
      <c r="I101" s="67"/>
      <c r="J101" s="69">
        <v>1</v>
      </c>
      <c r="K101" s="68"/>
      <c r="L101" s="68">
        <f t="shared" si="6"/>
        <v>10.31</v>
      </c>
      <c r="M101" s="68"/>
      <c r="N101" s="68"/>
      <c r="O101" s="68"/>
      <c r="P101" s="68"/>
    </row>
    <row r="102" spans="3:16" x14ac:dyDescent="0.3">
      <c r="C102" s="56"/>
      <c r="D102" s="79" t="s">
        <v>112</v>
      </c>
      <c r="E102" s="89"/>
      <c r="F102" s="59"/>
      <c r="G102" s="60"/>
      <c r="H102" s="60"/>
      <c r="I102" s="60"/>
      <c r="J102" s="62"/>
      <c r="K102" s="61"/>
      <c r="L102" s="61"/>
      <c r="M102" s="61"/>
      <c r="N102" s="61"/>
      <c r="O102" s="61"/>
      <c r="P102" s="61"/>
    </row>
    <row r="103" spans="3:16" x14ac:dyDescent="0.3">
      <c r="C103" s="63"/>
      <c r="D103" s="80" t="s">
        <v>270</v>
      </c>
      <c r="E103" s="90" t="s">
        <v>12</v>
      </c>
      <c r="F103" s="66">
        <v>1</v>
      </c>
      <c r="G103" s="67" t="s">
        <v>63</v>
      </c>
      <c r="H103" s="67">
        <f>39.06-0.03*16</f>
        <v>38.580000000000005</v>
      </c>
      <c r="I103" s="67"/>
      <c r="J103" s="69">
        <v>1</v>
      </c>
      <c r="K103" s="68"/>
      <c r="L103" s="68">
        <f>IF(F103="","",PRODUCT(F103:J103))</f>
        <v>38.580000000000005</v>
      </c>
      <c r="M103" s="68"/>
      <c r="N103" s="68"/>
      <c r="O103" s="68"/>
      <c r="P103" s="68"/>
    </row>
    <row r="104" spans="3:16" x14ac:dyDescent="0.3">
      <c r="C104" s="63"/>
      <c r="D104" s="80" t="s">
        <v>146</v>
      </c>
      <c r="E104" s="90" t="s">
        <v>12</v>
      </c>
      <c r="F104" s="66">
        <v>1</v>
      </c>
      <c r="G104" s="67" t="s">
        <v>63</v>
      </c>
      <c r="H104" s="67">
        <f>2.9-0.03</f>
        <v>2.87</v>
      </c>
      <c r="I104" s="67"/>
      <c r="J104" s="69">
        <v>1</v>
      </c>
      <c r="K104" s="68"/>
      <c r="L104" s="68">
        <f t="shared" ref="L104:L105" si="7">IF(F104="","",PRODUCT(F104:J104))</f>
        <v>2.87</v>
      </c>
      <c r="M104" s="68"/>
      <c r="N104" s="68"/>
      <c r="O104" s="68"/>
      <c r="P104" s="68"/>
    </row>
    <row r="105" spans="3:16" x14ac:dyDescent="0.3">
      <c r="C105" s="63"/>
      <c r="D105" s="80" t="s">
        <v>271</v>
      </c>
      <c r="E105" s="90" t="s">
        <v>12</v>
      </c>
      <c r="F105" s="66">
        <v>1</v>
      </c>
      <c r="G105" s="67" t="s">
        <v>63</v>
      </c>
      <c r="H105" s="67">
        <f>14.7-0.03*5</f>
        <v>14.549999999999999</v>
      </c>
      <c r="I105" s="67"/>
      <c r="J105" s="69">
        <v>1</v>
      </c>
      <c r="K105" s="68"/>
      <c r="L105" s="68">
        <f t="shared" si="7"/>
        <v>14.549999999999999</v>
      </c>
      <c r="M105" s="68"/>
      <c r="N105" s="68"/>
      <c r="O105" s="68"/>
      <c r="P105" s="68"/>
    </row>
    <row r="106" spans="3:16" x14ac:dyDescent="0.3">
      <c r="C106" s="63"/>
      <c r="D106" s="80" t="s">
        <v>272</v>
      </c>
      <c r="E106" s="90" t="s">
        <v>12</v>
      </c>
      <c r="F106" s="66">
        <v>1</v>
      </c>
      <c r="G106" s="67" t="s">
        <v>63</v>
      </c>
      <c r="H106" s="111">
        <f>10.07-0.03*4</f>
        <v>9.9500000000000011</v>
      </c>
      <c r="I106" s="67"/>
      <c r="J106" s="69">
        <v>1</v>
      </c>
      <c r="K106" s="68"/>
      <c r="L106" s="68">
        <f>IF(F106="","",PRODUCT(F106:J106))</f>
        <v>9.9500000000000011</v>
      </c>
      <c r="M106" s="68"/>
      <c r="N106" s="68"/>
      <c r="O106" s="68"/>
      <c r="P106" s="68"/>
    </row>
    <row r="107" spans="3:16" x14ac:dyDescent="0.3">
      <c r="C107" s="56"/>
      <c r="D107" s="79" t="s">
        <v>107</v>
      </c>
      <c r="E107" s="89"/>
      <c r="F107" s="59"/>
      <c r="G107" s="60"/>
      <c r="H107" s="60"/>
      <c r="I107" s="60"/>
      <c r="J107" s="62"/>
      <c r="K107" s="61"/>
      <c r="L107" s="61"/>
      <c r="M107" s="61"/>
      <c r="N107" s="61"/>
      <c r="O107" s="61"/>
      <c r="P107" s="61"/>
    </row>
    <row r="108" spans="3:16" x14ac:dyDescent="0.3">
      <c r="C108" s="63"/>
      <c r="D108" s="80" t="s">
        <v>272</v>
      </c>
      <c r="E108" s="90" t="s">
        <v>12</v>
      </c>
      <c r="F108" s="66">
        <v>1</v>
      </c>
      <c r="G108" s="67" t="s">
        <v>63</v>
      </c>
      <c r="H108" s="111">
        <f>5.78-0.03*2</f>
        <v>5.7200000000000006</v>
      </c>
      <c r="I108" s="67"/>
      <c r="J108" s="69">
        <v>1</v>
      </c>
      <c r="K108" s="68"/>
      <c r="L108" s="68">
        <f>IF(F108="","",PRODUCT(F108:J108))</f>
        <v>5.7200000000000006</v>
      </c>
      <c r="M108" s="68"/>
      <c r="N108" s="68"/>
      <c r="O108" s="68"/>
      <c r="P108" s="68"/>
    </row>
    <row r="109" spans="3:16" x14ac:dyDescent="0.3">
      <c r="C109" s="56"/>
      <c r="D109" s="79" t="s">
        <v>113</v>
      </c>
      <c r="E109" s="89"/>
      <c r="F109" s="59"/>
      <c r="G109" s="60"/>
      <c r="H109" s="60"/>
      <c r="I109" s="60"/>
      <c r="J109" s="62"/>
      <c r="K109" s="61"/>
      <c r="L109" s="61"/>
      <c r="M109" s="61"/>
      <c r="N109" s="61"/>
      <c r="O109" s="61"/>
      <c r="P109" s="61"/>
    </row>
    <row r="110" spans="3:16" x14ac:dyDescent="0.3">
      <c r="C110" s="63"/>
      <c r="D110" s="164" t="s">
        <v>273</v>
      </c>
      <c r="E110" s="90" t="s">
        <v>12</v>
      </c>
      <c r="F110" s="66">
        <v>1</v>
      </c>
      <c r="G110" s="67" t="s">
        <v>63</v>
      </c>
      <c r="H110" s="67">
        <f>128.82-39.58</f>
        <v>89.24</v>
      </c>
      <c r="I110" s="67"/>
      <c r="J110" s="69">
        <v>1</v>
      </c>
      <c r="K110" s="68"/>
      <c r="L110" s="68">
        <f t="shared" ref="L110" si="8">IF(F110="","",PRODUCT(F110:J110))</f>
        <v>89.24</v>
      </c>
      <c r="M110" s="68"/>
      <c r="N110" s="68"/>
      <c r="O110" s="68"/>
      <c r="P110" s="68"/>
    </row>
    <row r="111" spans="3:16" x14ac:dyDescent="0.3">
      <c r="C111" s="286"/>
      <c r="D111" s="77"/>
      <c r="E111" s="189"/>
      <c r="F111" s="166"/>
      <c r="G111" s="111"/>
      <c r="H111" s="111"/>
      <c r="I111" s="111"/>
      <c r="J111" s="166"/>
      <c r="K111" s="111"/>
      <c r="L111" s="111"/>
      <c r="M111" s="68"/>
      <c r="N111" s="68"/>
      <c r="O111" s="68"/>
      <c r="P111" s="68"/>
    </row>
    <row r="112" spans="3:16" x14ac:dyDescent="0.3">
      <c r="C112" s="363" t="s">
        <v>410</v>
      </c>
      <c r="D112" s="362" t="s">
        <v>144</v>
      </c>
      <c r="E112" s="88"/>
      <c r="F112" s="51"/>
      <c r="G112" s="52"/>
      <c r="H112" s="52"/>
      <c r="I112" s="52"/>
      <c r="J112" s="54"/>
      <c r="K112" s="55"/>
      <c r="L112" s="55"/>
      <c r="M112" s="55"/>
      <c r="N112" s="55"/>
      <c r="O112" s="55"/>
      <c r="P112" s="55"/>
    </row>
    <row r="113" spans="1:17" ht="20.399999999999999" x14ac:dyDescent="0.3">
      <c r="C113" s="48" t="s">
        <v>411</v>
      </c>
      <c r="D113" s="77" t="s">
        <v>151</v>
      </c>
      <c r="E113" s="189" t="s">
        <v>13</v>
      </c>
      <c r="F113" s="66"/>
      <c r="G113" s="67"/>
      <c r="H113" s="67"/>
      <c r="I113" s="68"/>
      <c r="J113" s="69"/>
      <c r="K113" s="68"/>
      <c r="L113" s="68"/>
      <c r="M113" s="61"/>
      <c r="N113" s="61"/>
      <c r="O113" s="61"/>
      <c r="P113" s="122">
        <f>SUM(K113:K117)</f>
        <v>42.09</v>
      </c>
    </row>
    <row r="114" spans="1:17" x14ac:dyDescent="0.3">
      <c r="C114" s="56"/>
      <c r="D114" s="57" t="s">
        <v>113</v>
      </c>
      <c r="E114" s="58"/>
      <c r="F114" s="59"/>
      <c r="G114" s="60"/>
      <c r="H114" s="60"/>
      <c r="I114" s="61"/>
      <c r="J114" s="62"/>
      <c r="K114" s="61"/>
      <c r="L114" s="61"/>
      <c r="M114" s="61"/>
      <c r="N114" s="61"/>
      <c r="O114" s="61"/>
      <c r="P114" s="61"/>
    </row>
    <row r="115" spans="1:17" x14ac:dyDescent="0.3">
      <c r="C115" s="63"/>
      <c r="D115" s="80" t="s">
        <v>368</v>
      </c>
      <c r="E115" s="65" t="s">
        <v>13</v>
      </c>
      <c r="F115" s="69">
        <v>1</v>
      </c>
      <c r="G115" s="67" t="s">
        <v>114</v>
      </c>
      <c r="H115" s="67">
        <v>22.3</v>
      </c>
      <c r="I115" s="67"/>
      <c r="J115" s="69">
        <v>1</v>
      </c>
      <c r="K115" s="68">
        <f>PRODUCT(F115:J115)</f>
        <v>22.3</v>
      </c>
      <c r="L115" s="68"/>
      <c r="M115" s="68"/>
      <c r="N115" s="68"/>
      <c r="O115" s="68"/>
      <c r="P115" s="68"/>
    </row>
    <row r="116" spans="1:17" x14ac:dyDescent="0.3">
      <c r="C116" s="63"/>
      <c r="D116" s="80" t="s">
        <v>369</v>
      </c>
      <c r="E116" s="65" t="s">
        <v>13</v>
      </c>
      <c r="F116" s="69">
        <v>1</v>
      </c>
      <c r="G116" s="67" t="s">
        <v>114</v>
      </c>
      <c r="H116" s="67">
        <v>19.79</v>
      </c>
      <c r="I116" s="67"/>
      <c r="J116" s="69">
        <v>1</v>
      </c>
      <c r="K116" s="68">
        <f t="shared" ref="K116" si="9">PRODUCT(F116:J116)</f>
        <v>19.79</v>
      </c>
      <c r="L116" s="68"/>
      <c r="M116" s="68"/>
      <c r="N116" s="68"/>
      <c r="O116" s="68"/>
      <c r="P116" s="68"/>
    </row>
    <row r="117" spans="1:17" x14ac:dyDescent="0.3">
      <c r="C117" s="97" t="s">
        <v>416</v>
      </c>
      <c r="D117" s="97" t="s">
        <v>154</v>
      </c>
      <c r="E117" s="101"/>
      <c r="F117" s="51"/>
      <c r="G117" s="52"/>
      <c r="H117" s="52"/>
      <c r="I117" s="109"/>
      <c r="J117" s="99"/>
      <c r="K117" s="100"/>
      <c r="L117" s="100"/>
      <c r="M117" s="100"/>
      <c r="N117" s="100"/>
      <c r="O117" s="100"/>
      <c r="P117" s="100"/>
    </row>
    <row r="118" spans="1:17" ht="20.399999999999999" x14ac:dyDescent="0.3">
      <c r="C118" s="48" t="s">
        <v>417</v>
      </c>
      <c r="D118" s="49" t="s">
        <v>393</v>
      </c>
      <c r="E118" s="50" t="s">
        <v>8</v>
      </c>
      <c r="F118" s="51"/>
      <c r="G118" s="52"/>
      <c r="H118" s="52"/>
      <c r="I118" s="53"/>
      <c r="J118" s="54"/>
      <c r="K118" s="55"/>
      <c r="L118" s="55"/>
      <c r="M118" s="55"/>
      <c r="N118" s="55"/>
      <c r="O118" s="55"/>
      <c r="P118" s="55">
        <v>1</v>
      </c>
    </row>
    <row r="119" spans="1:17" x14ac:dyDescent="0.3">
      <c r="C119" s="63"/>
      <c r="D119" s="80" t="s">
        <v>394</v>
      </c>
      <c r="E119" s="65" t="s">
        <v>8</v>
      </c>
      <c r="F119" s="69"/>
      <c r="G119" s="67"/>
      <c r="H119" s="67"/>
      <c r="I119" s="67"/>
      <c r="J119" s="69"/>
      <c r="K119" s="68"/>
      <c r="L119" s="181"/>
      <c r="M119" s="68"/>
      <c r="N119" s="68"/>
      <c r="O119" s="68"/>
      <c r="P119" s="68"/>
      <c r="Q119" s="150"/>
    </row>
    <row r="120" spans="1:17" x14ac:dyDescent="0.3">
      <c r="C120" s="63"/>
      <c r="D120" s="187"/>
      <c r="E120" s="65"/>
      <c r="F120" s="69"/>
      <c r="G120" s="67"/>
      <c r="H120" s="67"/>
      <c r="I120" s="67"/>
      <c r="J120" s="69"/>
      <c r="K120" s="68"/>
      <c r="L120" s="181"/>
      <c r="M120" s="68"/>
      <c r="N120" s="68"/>
      <c r="O120" s="68"/>
      <c r="P120" s="68"/>
      <c r="Q120" s="150"/>
    </row>
    <row r="121" spans="1:17" x14ac:dyDescent="0.3">
      <c r="C121" s="63"/>
      <c r="D121" s="64"/>
      <c r="E121" s="65"/>
      <c r="F121" s="66"/>
      <c r="G121" s="67"/>
      <c r="H121" s="67"/>
      <c r="I121" s="68"/>
      <c r="J121" s="69"/>
      <c r="K121" s="68"/>
      <c r="L121" s="68"/>
      <c r="M121" s="68"/>
      <c r="N121" s="68"/>
      <c r="O121" s="68"/>
      <c r="P121" s="68"/>
    </row>
    <row r="122" spans="1:17" x14ac:dyDescent="0.3">
      <c r="C122" s="97" t="s">
        <v>426</v>
      </c>
      <c r="D122" s="97" t="s">
        <v>29</v>
      </c>
      <c r="E122" s="101"/>
      <c r="F122" s="51"/>
      <c r="G122" s="52"/>
      <c r="H122" s="52"/>
      <c r="I122" s="109"/>
      <c r="J122" s="99"/>
      <c r="K122" s="100"/>
      <c r="L122" s="100"/>
      <c r="M122" s="100"/>
      <c r="N122" s="100"/>
      <c r="O122" s="100"/>
      <c r="P122" s="100"/>
    </row>
    <row r="123" spans="1:17" x14ac:dyDescent="0.3">
      <c r="C123" s="48" t="s">
        <v>427</v>
      </c>
      <c r="D123" s="49" t="s">
        <v>160</v>
      </c>
      <c r="E123" s="50" t="s">
        <v>13</v>
      </c>
      <c r="F123" s="51"/>
      <c r="G123" s="52"/>
      <c r="H123" s="52"/>
      <c r="I123" s="53"/>
      <c r="J123" s="54"/>
      <c r="K123" s="55"/>
      <c r="L123" s="55"/>
      <c r="M123" s="55"/>
      <c r="N123" s="55"/>
      <c r="O123" s="55"/>
      <c r="P123" s="55">
        <f>SUM(K123:K126)</f>
        <v>55.8</v>
      </c>
    </row>
    <row r="124" spans="1:17" s="150" customFormat="1" x14ac:dyDescent="0.2">
      <c r="A124" s="184"/>
      <c r="B124" s="149"/>
      <c r="C124" s="63"/>
      <c r="D124" s="80" t="s">
        <v>111</v>
      </c>
      <c r="E124" s="65" t="s">
        <v>13</v>
      </c>
      <c r="F124" s="69">
        <v>17</v>
      </c>
      <c r="G124" s="67">
        <f>1.8</f>
        <v>1.8</v>
      </c>
      <c r="H124" s="67"/>
      <c r="I124" s="67"/>
      <c r="J124" s="69">
        <v>1</v>
      </c>
      <c r="K124" s="68">
        <f>PRODUCT(F124:J124)</f>
        <v>30.6</v>
      </c>
      <c r="L124" s="181"/>
      <c r="M124" s="68"/>
      <c r="N124" s="68"/>
      <c r="O124" s="68"/>
      <c r="P124" s="68"/>
    </row>
    <row r="125" spans="1:17" s="150" customFormat="1" x14ac:dyDescent="0.2">
      <c r="A125" s="184"/>
      <c r="B125" s="149"/>
      <c r="C125" s="63"/>
      <c r="D125" s="187"/>
      <c r="E125" s="65" t="s">
        <v>13</v>
      </c>
      <c r="F125" s="69">
        <v>9</v>
      </c>
      <c r="G125" s="67">
        <f>2.8</f>
        <v>2.8</v>
      </c>
      <c r="H125" s="67"/>
      <c r="I125" s="67"/>
      <c r="J125" s="69">
        <v>1</v>
      </c>
      <c r="K125" s="68">
        <f>PRODUCT(F125:J125)</f>
        <v>25.2</v>
      </c>
      <c r="L125" s="181"/>
      <c r="M125" s="68"/>
      <c r="N125" s="68"/>
      <c r="O125" s="68"/>
      <c r="P125" s="68"/>
    </row>
    <row r="126" spans="1:17" x14ac:dyDescent="0.3">
      <c r="C126" s="173"/>
      <c r="D126" s="188"/>
      <c r="E126" s="189"/>
      <c r="F126" s="92"/>
      <c r="G126" s="86"/>
      <c r="H126" s="86"/>
      <c r="I126" s="190"/>
      <c r="J126" s="166"/>
      <c r="K126" s="111"/>
      <c r="L126" s="111"/>
      <c r="M126" s="111"/>
      <c r="N126" s="111"/>
      <c r="O126" s="111"/>
      <c r="P126" s="111"/>
    </row>
    <row r="127" spans="1:17" x14ac:dyDescent="0.3">
      <c r="C127" s="98">
        <v>2.1</v>
      </c>
      <c r="D127" s="98" t="s">
        <v>16</v>
      </c>
      <c r="E127" s="88"/>
      <c r="F127" s="66"/>
      <c r="G127" s="67"/>
      <c r="H127" s="67"/>
      <c r="I127" s="67"/>
      <c r="J127" s="66"/>
      <c r="K127" s="67"/>
      <c r="L127" s="67"/>
      <c r="M127" s="68"/>
      <c r="N127" s="68"/>
      <c r="O127" s="68"/>
      <c r="P127" s="68"/>
    </row>
    <row r="128" spans="1:17" x14ac:dyDescent="0.3">
      <c r="C128" s="48" t="s">
        <v>430</v>
      </c>
      <c r="D128" s="77" t="s">
        <v>372</v>
      </c>
      <c r="E128" s="88" t="s">
        <v>12</v>
      </c>
      <c r="F128" s="66"/>
      <c r="G128" s="67"/>
      <c r="H128" s="67"/>
      <c r="I128" s="67"/>
      <c r="J128" s="66"/>
      <c r="K128" s="67"/>
      <c r="L128" s="67"/>
      <c r="M128" s="68"/>
      <c r="N128" s="68"/>
      <c r="O128" s="68"/>
      <c r="P128" s="55">
        <f>SUM(K128:K147)</f>
        <v>156.02000000000001</v>
      </c>
    </row>
    <row r="129" spans="2:19" x14ac:dyDescent="0.3">
      <c r="C129" s="286"/>
      <c r="D129" s="75" t="s">
        <v>145</v>
      </c>
      <c r="E129" s="73"/>
      <c r="F129" s="82"/>
      <c r="G129" s="52"/>
      <c r="H129" s="52"/>
      <c r="I129" s="52"/>
      <c r="J129" s="62"/>
      <c r="K129" s="61"/>
      <c r="L129" s="67"/>
      <c r="M129" s="68"/>
      <c r="N129" s="68"/>
      <c r="O129" s="68"/>
      <c r="P129" s="68"/>
    </row>
    <row r="130" spans="2:19" x14ac:dyDescent="0.3">
      <c r="C130" s="286"/>
      <c r="D130" s="81" t="s">
        <v>115</v>
      </c>
      <c r="E130" s="88"/>
      <c r="F130" s="51"/>
      <c r="G130" s="52"/>
      <c r="H130" s="52"/>
      <c r="I130" s="52"/>
      <c r="J130" s="59"/>
      <c r="K130" s="60"/>
      <c r="L130" s="67"/>
      <c r="M130" s="68"/>
      <c r="N130" s="68"/>
      <c r="O130" s="68"/>
      <c r="P130" s="68"/>
    </row>
    <row r="131" spans="2:19" x14ac:dyDescent="0.3">
      <c r="C131" s="286"/>
      <c r="D131" s="80" t="s">
        <v>147</v>
      </c>
      <c r="E131" s="90" t="s">
        <v>13</v>
      </c>
      <c r="F131" s="66">
        <v>1</v>
      </c>
      <c r="G131" s="67">
        <v>20.86</v>
      </c>
      <c r="H131" s="67"/>
      <c r="I131" s="67"/>
      <c r="J131" s="66">
        <v>1</v>
      </c>
      <c r="K131" s="67">
        <f t="shared" ref="K131:K136" si="10">F131*J131*G131</f>
        <v>20.86</v>
      </c>
      <c r="L131" s="67"/>
      <c r="M131" s="68"/>
      <c r="N131" s="68"/>
      <c r="O131" s="68"/>
      <c r="P131" s="68"/>
    </row>
    <row r="132" spans="2:19" x14ac:dyDescent="0.3">
      <c r="C132" s="286"/>
      <c r="D132" s="80"/>
      <c r="E132" s="90" t="s">
        <v>13</v>
      </c>
      <c r="F132" s="66">
        <v>1</v>
      </c>
      <c r="G132" s="67">
        <v>1.02</v>
      </c>
      <c r="H132" s="67"/>
      <c r="I132" s="67"/>
      <c r="J132" s="66">
        <v>1</v>
      </c>
      <c r="K132" s="67">
        <f t="shared" si="10"/>
        <v>1.02</v>
      </c>
      <c r="L132" s="67"/>
      <c r="M132" s="68"/>
      <c r="N132" s="68"/>
      <c r="O132" s="68"/>
      <c r="P132" s="68"/>
    </row>
    <row r="133" spans="2:19" x14ac:dyDescent="0.3">
      <c r="C133" s="286"/>
      <c r="D133" s="80" t="s">
        <v>168</v>
      </c>
      <c r="E133" s="90" t="s">
        <v>13</v>
      </c>
      <c r="F133" s="66">
        <v>8</v>
      </c>
      <c r="G133" s="67">
        <v>2.1</v>
      </c>
      <c r="H133" s="67"/>
      <c r="I133" s="67"/>
      <c r="J133" s="66">
        <v>1</v>
      </c>
      <c r="K133" s="67">
        <f t="shared" si="10"/>
        <v>16.8</v>
      </c>
      <c r="L133" s="67"/>
      <c r="M133" s="68"/>
      <c r="N133" s="68"/>
      <c r="O133" s="68"/>
      <c r="P133" s="68"/>
    </row>
    <row r="134" spans="2:19" x14ac:dyDescent="0.3">
      <c r="C134" s="286"/>
      <c r="D134" s="80"/>
      <c r="E134" s="90" t="s">
        <v>13</v>
      </c>
      <c r="F134" s="66">
        <v>50</v>
      </c>
      <c r="G134" s="67">
        <v>1.8</v>
      </c>
      <c r="H134" s="67"/>
      <c r="I134" s="67"/>
      <c r="J134" s="66">
        <v>1</v>
      </c>
      <c r="K134" s="67">
        <f t="shared" si="10"/>
        <v>90</v>
      </c>
      <c r="L134" s="67"/>
      <c r="M134" s="68"/>
      <c r="N134" s="68"/>
      <c r="O134" s="68"/>
      <c r="P134" s="68"/>
    </row>
    <row r="135" spans="2:19" x14ac:dyDescent="0.3">
      <c r="C135" s="48"/>
      <c r="D135" s="80" t="s">
        <v>169</v>
      </c>
      <c r="E135" s="90" t="s">
        <v>13</v>
      </c>
      <c r="F135" s="66">
        <v>1</v>
      </c>
      <c r="G135" s="67">
        <f>2.17+7.53</f>
        <v>9.6999999999999993</v>
      </c>
      <c r="H135" s="67"/>
      <c r="I135" s="67"/>
      <c r="J135" s="66">
        <v>1</v>
      </c>
      <c r="K135" s="67">
        <f t="shared" si="10"/>
        <v>9.6999999999999993</v>
      </c>
      <c r="L135" s="67"/>
      <c r="M135" s="68"/>
      <c r="N135" s="68"/>
      <c r="O135" s="68"/>
      <c r="P135" s="67"/>
    </row>
    <row r="136" spans="2:19" x14ac:dyDescent="0.3">
      <c r="C136" s="286"/>
      <c r="D136" s="80" t="s">
        <v>170</v>
      </c>
      <c r="E136" s="90" t="s">
        <v>13</v>
      </c>
      <c r="F136" s="66">
        <v>4</v>
      </c>
      <c r="G136" s="67">
        <v>1.2</v>
      </c>
      <c r="H136" s="67"/>
      <c r="I136" s="67"/>
      <c r="J136" s="66">
        <v>1</v>
      </c>
      <c r="K136" s="67">
        <f t="shared" si="10"/>
        <v>4.8</v>
      </c>
      <c r="L136" s="67"/>
      <c r="M136" s="68"/>
      <c r="N136" s="68"/>
      <c r="O136" s="68"/>
      <c r="P136" s="68"/>
    </row>
    <row r="137" spans="2:19" x14ac:dyDescent="0.3">
      <c r="C137" s="286"/>
      <c r="D137" s="75"/>
      <c r="E137" s="73"/>
      <c r="F137" s="82"/>
      <c r="G137" s="52"/>
      <c r="H137" s="52"/>
      <c r="I137" s="52"/>
      <c r="J137" s="62"/>
      <c r="K137" s="61"/>
      <c r="L137" s="67"/>
      <c r="M137" s="68"/>
      <c r="N137" s="68"/>
      <c r="O137" s="68"/>
      <c r="P137" s="68"/>
    </row>
    <row r="138" spans="2:19" x14ac:dyDescent="0.3">
      <c r="C138" s="286"/>
      <c r="D138" s="75" t="s">
        <v>182</v>
      </c>
      <c r="E138" s="73"/>
      <c r="F138" s="82"/>
      <c r="G138" s="52"/>
      <c r="H138" s="52"/>
      <c r="I138" s="52"/>
      <c r="J138" s="62"/>
      <c r="K138" s="61"/>
      <c r="L138" s="67"/>
      <c r="M138" s="68"/>
      <c r="N138" s="68"/>
      <c r="O138" s="68"/>
      <c r="P138" s="68"/>
    </row>
    <row r="139" spans="2:19" x14ac:dyDescent="0.3">
      <c r="C139" s="286"/>
      <c r="D139" s="81" t="s">
        <v>115</v>
      </c>
      <c r="E139" s="88"/>
      <c r="F139" s="51"/>
      <c r="G139" s="52"/>
      <c r="H139" s="52"/>
      <c r="I139" s="52"/>
      <c r="J139" s="59"/>
      <c r="K139" s="60"/>
      <c r="L139" s="67"/>
      <c r="M139" s="68"/>
      <c r="N139" s="68"/>
      <c r="O139" s="68"/>
      <c r="P139" s="68"/>
    </row>
    <row r="140" spans="2:19" x14ac:dyDescent="0.3">
      <c r="C140" s="286"/>
      <c r="D140" s="80" t="s">
        <v>183</v>
      </c>
      <c r="E140" s="90" t="s">
        <v>13</v>
      </c>
      <c r="F140" s="66">
        <v>1</v>
      </c>
      <c r="G140" s="67">
        <f>2.34+1.2</f>
        <v>3.54</v>
      </c>
      <c r="H140" s="67"/>
      <c r="I140" s="67"/>
      <c r="J140" s="66">
        <v>1</v>
      </c>
      <c r="K140" s="67">
        <f t="shared" ref="K140:K142" si="11">F140*J140*G140</f>
        <v>3.54</v>
      </c>
      <c r="L140" s="67"/>
      <c r="M140" s="68"/>
      <c r="N140" s="68"/>
      <c r="O140" s="68"/>
      <c r="P140" s="68"/>
    </row>
    <row r="141" spans="2:19" x14ac:dyDescent="0.3">
      <c r="B141" s="335"/>
      <c r="C141" s="97"/>
      <c r="D141" s="80" t="s">
        <v>179</v>
      </c>
      <c r="E141" s="90" t="s">
        <v>13</v>
      </c>
      <c r="F141" s="66">
        <v>0</v>
      </c>
      <c r="G141" s="67">
        <v>0.85</v>
      </c>
      <c r="H141" s="67"/>
      <c r="I141" s="67"/>
      <c r="J141" s="66">
        <v>1</v>
      </c>
      <c r="K141" s="67">
        <f t="shared" si="11"/>
        <v>0</v>
      </c>
      <c r="L141" s="61"/>
      <c r="M141" s="61"/>
      <c r="N141" s="61"/>
      <c r="O141" s="61"/>
      <c r="P141" s="61"/>
      <c r="Q141" s="335"/>
      <c r="R141" s="335"/>
      <c r="S141" s="335"/>
    </row>
    <row r="142" spans="2:19" x14ac:dyDescent="0.3">
      <c r="B142" s="335"/>
      <c r="C142" s="286"/>
      <c r="D142" s="80"/>
      <c r="E142" s="90" t="s">
        <v>13</v>
      </c>
      <c r="F142" s="66">
        <v>6</v>
      </c>
      <c r="G142" s="67">
        <v>0.75</v>
      </c>
      <c r="H142" s="67"/>
      <c r="I142" s="67"/>
      <c r="J142" s="66">
        <v>1</v>
      </c>
      <c r="K142" s="67">
        <f t="shared" si="11"/>
        <v>4.5</v>
      </c>
      <c r="L142" s="61"/>
      <c r="M142" s="61"/>
      <c r="N142" s="61"/>
      <c r="O142" s="61"/>
      <c r="P142" s="61"/>
      <c r="Q142" s="335"/>
      <c r="R142" s="335"/>
      <c r="S142" s="335"/>
    </row>
    <row r="143" spans="2:19" x14ac:dyDescent="0.3">
      <c r="B143" s="335"/>
      <c r="C143" s="364"/>
      <c r="D143" s="75"/>
      <c r="E143" s="73"/>
      <c r="F143" s="82"/>
      <c r="G143" s="52"/>
      <c r="H143" s="52"/>
      <c r="I143" s="52"/>
      <c r="J143" s="62"/>
      <c r="K143" s="61"/>
      <c r="L143" s="297"/>
      <c r="M143" s="297"/>
      <c r="N143" s="297"/>
      <c r="O143" s="297"/>
      <c r="P143" s="297"/>
      <c r="Q143" s="335"/>
      <c r="R143" s="335"/>
      <c r="S143" s="335"/>
    </row>
    <row r="144" spans="2:19" x14ac:dyDescent="0.3">
      <c r="B144" s="335"/>
      <c r="C144" s="48"/>
      <c r="D144" s="75" t="s">
        <v>144</v>
      </c>
      <c r="E144" s="73"/>
      <c r="F144" s="82"/>
      <c r="G144" s="52"/>
      <c r="H144" s="52"/>
      <c r="I144" s="52"/>
      <c r="J144" s="62"/>
      <c r="K144" s="61"/>
      <c r="L144" s="61"/>
      <c r="M144" s="61"/>
      <c r="N144" s="61"/>
      <c r="O144" s="61"/>
      <c r="P144" s="61"/>
      <c r="Q144" s="335"/>
      <c r="R144" s="335"/>
      <c r="S144" s="335"/>
    </row>
    <row r="145" spans="2:19" x14ac:dyDescent="0.3">
      <c r="B145" s="335"/>
      <c r="C145" s="97"/>
      <c r="D145" s="81" t="s">
        <v>115</v>
      </c>
      <c r="E145" s="88"/>
      <c r="F145" s="51"/>
      <c r="G145" s="52"/>
      <c r="H145" s="52"/>
      <c r="I145" s="52"/>
      <c r="J145" s="59"/>
      <c r="K145" s="60"/>
      <c r="L145" s="100"/>
      <c r="M145" s="100"/>
      <c r="N145" s="100"/>
      <c r="O145" s="100"/>
      <c r="P145" s="100"/>
      <c r="Q145" s="335"/>
      <c r="R145" s="335"/>
      <c r="S145" s="335"/>
    </row>
    <row r="146" spans="2:19" x14ac:dyDescent="0.3">
      <c r="B146" s="335"/>
      <c r="C146" s="48"/>
      <c r="D146" s="80" t="s">
        <v>230</v>
      </c>
      <c r="E146" s="90" t="s">
        <v>13</v>
      </c>
      <c r="F146" s="66">
        <v>2</v>
      </c>
      <c r="G146" s="67">
        <v>0.6</v>
      </c>
      <c r="H146" s="67"/>
      <c r="I146" s="67"/>
      <c r="J146" s="66">
        <v>4</v>
      </c>
      <c r="K146" s="67">
        <f>F146*J146*G146</f>
        <v>4.8</v>
      </c>
      <c r="L146" s="55"/>
      <c r="M146" s="55"/>
      <c r="N146" s="55"/>
      <c r="O146" s="55"/>
      <c r="P146" s="55"/>
      <c r="Q146" s="335"/>
      <c r="R146" s="335"/>
      <c r="S146" s="335"/>
    </row>
    <row r="147" spans="2:19" ht="13.5" customHeight="1" x14ac:dyDescent="0.3">
      <c r="B147" s="335"/>
      <c r="C147" s="56"/>
      <c r="D147" s="79"/>
      <c r="E147" s="89"/>
      <c r="F147" s="59"/>
      <c r="G147" s="60"/>
      <c r="H147" s="60"/>
      <c r="I147" s="60"/>
      <c r="J147" s="62"/>
      <c r="K147" s="61"/>
      <c r="L147" s="61"/>
      <c r="M147" s="61"/>
      <c r="N147" s="61"/>
      <c r="O147" s="61"/>
      <c r="P147" s="61"/>
      <c r="Q147" s="335"/>
      <c r="R147" s="335"/>
      <c r="S147" s="335"/>
    </row>
  </sheetData>
  <autoFilter ref="C16:P21" xr:uid="{00000000-0009-0000-0000-000008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22529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2252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etrado11" filterMode="1"/>
  <dimension ref="A1:W104"/>
  <sheetViews>
    <sheetView view="pageBreakPreview" zoomScaleNormal="85" zoomScaleSheetLayoutView="100" workbookViewId="0">
      <selection activeCell="D57" sqref="D57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44551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135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1.4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307">
        <v>1</v>
      </c>
      <c r="D18" s="278" t="s">
        <v>135</v>
      </c>
      <c r="E18" s="318"/>
      <c r="F18" s="319"/>
      <c r="G18" s="310"/>
      <c r="H18" s="310"/>
      <c r="I18" s="310"/>
      <c r="J18" s="280"/>
      <c r="K18" s="281"/>
      <c r="L18" s="281"/>
      <c r="M18" s="186"/>
      <c r="N18" s="186"/>
      <c r="O18" s="186"/>
      <c r="P18" s="186"/>
    </row>
    <row r="19" spans="1:16" s="321" customFormat="1" x14ac:dyDescent="0.3">
      <c r="A19" s="321">
        <v>1</v>
      </c>
      <c r="C19" s="145" t="s">
        <v>441</v>
      </c>
      <c r="D19" s="145" t="s">
        <v>17</v>
      </c>
      <c r="E19" s="323"/>
      <c r="F19" s="339"/>
      <c r="G19" s="326"/>
      <c r="H19" s="326"/>
      <c r="I19" s="326"/>
      <c r="J19" s="327"/>
      <c r="K19" s="328"/>
      <c r="L19" s="328"/>
      <c r="M19" s="328"/>
      <c r="N19" s="328"/>
      <c r="O19" s="328"/>
      <c r="P19" s="328"/>
    </row>
    <row r="20" spans="1:16" x14ac:dyDescent="0.3">
      <c r="C20" s="97" t="s">
        <v>423</v>
      </c>
      <c r="D20" s="97" t="s">
        <v>28</v>
      </c>
      <c r="E20" s="101"/>
      <c r="F20" s="51"/>
      <c r="G20" s="52"/>
      <c r="H20" s="52"/>
      <c r="I20" s="109"/>
      <c r="J20" s="99"/>
      <c r="K20" s="100"/>
      <c r="L20" s="100"/>
      <c r="M20" s="100"/>
      <c r="N20" s="100"/>
      <c r="O20" s="100"/>
      <c r="P20" s="100"/>
    </row>
    <row r="21" spans="1:16" x14ac:dyDescent="0.3">
      <c r="C21" s="136" t="s">
        <v>424</v>
      </c>
      <c r="D21" s="136" t="s">
        <v>158</v>
      </c>
      <c r="E21" s="50" t="s">
        <v>12</v>
      </c>
      <c r="F21" s="78"/>
      <c r="G21" s="53"/>
      <c r="H21" s="53"/>
      <c r="I21" s="53"/>
      <c r="J21" s="54"/>
      <c r="K21" s="55"/>
      <c r="L21" s="55"/>
      <c r="M21" s="55"/>
      <c r="N21" s="55"/>
      <c r="O21" s="55"/>
      <c r="P21" s="55">
        <f>SUM(O21:O26)</f>
        <v>3</v>
      </c>
    </row>
    <row r="22" spans="1:16" ht="20.399999999999999" x14ac:dyDescent="0.3">
      <c r="C22" s="48"/>
      <c r="D22" s="83" t="s">
        <v>166</v>
      </c>
      <c r="E22" s="50"/>
      <c r="F22" s="154"/>
      <c r="G22" s="52"/>
      <c r="H22" s="52"/>
      <c r="I22" s="52"/>
      <c r="J22" s="155"/>
      <c r="K22" s="138"/>
      <c r="L22" s="138"/>
      <c r="M22" s="138"/>
      <c r="N22" s="138"/>
      <c r="O22" s="138"/>
      <c r="P22" s="68"/>
    </row>
    <row r="23" spans="1:16" x14ac:dyDescent="0.3">
      <c r="C23" s="48"/>
      <c r="D23" s="81" t="s">
        <v>107</v>
      </c>
      <c r="E23" s="65"/>
      <c r="F23" s="69"/>
      <c r="G23" s="67"/>
      <c r="H23" s="67"/>
      <c r="I23" s="67"/>
      <c r="J23" s="66"/>
      <c r="K23" s="68"/>
      <c r="L23" s="68"/>
      <c r="M23" s="68"/>
      <c r="N23" s="68"/>
      <c r="O23" s="68"/>
      <c r="P23" s="68"/>
    </row>
    <row r="24" spans="1:16" x14ac:dyDescent="0.3">
      <c r="C24" s="48"/>
      <c r="D24" s="80" t="s">
        <v>274</v>
      </c>
      <c r="E24" s="65" t="s">
        <v>14</v>
      </c>
      <c r="F24" s="69">
        <v>1</v>
      </c>
      <c r="G24" s="67"/>
      <c r="H24" s="67"/>
      <c r="I24" s="67"/>
      <c r="J24" s="66">
        <v>1</v>
      </c>
      <c r="K24" s="68"/>
      <c r="L24" s="68"/>
      <c r="M24" s="68"/>
      <c r="N24" s="68"/>
      <c r="O24" s="68">
        <f t="shared" ref="O24:O25" si="0">IF(F24="","",PRODUCT(F24:J24))</f>
        <v>1</v>
      </c>
      <c r="P24" s="68"/>
    </row>
    <row r="25" spans="1:16" x14ac:dyDescent="0.3">
      <c r="C25" s="48"/>
      <c r="D25" s="80" t="s">
        <v>275</v>
      </c>
      <c r="E25" s="65" t="s">
        <v>14</v>
      </c>
      <c r="F25" s="69">
        <v>2</v>
      </c>
      <c r="G25" s="67"/>
      <c r="H25" s="67"/>
      <c r="I25" s="67"/>
      <c r="J25" s="66">
        <v>1</v>
      </c>
      <c r="K25" s="68"/>
      <c r="L25" s="68"/>
      <c r="M25" s="68"/>
      <c r="N25" s="68"/>
      <c r="O25" s="68">
        <f t="shared" si="0"/>
        <v>2</v>
      </c>
      <c r="P25" s="68"/>
    </row>
    <row r="26" spans="1:16" x14ac:dyDescent="0.3">
      <c r="C26" s="48"/>
      <c r="D26" s="365"/>
      <c r="E26" s="189"/>
      <c r="F26" s="166"/>
      <c r="G26" s="111"/>
      <c r="H26" s="111"/>
      <c r="I26" s="111"/>
      <c r="J26" s="166"/>
      <c r="K26" s="111"/>
      <c r="L26" s="111"/>
      <c r="M26" s="68"/>
      <c r="N26" s="68"/>
      <c r="O26" s="68"/>
      <c r="P26" s="68"/>
    </row>
    <row r="27" spans="1:16" x14ac:dyDescent="0.3">
      <c r="C27" s="48" t="s">
        <v>425</v>
      </c>
      <c r="D27" s="77" t="s">
        <v>159</v>
      </c>
      <c r="E27" s="50" t="s">
        <v>14</v>
      </c>
      <c r="F27" s="78"/>
      <c r="G27" s="52"/>
      <c r="H27" s="52"/>
      <c r="I27" s="52"/>
      <c r="J27" s="59"/>
      <c r="K27" s="55"/>
      <c r="L27" s="55"/>
      <c r="M27" s="55"/>
      <c r="N27" s="55"/>
      <c r="O27" s="55"/>
      <c r="P27" s="55">
        <f>SUM(O27:O33)</f>
        <v>8</v>
      </c>
    </row>
    <row r="28" spans="1:16" ht="20.399999999999999" x14ac:dyDescent="0.3">
      <c r="C28" s="48"/>
      <c r="D28" s="83" t="s">
        <v>166</v>
      </c>
      <c r="E28" s="50"/>
      <c r="F28" s="154"/>
      <c r="G28" s="52"/>
      <c r="H28" s="52"/>
      <c r="I28" s="52"/>
      <c r="J28" s="155"/>
      <c r="K28" s="138"/>
      <c r="L28" s="138"/>
      <c r="M28" s="138"/>
      <c r="N28" s="138"/>
      <c r="O28" s="61"/>
      <c r="P28" s="55"/>
    </row>
    <row r="29" spans="1:16" x14ac:dyDescent="0.3">
      <c r="C29" s="48"/>
      <c r="D29" s="79" t="s">
        <v>111</v>
      </c>
      <c r="E29" s="73"/>
      <c r="F29" s="82"/>
      <c r="G29" s="52"/>
      <c r="H29" s="52"/>
      <c r="I29" s="52"/>
      <c r="J29" s="62"/>
      <c r="K29" s="61"/>
      <c r="L29" s="61"/>
      <c r="M29" s="61"/>
      <c r="N29" s="61"/>
      <c r="O29" s="68" t="str">
        <f t="shared" ref="O29:O30" si="1">IF(F29="","",PRODUCT(F29:J29))</f>
        <v/>
      </c>
      <c r="P29" s="61"/>
    </row>
    <row r="30" spans="1:16" x14ac:dyDescent="0.3">
      <c r="C30" s="48"/>
      <c r="D30" s="80" t="s">
        <v>98</v>
      </c>
      <c r="E30" s="65" t="s">
        <v>14</v>
      </c>
      <c r="F30" s="69">
        <v>4</v>
      </c>
      <c r="G30" s="67"/>
      <c r="H30" s="67"/>
      <c r="I30" s="67"/>
      <c r="J30" s="66">
        <v>1</v>
      </c>
      <c r="K30" s="68"/>
      <c r="L30" s="68"/>
      <c r="M30" s="68"/>
      <c r="N30" s="68"/>
      <c r="O30" s="68">
        <f t="shared" si="1"/>
        <v>4</v>
      </c>
      <c r="P30" s="68"/>
    </row>
    <row r="31" spans="1:16" x14ac:dyDescent="0.3">
      <c r="C31" s="48"/>
      <c r="D31" s="79" t="s">
        <v>112</v>
      </c>
      <c r="E31" s="73"/>
      <c r="F31" s="82"/>
      <c r="G31" s="52"/>
      <c r="H31" s="52"/>
      <c r="I31" s="52"/>
      <c r="J31" s="59"/>
      <c r="K31" s="61"/>
      <c r="L31" s="61"/>
      <c r="M31" s="61"/>
      <c r="N31" s="61"/>
      <c r="O31" s="61"/>
      <c r="P31" s="61"/>
    </row>
    <row r="32" spans="1:16" x14ac:dyDescent="0.3">
      <c r="C32" s="72"/>
      <c r="D32" s="80" t="s">
        <v>276</v>
      </c>
      <c r="E32" s="65" t="s">
        <v>14</v>
      </c>
      <c r="F32" s="69">
        <v>4</v>
      </c>
      <c r="G32" s="67"/>
      <c r="H32" s="67"/>
      <c r="I32" s="67"/>
      <c r="J32" s="66">
        <v>1</v>
      </c>
      <c r="K32" s="68"/>
      <c r="L32" s="68"/>
      <c r="M32" s="68"/>
      <c r="N32" s="68"/>
      <c r="O32" s="68">
        <f t="shared" ref="O32" si="2">IF(F32="","",PRODUCT(F32:J32))</f>
        <v>4</v>
      </c>
      <c r="P32" s="61"/>
    </row>
    <row r="33" spans="1:16" x14ac:dyDescent="0.3">
      <c r="C33" s="48"/>
      <c r="D33" s="365"/>
      <c r="E33" s="189"/>
      <c r="F33" s="166"/>
      <c r="G33" s="111"/>
      <c r="H33" s="111"/>
      <c r="I33" s="111"/>
      <c r="J33" s="166"/>
      <c r="K33" s="111"/>
      <c r="L33" s="111"/>
      <c r="M33" s="68"/>
      <c r="N33" s="68"/>
      <c r="O33" s="68"/>
      <c r="P33" s="68"/>
    </row>
    <row r="34" spans="1:16" x14ac:dyDescent="0.3">
      <c r="C34" s="97" t="s">
        <v>426</v>
      </c>
      <c r="D34" s="97" t="s">
        <v>29</v>
      </c>
      <c r="E34" s="101"/>
      <c r="F34" s="51"/>
      <c r="G34" s="52"/>
      <c r="H34" s="52"/>
      <c r="I34" s="109"/>
      <c r="J34" s="99"/>
      <c r="K34" s="100"/>
      <c r="L34" s="100"/>
      <c r="M34" s="100"/>
      <c r="N34" s="100"/>
      <c r="O34" s="100"/>
      <c r="P34" s="100"/>
    </row>
    <row r="35" spans="1:16" x14ac:dyDescent="0.3">
      <c r="C35" s="48" t="s">
        <v>427</v>
      </c>
      <c r="D35" s="49" t="s">
        <v>160</v>
      </c>
      <c r="E35" s="50" t="s">
        <v>13</v>
      </c>
      <c r="F35" s="51"/>
      <c r="G35" s="52"/>
      <c r="H35" s="52"/>
      <c r="I35" s="53"/>
      <c r="J35" s="54"/>
      <c r="K35" s="55"/>
      <c r="L35" s="55"/>
      <c r="M35" s="55"/>
      <c r="N35" s="55"/>
      <c r="O35" s="55"/>
      <c r="P35" s="55">
        <f>SUM(K35:K39)</f>
        <v>106.80000000000001</v>
      </c>
    </row>
    <row r="36" spans="1:16" s="150" customFormat="1" x14ac:dyDescent="0.2">
      <c r="A36" s="184"/>
      <c r="B36" s="149"/>
      <c r="C36" s="63"/>
      <c r="D36" s="80" t="s">
        <v>111</v>
      </c>
      <c r="E36" s="65" t="s">
        <v>13</v>
      </c>
      <c r="F36" s="69">
        <v>8</v>
      </c>
      <c r="G36" s="67">
        <f>(2*2.15)+0.15</f>
        <v>4.45</v>
      </c>
      <c r="H36" s="67"/>
      <c r="I36" s="67"/>
      <c r="J36" s="69">
        <v>1</v>
      </c>
      <c r="K36" s="68">
        <f t="shared" ref="K36:K38" si="3">PRODUCT(F36:J36)</f>
        <v>35.6</v>
      </c>
      <c r="L36" s="181"/>
      <c r="M36" s="68"/>
      <c r="N36" s="68"/>
      <c r="O36" s="68"/>
      <c r="P36" s="68"/>
    </row>
    <row r="37" spans="1:16" s="150" customFormat="1" x14ac:dyDescent="0.2">
      <c r="A37" s="184"/>
      <c r="B37" s="149"/>
      <c r="C37" s="63"/>
      <c r="D37" s="80" t="s">
        <v>139</v>
      </c>
      <c r="E37" s="65" t="s">
        <v>13</v>
      </c>
      <c r="F37" s="69">
        <v>8</v>
      </c>
      <c r="G37" s="67">
        <f>(2*2.15)+0.15</f>
        <v>4.45</v>
      </c>
      <c r="H37" s="67"/>
      <c r="I37" s="67"/>
      <c r="J37" s="69">
        <v>1</v>
      </c>
      <c r="K37" s="68">
        <f t="shared" si="3"/>
        <v>35.6</v>
      </c>
      <c r="L37" s="181"/>
      <c r="M37" s="68"/>
      <c r="N37" s="68"/>
      <c r="O37" s="68"/>
      <c r="P37" s="68"/>
    </row>
    <row r="38" spans="1:16" s="150" customFormat="1" x14ac:dyDescent="0.2">
      <c r="A38" s="184"/>
      <c r="B38" s="149"/>
      <c r="C38" s="63"/>
      <c r="D38" s="80" t="s">
        <v>138</v>
      </c>
      <c r="E38" s="65" t="s">
        <v>13</v>
      </c>
      <c r="F38" s="69">
        <v>8</v>
      </c>
      <c r="G38" s="67">
        <f>(2*2.15)+0.15</f>
        <v>4.45</v>
      </c>
      <c r="H38" s="67"/>
      <c r="I38" s="67"/>
      <c r="J38" s="69">
        <v>1</v>
      </c>
      <c r="K38" s="68">
        <f t="shared" si="3"/>
        <v>35.6</v>
      </c>
      <c r="L38" s="181"/>
      <c r="M38" s="68"/>
      <c r="N38" s="68"/>
      <c r="O38" s="68"/>
      <c r="P38" s="68"/>
    </row>
    <row r="39" spans="1:16" x14ac:dyDescent="0.3">
      <c r="C39" s="173"/>
      <c r="D39" s="188"/>
      <c r="E39" s="189"/>
      <c r="F39" s="92"/>
      <c r="G39" s="86"/>
      <c r="H39" s="86"/>
      <c r="I39" s="190"/>
      <c r="J39" s="166"/>
      <c r="K39" s="111"/>
      <c r="L39" s="111"/>
      <c r="M39" s="111"/>
      <c r="N39" s="111"/>
      <c r="O39" s="111"/>
      <c r="P39" s="111"/>
    </row>
    <row r="40" spans="1:16" x14ac:dyDescent="0.3">
      <c r="C40" s="98">
        <v>2.1</v>
      </c>
      <c r="D40" s="98" t="s">
        <v>16</v>
      </c>
      <c r="E40" s="88"/>
      <c r="F40" s="66"/>
      <c r="G40" s="67"/>
      <c r="H40" s="67"/>
      <c r="I40" s="67"/>
      <c r="J40" s="66"/>
      <c r="K40" s="67"/>
      <c r="L40" s="67"/>
      <c r="M40" s="68"/>
      <c r="N40" s="68"/>
      <c r="O40" s="68"/>
      <c r="P40" s="68"/>
    </row>
    <row r="41" spans="1:16" x14ac:dyDescent="0.3">
      <c r="C41" s="48" t="s">
        <v>430</v>
      </c>
      <c r="D41" s="77" t="s">
        <v>372</v>
      </c>
      <c r="E41" s="88" t="s">
        <v>13</v>
      </c>
      <c r="F41" s="66"/>
      <c r="G41" s="67"/>
      <c r="H41" s="67"/>
      <c r="I41" s="67"/>
      <c r="J41" s="66"/>
      <c r="K41" s="67"/>
      <c r="L41" s="67"/>
      <c r="M41" s="68"/>
      <c r="N41" s="68"/>
      <c r="O41" s="68"/>
      <c r="P41" s="55">
        <f>SUM(K41:K104)</f>
        <v>742.29000000000019</v>
      </c>
    </row>
    <row r="42" spans="1:16" x14ac:dyDescent="0.3">
      <c r="C42" s="48"/>
      <c r="D42" s="75" t="s">
        <v>145</v>
      </c>
      <c r="E42" s="73"/>
      <c r="F42" s="82"/>
      <c r="G42" s="52"/>
      <c r="H42" s="52"/>
      <c r="I42" s="52"/>
      <c r="J42" s="62"/>
      <c r="K42" s="61"/>
      <c r="L42" s="67"/>
      <c r="M42" s="68"/>
      <c r="N42" s="68"/>
      <c r="O42" s="68"/>
      <c r="P42" s="68"/>
    </row>
    <row r="43" spans="1:16" x14ac:dyDescent="0.3">
      <c r="C43" s="48"/>
      <c r="D43" s="81" t="s">
        <v>115</v>
      </c>
      <c r="E43" s="73"/>
      <c r="F43" s="82"/>
      <c r="G43" s="52"/>
      <c r="H43" s="52"/>
      <c r="I43" s="52"/>
      <c r="J43" s="62"/>
      <c r="K43" s="61"/>
      <c r="L43" s="67"/>
      <c r="M43" s="68"/>
      <c r="N43" s="68"/>
      <c r="O43" s="68"/>
      <c r="P43" s="68"/>
    </row>
    <row r="44" spans="1:16" x14ac:dyDescent="0.3">
      <c r="C44" s="48"/>
      <c r="D44" s="164" t="s">
        <v>169</v>
      </c>
      <c r="E44" s="165" t="s">
        <v>13</v>
      </c>
      <c r="F44" s="166">
        <v>1</v>
      </c>
      <c r="G44" s="111">
        <f>3.35+5.85+6.4+5.85+3.35+(13*1.2)</f>
        <v>40.4</v>
      </c>
      <c r="H44" s="111"/>
      <c r="I44" s="111"/>
      <c r="J44" s="166">
        <v>1</v>
      </c>
      <c r="K44" s="111">
        <f>F44*J44*G44</f>
        <v>40.4</v>
      </c>
      <c r="L44" s="67"/>
      <c r="M44" s="68"/>
      <c r="N44" s="68"/>
      <c r="O44" s="68"/>
      <c r="P44" s="68"/>
    </row>
    <row r="45" spans="1:16" x14ac:dyDescent="0.3">
      <c r="C45" s="48"/>
      <c r="D45" s="164" t="s">
        <v>170</v>
      </c>
      <c r="E45" s="165" t="s">
        <v>13</v>
      </c>
      <c r="F45" s="166">
        <f>10+13*4</f>
        <v>62</v>
      </c>
      <c r="G45" s="111">
        <v>1.2</v>
      </c>
      <c r="H45" s="111"/>
      <c r="I45" s="111"/>
      <c r="J45" s="166">
        <v>1</v>
      </c>
      <c r="K45" s="111">
        <f>F45*J45*G45</f>
        <v>74.399999999999991</v>
      </c>
      <c r="L45" s="67"/>
      <c r="M45" s="68"/>
      <c r="N45" s="68"/>
      <c r="O45" s="68"/>
      <c r="P45" s="68"/>
    </row>
    <row r="46" spans="1:16" x14ac:dyDescent="0.3">
      <c r="C46" s="48"/>
      <c r="D46" s="81" t="s">
        <v>139</v>
      </c>
      <c r="E46" s="73"/>
      <c r="F46" s="82"/>
      <c r="G46" s="52"/>
      <c r="H46" s="52"/>
      <c r="I46" s="52"/>
      <c r="J46" s="62"/>
      <c r="K46" s="61"/>
      <c r="L46" s="67"/>
      <c r="M46" s="68"/>
      <c r="N46" s="68"/>
      <c r="O46" s="68"/>
      <c r="P46" s="68"/>
    </row>
    <row r="47" spans="1:16" x14ac:dyDescent="0.3">
      <c r="C47" s="48"/>
      <c r="D47" s="80" t="s">
        <v>169</v>
      </c>
      <c r="E47" s="90" t="s">
        <v>13</v>
      </c>
      <c r="F47" s="66">
        <v>1</v>
      </c>
      <c r="G47" s="67">
        <f>0.7+6.4+3.25+1.1+6.4+1.1+3.35+(11*0.95)+1.2</f>
        <v>33.950000000000003</v>
      </c>
      <c r="H47" s="67"/>
      <c r="I47" s="67"/>
      <c r="J47" s="66">
        <v>1</v>
      </c>
      <c r="K47" s="67">
        <f>F47*J47*G47</f>
        <v>33.950000000000003</v>
      </c>
      <c r="L47" s="67"/>
      <c r="M47" s="68"/>
      <c r="N47" s="68"/>
      <c r="O47" s="68"/>
      <c r="P47" s="68"/>
    </row>
    <row r="48" spans="1:16" x14ac:dyDescent="0.3">
      <c r="C48" s="48"/>
      <c r="D48" s="80" t="s">
        <v>170</v>
      </c>
      <c r="E48" s="90" t="s">
        <v>13</v>
      </c>
      <c r="F48" s="66">
        <f>14+13*4</f>
        <v>66</v>
      </c>
      <c r="G48" s="67">
        <v>1.2</v>
      </c>
      <c r="H48" s="67"/>
      <c r="I48" s="67"/>
      <c r="J48" s="66">
        <v>1</v>
      </c>
      <c r="K48" s="67">
        <f>F48*J48*G48</f>
        <v>79.2</v>
      </c>
      <c r="L48" s="67"/>
      <c r="M48" s="68"/>
      <c r="N48" s="68"/>
      <c r="O48" s="68"/>
      <c r="P48" s="68"/>
    </row>
    <row r="49" spans="3:16" x14ac:dyDescent="0.3">
      <c r="C49" s="63"/>
      <c r="D49" s="81" t="s">
        <v>138</v>
      </c>
      <c r="E49" s="73"/>
      <c r="F49" s="82"/>
      <c r="G49" s="52"/>
      <c r="H49" s="52"/>
      <c r="I49" s="52"/>
      <c r="J49" s="62"/>
      <c r="K49" s="61"/>
      <c r="L49" s="67"/>
      <c r="M49" s="68"/>
      <c r="N49" s="68"/>
      <c r="O49" s="68"/>
      <c r="P49" s="68"/>
    </row>
    <row r="50" spans="3:16" x14ac:dyDescent="0.3">
      <c r="C50" s="63"/>
      <c r="D50" s="80" t="s">
        <v>169</v>
      </c>
      <c r="E50" s="90" t="s">
        <v>13</v>
      </c>
      <c r="F50" s="66">
        <v>1</v>
      </c>
      <c r="G50" s="67">
        <f>5.45+8.5+10.2+(11*0.95)+1.2</f>
        <v>35.799999999999997</v>
      </c>
      <c r="H50" s="67"/>
      <c r="I50" s="67"/>
      <c r="J50" s="66">
        <v>1</v>
      </c>
      <c r="K50" s="67">
        <f>F50*J50*G50</f>
        <v>35.799999999999997</v>
      </c>
      <c r="L50" s="67"/>
      <c r="M50" s="68"/>
      <c r="N50" s="68"/>
      <c r="O50" s="68"/>
      <c r="P50" s="68"/>
    </row>
    <row r="51" spans="3:16" x14ac:dyDescent="0.3">
      <c r="C51" s="286"/>
      <c r="D51" s="80" t="s">
        <v>170</v>
      </c>
      <c r="E51" s="90" t="s">
        <v>13</v>
      </c>
      <c r="F51" s="66">
        <f>6+13*4</f>
        <v>58</v>
      </c>
      <c r="G51" s="67">
        <v>1.2</v>
      </c>
      <c r="H51" s="67"/>
      <c r="I51" s="67"/>
      <c r="J51" s="66">
        <v>1</v>
      </c>
      <c r="K51" s="67">
        <f>F51*J51*G51</f>
        <v>69.599999999999994</v>
      </c>
      <c r="L51" s="67"/>
      <c r="M51" s="68"/>
      <c r="N51" s="68"/>
      <c r="O51" s="68"/>
      <c r="P51" s="68"/>
    </row>
    <row r="52" spans="3:16" x14ac:dyDescent="0.3">
      <c r="C52" s="48"/>
      <c r="D52" s="80" t="s">
        <v>168</v>
      </c>
      <c r="E52" s="90" t="s">
        <v>13</v>
      </c>
      <c r="F52" s="66">
        <v>7</v>
      </c>
      <c r="G52" s="67">
        <v>1.8</v>
      </c>
      <c r="H52" s="67"/>
      <c r="I52" s="67"/>
      <c r="J52" s="66">
        <v>1</v>
      </c>
      <c r="K52" s="67">
        <f>F52*J52*G52</f>
        <v>12.6</v>
      </c>
      <c r="L52" s="67"/>
      <c r="M52" s="68"/>
      <c r="N52" s="68"/>
      <c r="O52" s="68"/>
      <c r="P52" s="67"/>
    </row>
    <row r="53" spans="3:16" x14ac:dyDescent="0.3">
      <c r="C53" s="48"/>
      <c r="D53" s="75"/>
      <c r="E53" s="73"/>
      <c r="F53" s="82"/>
      <c r="G53" s="52"/>
      <c r="H53" s="52"/>
      <c r="I53" s="52"/>
      <c r="J53" s="62"/>
      <c r="K53" s="61"/>
      <c r="L53" s="67"/>
      <c r="M53" s="68"/>
      <c r="N53" s="68"/>
      <c r="O53" s="68"/>
      <c r="P53" s="68"/>
    </row>
    <row r="54" spans="3:16" x14ac:dyDescent="0.3">
      <c r="C54" s="48"/>
      <c r="D54" s="75" t="s">
        <v>127</v>
      </c>
      <c r="E54" s="73"/>
      <c r="F54" s="82"/>
      <c r="G54" s="52"/>
      <c r="H54" s="52"/>
      <c r="I54" s="52"/>
      <c r="J54" s="62"/>
      <c r="K54" s="61"/>
      <c r="L54" s="67"/>
      <c r="M54" s="68"/>
      <c r="N54" s="68"/>
      <c r="O54" s="68"/>
      <c r="P54" s="68"/>
    </row>
    <row r="55" spans="3:16" x14ac:dyDescent="0.3">
      <c r="C55" s="48"/>
      <c r="D55" s="81" t="s">
        <v>115</v>
      </c>
      <c r="E55" s="73"/>
      <c r="F55" s="82"/>
      <c r="G55" s="52"/>
      <c r="H55" s="52"/>
      <c r="I55" s="52"/>
      <c r="J55" s="62"/>
      <c r="K55" s="61"/>
      <c r="L55" s="67"/>
      <c r="M55" s="68"/>
      <c r="N55" s="68"/>
      <c r="O55" s="68"/>
      <c r="P55" s="68"/>
    </row>
    <row r="56" spans="3:16" x14ac:dyDescent="0.3">
      <c r="C56" s="48"/>
      <c r="D56" s="80" t="s">
        <v>277</v>
      </c>
      <c r="E56" s="90" t="s">
        <v>13</v>
      </c>
      <c r="F56" s="66">
        <v>1</v>
      </c>
      <c r="G56" s="67">
        <v>42.750000000000007</v>
      </c>
      <c r="H56" s="67"/>
      <c r="I56" s="67"/>
      <c r="J56" s="66">
        <v>1</v>
      </c>
      <c r="K56" s="67">
        <f>F56*J56*G56</f>
        <v>42.750000000000007</v>
      </c>
      <c r="L56" s="67"/>
      <c r="M56" s="68"/>
      <c r="N56" s="68"/>
      <c r="O56" s="68"/>
      <c r="P56" s="68"/>
    </row>
    <row r="57" spans="3:16" x14ac:dyDescent="0.3">
      <c r="C57" s="48"/>
      <c r="D57" s="80" t="s">
        <v>277</v>
      </c>
      <c r="E57" s="90" t="s">
        <v>13</v>
      </c>
      <c r="F57" s="66">
        <v>1</v>
      </c>
      <c r="G57" s="67">
        <v>8.6999999999999993</v>
      </c>
      <c r="H57" s="67"/>
      <c r="I57" s="67"/>
      <c r="J57" s="66">
        <v>1</v>
      </c>
      <c r="K57" s="67">
        <f>F57*J57*G57</f>
        <v>8.6999999999999993</v>
      </c>
      <c r="L57" s="67"/>
      <c r="M57" s="68"/>
      <c r="N57" s="68"/>
      <c r="O57" s="68"/>
      <c r="P57" s="68"/>
    </row>
    <row r="58" spans="3:16" x14ac:dyDescent="0.3">
      <c r="C58" s="48"/>
      <c r="D58" s="80" t="s">
        <v>179</v>
      </c>
      <c r="E58" s="90" t="s">
        <v>13</v>
      </c>
      <c r="F58" s="66">
        <v>29</v>
      </c>
      <c r="G58" s="67"/>
      <c r="H58" s="67"/>
      <c r="I58" s="67">
        <v>0.1</v>
      </c>
      <c r="J58" s="66">
        <v>1</v>
      </c>
      <c r="K58" s="67">
        <f>F58*J58*I58</f>
        <v>2.9000000000000004</v>
      </c>
      <c r="L58" s="67"/>
      <c r="M58" s="68"/>
      <c r="N58" s="68"/>
      <c r="O58" s="68"/>
      <c r="P58" s="68"/>
    </row>
    <row r="59" spans="3:16" x14ac:dyDescent="0.3">
      <c r="C59" s="48"/>
      <c r="D59" s="80" t="s">
        <v>206</v>
      </c>
      <c r="E59" s="90" t="s">
        <v>13</v>
      </c>
      <c r="F59" s="66">
        <v>1</v>
      </c>
      <c r="G59" s="67">
        <v>45.2</v>
      </c>
      <c r="H59" s="67"/>
      <c r="I59" s="67"/>
      <c r="J59" s="66">
        <v>1</v>
      </c>
      <c r="K59" s="67">
        <f>F59*J59*G59</f>
        <v>45.2</v>
      </c>
      <c r="L59" s="67"/>
      <c r="M59" s="68"/>
      <c r="N59" s="68"/>
      <c r="O59" s="68"/>
      <c r="P59" s="68"/>
    </row>
    <row r="60" spans="3:16" x14ac:dyDescent="0.3">
      <c r="C60" s="48"/>
      <c r="D60" s="80" t="s">
        <v>179</v>
      </c>
      <c r="E60" s="90" t="s">
        <v>13</v>
      </c>
      <c r="F60" s="66">
        <v>24</v>
      </c>
      <c r="G60" s="67"/>
      <c r="H60" s="67"/>
      <c r="I60" s="67">
        <v>0.1</v>
      </c>
      <c r="J60" s="66">
        <v>1</v>
      </c>
      <c r="K60" s="67">
        <f>F60*J60*I60</f>
        <v>2.4000000000000004</v>
      </c>
      <c r="L60" s="67"/>
      <c r="M60" s="68"/>
      <c r="N60" s="68"/>
      <c r="O60" s="68"/>
      <c r="P60" s="68"/>
    </row>
    <row r="61" spans="3:16" x14ac:dyDescent="0.3">
      <c r="C61" s="48"/>
      <c r="D61" s="81" t="s">
        <v>139</v>
      </c>
      <c r="E61" s="73"/>
      <c r="F61" s="82"/>
      <c r="G61" s="52"/>
      <c r="H61" s="52"/>
      <c r="I61" s="52"/>
      <c r="J61" s="62"/>
      <c r="K61" s="61"/>
      <c r="L61" s="67"/>
      <c r="M61" s="68"/>
      <c r="N61" s="68"/>
      <c r="O61" s="68"/>
      <c r="P61" s="68"/>
    </row>
    <row r="62" spans="3:16" x14ac:dyDescent="0.3">
      <c r="C62" s="48"/>
      <c r="D62" s="80" t="s">
        <v>278</v>
      </c>
      <c r="E62" s="90" t="s">
        <v>13</v>
      </c>
      <c r="F62" s="66">
        <v>1</v>
      </c>
      <c r="G62" s="67">
        <v>34.230000000000004</v>
      </c>
      <c r="H62" s="67"/>
      <c r="I62" s="67"/>
      <c r="J62" s="66">
        <v>1</v>
      </c>
      <c r="K62" s="67">
        <f>F62*J62*G62</f>
        <v>34.230000000000004</v>
      </c>
      <c r="L62" s="67"/>
      <c r="M62" s="68"/>
      <c r="N62" s="68"/>
      <c r="O62" s="68"/>
      <c r="P62" s="68"/>
    </row>
    <row r="63" spans="3:16" x14ac:dyDescent="0.3">
      <c r="C63" s="48"/>
      <c r="D63" s="80" t="s">
        <v>179</v>
      </c>
      <c r="E63" s="90" t="s">
        <v>13</v>
      </c>
      <c r="F63" s="66">
        <v>18</v>
      </c>
      <c r="G63" s="67"/>
      <c r="H63" s="67"/>
      <c r="I63" s="67">
        <v>0.1</v>
      </c>
      <c r="J63" s="66">
        <v>1</v>
      </c>
      <c r="K63" s="67">
        <f>F63*J63*I63</f>
        <v>1.8</v>
      </c>
      <c r="L63" s="67"/>
      <c r="M63" s="68"/>
      <c r="N63" s="68"/>
      <c r="O63" s="68"/>
      <c r="P63" s="68"/>
    </row>
    <row r="64" spans="3:16" x14ac:dyDescent="0.3">
      <c r="C64" s="48"/>
      <c r="D64" s="80" t="s">
        <v>195</v>
      </c>
      <c r="E64" s="90" t="s">
        <v>13</v>
      </c>
      <c r="F64" s="66">
        <v>1</v>
      </c>
      <c r="G64" s="67">
        <v>22.68</v>
      </c>
      <c r="H64" s="67"/>
      <c r="I64" s="67"/>
      <c r="J64" s="66">
        <v>1</v>
      </c>
      <c r="K64" s="67">
        <f>F64*J64*G64</f>
        <v>22.68</v>
      </c>
      <c r="L64" s="67"/>
      <c r="M64" s="68"/>
      <c r="N64" s="68"/>
      <c r="O64" s="68"/>
      <c r="P64" s="68"/>
    </row>
    <row r="65" spans="3:16" x14ac:dyDescent="0.3">
      <c r="C65" s="48"/>
      <c r="D65" s="80" t="s">
        <v>179</v>
      </c>
      <c r="E65" s="90" t="s">
        <v>13</v>
      </c>
      <c r="F65" s="66">
        <v>9</v>
      </c>
      <c r="G65" s="67"/>
      <c r="H65" s="67"/>
      <c r="I65" s="67">
        <v>0.1</v>
      </c>
      <c r="J65" s="66">
        <v>1</v>
      </c>
      <c r="K65" s="67">
        <f>F65*J65*I65</f>
        <v>0.9</v>
      </c>
      <c r="L65" s="67"/>
      <c r="M65" s="68"/>
      <c r="N65" s="68"/>
      <c r="O65" s="68"/>
      <c r="P65" s="68"/>
    </row>
    <row r="66" spans="3:16" x14ac:dyDescent="0.3">
      <c r="C66" s="48"/>
      <c r="D66" s="80" t="s">
        <v>279</v>
      </c>
      <c r="E66" s="90" t="s">
        <v>13</v>
      </c>
      <c r="F66" s="66">
        <v>1</v>
      </c>
      <c r="G66" s="67">
        <v>34.130000000000003</v>
      </c>
      <c r="H66" s="67"/>
      <c r="I66" s="67"/>
      <c r="J66" s="66">
        <v>1</v>
      </c>
      <c r="K66" s="67">
        <f>F66*J66*G66</f>
        <v>34.130000000000003</v>
      </c>
      <c r="L66" s="67"/>
      <c r="M66" s="68"/>
      <c r="N66" s="68"/>
      <c r="O66" s="68"/>
      <c r="P66" s="68"/>
    </row>
    <row r="67" spans="3:16" x14ac:dyDescent="0.3">
      <c r="C67" s="48"/>
      <c r="D67" s="80" t="s">
        <v>179</v>
      </c>
      <c r="E67" s="90" t="s">
        <v>13</v>
      </c>
      <c r="F67" s="66">
        <v>18</v>
      </c>
      <c r="G67" s="67"/>
      <c r="H67" s="67"/>
      <c r="I67" s="67">
        <v>0.1</v>
      </c>
      <c r="J67" s="66">
        <v>1</v>
      </c>
      <c r="K67" s="67">
        <f>F67*J67*I67</f>
        <v>1.8</v>
      </c>
      <c r="L67" s="67"/>
      <c r="M67" s="68"/>
      <c r="N67" s="68"/>
      <c r="O67" s="68"/>
      <c r="P67" s="68"/>
    </row>
    <row r="68" spans="3:16" x14ac:dyDescent="0.3">
      <c r="C68" s="48"/>
      <c r="D68" s="80" t="s">
        <v>280</v>
      </c>
      <c r="E68" s="90" t="s">
        <v>13</v>
      </c>
      <c r="F68" s="66">
        <v>1</v>
      </c>
      <c r="G68" s="67">
        <v>23.220000000000002</v>
      </c>
      <c r="H68" s="67"/>
      <c r="I68" s="67"/>
      <c r="J68" s="66">
        <v>1</v>
      </c>
      <c r="K68" s="67">
        <f>F68*J68*G68</f>
        <v>23.220000000000002</v>
      </c>
      <c r="L68" s="67"/>
      <c r="M68" s="68"/>
      <c r="N68" s="68"/>
      <c r="O68" s="68"/>
      <c r="P68" s="68"/>
    </row>
    <row r="69" spans="3:16" x14ac:dyDescent="0.3">
      <c r="C69" s="48"/>
      <c r="D69" s="80" t="s">
        <v>179</v>
      </c>
      <c r="E69" s="90" t="s">
        <v>13</v>
      </c>
      <c r="F69" s="66">
        <v>11</v>
      </c>
      <c r="G69" s="67"/>
      <c r="H69" s="67"/>
      <c r="I69" s="67">
        <v>0.1</v>
      </c>
      <c r="J69" s="66">
        <v>1</v>
      </c>
      <c r="K69" s="67">
        <f>F69*J69*I69</f>
        <v>1.1000000000000001</v>
      </c>
      <c r="L69" s="67"/>
      <c r="M69" s="68"/>
      <c r="N69" s="68"/>
      <c r="O69" s="68"/>
      <c r="P69" s="68"/>
    </row>
    <row r="70" spans="3:16" x14ac:dyDescent="0.3">
      <c r="C70" s="48"/>
      <c r="D70" s="81" t="s">
        <v>138</v>
      </c>
      <c r="E70" s="73"/>
      <c r="F70" s="82"/>
      <c r="G70" s="52"/>
      <c r="H70" s="52"/>
      <c r="I70" s="52"/>
      <c r="J70" s="62"/>
      <c r="K70" s="61"/>
      <c r="L70" s="67"/>
      <c r="M70" s="68"/>
      <c r="N70" s="68"/>
      <c r="O70" s="68"/>
      <c r="P70" s="68"/>
    </row>
    <row r="71" spans="3:16" x14ac:dyDescent="0.3">
      <c r="C71" s="48"/>
      <c r="D71" s="80" t="s">
        <v>281</v>
      </c>
      <c r="E71" s="90" t="s">
        <v>13</v>
      </c>
      <c r="F71" s="66">
        <v>1</v>
      </c>
      <c r="G71" s="67">
        <v>79.029999999999987</v>
      </c>
      <c r="H71" s="67"/>
      <c r="I71" s="67"/>
      <c r="J71" s="66">
        <v>1</v>
      </c>
      <c r="K71" s="67">
        <f>F71*J71*G71</f>
        <v>79.029999999999987</v>
      </c>
      <c r="L71" s="67"/>
      <c r="M71" s="68"/>
      <c r="N71" s="68"/>
      <c r="O71" s="68"/>
      <c r="P71" s="68"/>
    </row>
    <row r="72" spans="3:16" x14ac:dyDescent="0.3">
      <c r="C72" s="48"/>
      <c r="D72" s="80" t="s">
        <v>179</v>
      </c>
      <c r="E72" s="90" t="s">
        <v>13</v>
      </c>
      <c r="F72" s="66">
        <v>73</v>
      </c>
      <c r="G72" s="67"/>
      <c r="H72" s="67"/>
      <c r="I72" s="67">
        <v>0.1</v>
      </c>
      <c r="J72" s="66">
        <v>1</v>
      </c>
      <c r="K72" s="67">
        <f>F72*J72*I72</f>
        <v>7.3000000000000007</v>
      </c>
      <c r="L72" s="67"/>
      <c r="M72" s="68"/>
      <c r="N72" s="68"/>
      <c r="O72" s="68"/>
      <c r="P72" s="68"/>
    </row>
    <row r="73" spans="3:16" x14ac:dyDescent="0.3">
      <c r="C73" s="48"/>
      <c r="D73" s="75"/>
      <c r="E73" s="73"/>
      <c r="F73" s="82"/>
      <c r="G73" s="52"/>
      <c r="H73" s="52"/>
      <c r="I73" s="52"/>
      <c r="J73" s="62"/>
      <c r="K73" s="61"/>
      <c r="L73" s="67"/>
      <c r="M73" s="68"/>
      <c r="N73" s="68"/>
      <c r="O73" s="68"/>
      <c r="P73" s="68"/>
    </row>
    <row r="74" spans="3:16" x14ac:dyDescent="0.3">
      <c r="C74" s="48"/>
      <c r="D74" s="75" t="s">
        <v>182</v>
      </c>
      <c r="E74" s="73"/>
      <c r="F74" s="82"/>
      <c r="G74" s="52"/>
      <c r="H74" s="52"/>
      <c r="I74" s="52"/>
      <c r="J74" s="62"/>
      <c r="K74" s="61"/>
      <c r="L74" s="67"/>
      <c r="M74" s="68"/>
      <c r="N74" s="68"/>
      <c r="O74" s="68"/>
      <c r="P74" s="68"/>
    </row>
    <row r="75" spans="3:16" x14ac:dyDescent="0.3">
      <c r="C75" s="48"/>
      <c r="D75" s="81" t="s">
        <v>115</v>
      </c>
      <c r="E75" s="73"/>
      <c r="F75" s="82"/>
      <c r="G75" s="52"/>
      <c r="H75" s="52"/>
      <c r="I75" s="52"/>
      <c r="J75" s="62"/>
      <c r="K75" s="61"/>
      <c r="L75" s="67"/>
      <c r="M75" s="68"/>
      <c r="N75" s="68"/>
      <c r="O75" s="68"/>
      <c r="P75" s="68"/>
    </row>
    <row r="76" spans="3:16" x14ac:dyDescent="0.3">
      <c r="C76" s="48"/>
      <c r="D76" s="80" t="s">
        <v>277</v>
      </c>
      <c r="E76" s="90" t="s">
        <v>13</v>
      </c>
      <c r="F76" s="66">
        <v>1</v>
      </c>
      <c r="G76" s="67">
        <v>2.1</v>
      </c>
      <c r="H76" s="67"/>
      <c r="I76" s="67"/>
      <c r="J76" s="66">
        <v>1</v>
      </c>
      <c r="K76" s="67">
        <f>F76*J76*G76</f>
        <v>2.1</v>
      </c>
      <c r="L76" s="67"/>
      <c r="M76" s="68"/>
      <c r="N76" s="68"/>
      <c r="O76" s="68"/>
      <c r="P76" s="68"/>
    </row>
    <row r="77" spans="3:16" x14ac:dyDescent="0.3">
      <c r="C77" s="63"/>
      <c r="D77" s="80"/>
      <c r="E77" s="90" t="s">
        <v>13</v>
      </c>
      <c r="F77" s="66">
        <v>1</v>
      </c>
      <c r="G77" s="67">
        <v>0.6</v>
      </c>
      <c r="H77" s="67"/>
      <c r="I77" s="67"/>
      <c r="J77" s="66">
        <v>1</v>
      </c>
      <c r="K77" s="67">
        <f>F77*J77*G77</f>
        <v>0.6</v>
      </c>
      <c r="L77" s="67"/>
      <c r="M77" s="68"/>
      <c r="N77" s="68"/>
      <c r="O77" s="68"/>
      <c r="P77" s="68"/>
    </row>
    <row r="78" spans="3:16" x14ac:dyDescent="0.3">
      <c r="C78" s="48"/>
      <c r="D78" s="80"/>
      <c r="E78" s="90" t="s">
        <v>13</v>
      </c>
      <c r="F78" s="66">
        <v>1</v>
      </c>
      <c r="G78" s="67">
        <v>4.0999999999999996</v>
      </c>
      <c r="H78" s="67"/>
      <c r="I78" s="67"/>
      <c r="J78" s="66">
        <v>1</v>
      </c>
      <c r="K78" s="67">
        <f t="shared" ref="K78:K89" si="4">F78*J78*G78</f>
        <v>4.0999999999999996</v>
      </c>
      <c r="L78" s="61"/>
      <c r="M78" s="61"/>
      <c r="N78" s="61"/>
      <c r="O78" s="61"/>
      <c r="P78" s="61"/>
    </row>
    <row r="79" spans="3:16" x14ac:dyDescent="0.3">
      <c r="C79" s="97"/>
      <c r="D79" s="80"/>
      <c r="E79" s="90" t="s">
        <v>13</v>
      </c>
      <c r="F79" s="66">
        <v>2</v>
      </c>
      <c r="G79" s="67">
        <v>0.6</v>
      </c>
      <c r="H79" s="67"/>
      <c r="I79" s="67"/>
      <c r="J79" s="66">
        <v>1</v>
      </c>
      <c r="K79" s="67">
        <f t="shared" si="4"/>
        <v>1.2</v>
      </c>
      <c r="L79" s="100"/>
      <c r="M79" s="100"/>
      <c r="N79" s="100"/>
      <c r="O79" s="100"/>
      <c r="P79" s="100"/>
    </row>
    <row r="80" spans="3:16" x14ac:dyDescent="0.3">
      <c r="C80" s="48"/>
      <c r="D80" s="80"/>
      <c r="E80" s="90" t="s">
        <v>13</v>
      </c>
      <c r="F80" s="66">
        <v>5</v>
      </c>
      <c r="G80" s="67">
        <v>4.8</v>
      </c>
      <c r="H80" s="67"/>
      <c r="I80" s="67"/>
      <c r="J80" s="66">
        <v>1</v>
      </c>
      <c r="K80" s="67">
        <f t="shared" si="4"/>
        <v>24</v>
      </c>
      <c r="L80" s="55"/>
      <c r="M80" s="55"/>
      <c r="N80" s="55"/>
      <c r="O80" s="55"/>
      <c r="P80" s="55"/>
    </row>
    <row r="81" spans="3:16" x14ac:dyDescent="0.3">
      <c r="C81" s="56"/>
      <c r="D81" s="80"/>
      <c r="E81" s="90" t="s">
        <v>13</v>
      </c>
      <c r="F81" s="66">
        <v>1</v>
      </c>
      <c r="G81" s="67">
        <v>3.85</v>
      </c>
      <c r="H81" s="67"/>
      <c r="I81" s="67"/>
      <c r="J81" s="66">
        <v>1</v>
      </c>
      <c r="K81" s="67">
        <f>F81*J81*G81</f>
        <v>3.85</v>
      </c>
      <c r="L81" s="61"/>
      <c r="M81" s="61"/>
      <c r="N81" s="61"/>
      <c r="O81" s="61"/>
      <c r="P81" s="61"/>
    </row>
    <row r="82" spans="3:16" x14ac:dyDescent="0.3">
      <c r="C82" s="63"/>
      <c r="D82" s="80"/>
      <c r="E82" s="90" t="s">
        <v>13</v>
      </c>
      <c r="F82" s="66">
        <v>1</v>
      </c>
      <c r="G82" s="67">
        <v>0.6</v>
      </c>
      <c r="H82" s="67"/>
      <c r="I82" s="67"/>
      <c r="J82" s="66">
        <v>1</v>
      </c>
      <c r="K82" s="67">
        <f>F82*J82*G82</f>
        <v>0.6</v>
      </c>
      <c r="L82" s="70"/>
      <c r="M82" s="68"/>
      <c r="N82" s="68"/>
      <c r="O82" s="68"/>
      <c r="P82" s="68"/>
    </row>
    <row r="83" spans="3:16" x14ac:dyDescent="0.3">
      <c r="C83" s="63"/>
      <c r="D83" s="80" t="s">
        <v>179</v>
      </c>
      <c r="E83" s="90" t="s">
        <v>13</v>
      </c>
      <c r="F83" s="66">
        <f>5*4</f>
        <v>20</v>
      </c>
      <c r="G83" s="67">
        <v>0.1</v>
      </c>
      <c r="H83" s="67"/>
      <c r="I83" s="67"/>
      <c r="J83" s="66">
        <v>2</v>
      </c>
      <c r="K83" s="67">
        <f t="shared" ref="K83:K85" si="5">F83*J83*G83</f>
        <v>4</v>
      </c>
      <c r="L83" s="70"/>
      <c r="M83" s="68"/>
      <c r="N83" s="68"/>
      <c r="O83" s="68"/>
      <c r="P83" s="68"/>
    </row>
    <row r="84" spans="3:16" x14ac:dyDescent="0.3">
      <c r="C84" s="63"/>
      <c r="D84" s="80"/>
      <c r="E84" s="90" t="s">
        <v>13</v>
      </c>
      <c r="F84" s="66">
        <v>5</v>
      </c>
      <c r="G84" s="67">
        <v>0.85</v>
      </c>
      <c r="H84" s="67"/>
      <c r="I84" s="67"/>
      <c r="J84" s="66">
        <v>1</v>
      </c>
      <c r="K84" s="67">
        <f t="shared" si="5"/>
        <v>4.25</v>
      </c>
      <c r="L84" s="70"/>
      <c r="M84" s="68"/>
      <c r="N84" s="68"/>
      <c r="O84" s="68"/>
      <c r="P84" s="68"/>
    </row>
    <row r="85" spans="3:16" x14ac:dyDescent="0.3">
      <c r="C85" s="56"/>
      <c r="D85" s="80"/>
      <c r="E85" s="90" t="s">
        <v>13</v>
      </c>
      <c r="F85" s="66">
        <f>5*4</f>
        <v>20</v>
      </c>
      <c r="G85" s="67">
        <v>0.65</v>
      </c>
      <c r="H85" s="67"/>
      <c r="I85" s="67"/>
      <c r="J85" s="66">
        <v>1</v>
      </c>
      <c r="K85" s="67">
        <f t="shared" si="5"/>
        <v>13</v>
      </c>
      <c r="L85" s="71"/>
      <c r="M85" s="61"/>
      <c r="N85" s="61"/>
      <c r="O85" s="61"/>
      <c r="P85" s="61"/>
    </row>
    <row r="86" spans="3:16" x14ac:dyDescent="0.3">
      <c r="C86" s="56"/>
      <c r="D86" s="80" t="s">
        <v>206</v>
      </c>
      <c r="E86" s="90" t="s">
        <v>13</v>
      </c>
      <c r="F86" s="66">
        <v>1</v>
      </c>
      <c r="G86" s="67">
        <v>6.4</v>
      </c>
      <c r="H86" s="67"/>
      <c r="I86" s="67"/>
      <c r="J86" s="66">
        <v>1</v>
      </c>
      <c r="K86" s="67">
        <f>F86*J86*G86</f>
        <v>6.4</v>
      </c>
      <c r="L86" s="61"/>
      <c r="M86" s="61"/>
      <c r="N86" s="61"/>
      <c r="O86" s="61"/>
      <c r="P86" s="61"/>
    </row>
    <row r="87" spans="3:16" x14ac:dyDescent="0.3">
      <c r="C87" s="63"/>
      <c r="D87" s="80"/>
      <c r="E87" s="90" t="s">
        <v>13</v>
      </c>
      <c r="F87" s="66">
        <v>2</v>
      </c>
      <c r="G87" s="67">
        <v>0.15</v>
      </c>
      <c r="H87" s="67"/>
      <c r="I87" s="67"/>
      <c r="J87" s="66">
        <v>1</v>
      </c>
      <c r="K87" s="67">
        <f t="shared" si="4"/>
        <v>0.3</v>
      </c>
      <c r="L87" s="70"/>
      <c r="M87" s="68"/>
      <c r="N87" s="68"/>
      <c r="O87" s="68"/>
      <c r="P87" s="68"/>
    </row>
    <row r="88" spans="3:16" x14ac:dyDescent="0.3">
      <c r="C88" s="63"/>
      <c r="D88" s="80" t="s">
        <v>179</v>
      </c>
      <c r="E88" s="90" t="s">
        <v>13</v>
      </c>
      <c r="F88" s="66">
        <v>2</v>
      </c>
      <c r="G88" s="67">
        <v>0.85</v>
      </c>
      <c r="H88" s="67"/>
      <c r="I88" s="67"/>
      <c r="J88" s="66">
        <v>1</v>
      </c>
      <c r="K88" s="67">
        <f t="shared" si="4"/>
        <v>1.7</v>
      </c>
      <c r="L88" s="70"/>
      <c r="M88" s="68"/>
      <c r="N88" s="68"/>
      <c r="O88" s="68"/>
      <c r="P88" s="68"/>
    </row>
    <row r="89" spans="3:16" x14ac:dyDescent="0.3">
      <c r="C89" s="63"/>
      <c r="D89" s="80"/>
      <c r="E89" s="90" t="s">
        <v>13</v>
      </c>
      <c r="F89" s="66">
        <v>14</v>
      </c>
      <c r="G89" s="67">
        <v>0.65</v>
      </c>
      <c r="H89" s="67"/>
      <c r="I89" s="67"/>
      <c r="J89" s="66">
        <v>1</v>
      </c>
      <c r="K89" s="67">
        <f t="shared" si="4"/>
        <v>9.1</v>
      </c>
      <c r="L89" s="70"/>
      <c r="M89" s="68"/>
      <c r="N89" s="68"/>
      <c r="O89" s="68"/>
      <c r="P89" s="68"/>
    </row>
    <row r="90" spans="3:16" x14ac:dyDescent="0.3">
      <c r="C90" s="63"/>
      <c r="D90" s="81" t="s">
        <v>139</v>
      </c>
      <c r="E90" s="73"/>
      <c r="F90" s="82"/>
      <c r="G90" s="52"/>
      <c r="H90" s="52"/>
      <c r="I90" s="52"/>
      <c r="J90" s="62"/>
      <c r="K90" s="61"/>
      <c r="L90" s="70"/>
      <c r="M90" s="68"/>
      <c r="N90" s="68"/>
      <c r="O90" s="68"/>
      <c r="P90" s="68"/>
    </row>
    <row r="91" spans="3:16" x14ac:dyDescent="0.3">
      <c r="C91" s="63"/>
      <c r="D91" s="80" t="s">
        <v>280</v>
      </c>
      <c r="E91" s="90" t="s">
        <v>13</v>
      </c>
      <c r="F91" s="66">
        <v>1</v>
      </c>
      <c r="G91" s="67">
        <v>0.9</v>
      </c>
      <c r="H91" s="67"/>
      <c r="I91" s="67"/>
      <c r="J91" s="66">
        <v>1</v>
      </c>
      <c r="K91" s="67">
        <f>F91*J91*G91</f>
        <v>0.9</v>
      </c>
      <c r="L91" s="70"/>
      <c r="M91" s="68"/>
      <c r="N91" s="68"/>
      <c r="O91" s="68"/>
      <c r="P91" s="68"/>
    </row>
    <row r="92" spans="3:16" x14ac:dyDescent="0.3">
      <c r="C92" s="56"/>
      <c r="D92" s="80"/>
      <c r="E92" s="90" t="s">
        <v>13</v>
      </c>
      <c r="F92" s="66">
        <v>2</v>
      </c>
      <c r="G92" s="67">
        <v>0.6</v>
      </c>
      <c r="H92" s="67"/>
      <c r="I92" s="67"/>
      <c r="J92" s="66">
        <v>1</v>
      </c>
      <c r="K92" s="67">
        <f>F92*J92*G92</f>
        <v>1.2</v>
      </c>
      <c r="L92" s="71"/>
      <c r="M92" s="61"/>
      <c r="N92" s="61"/>
      <c r="O92" s="61"/>
      <c r="P92" s="61"/>
    </row>
    <row r="93" spans="3:16" x14ac:dyDescent="0.3">
      <c r="C93" s="56"/>
      <c r="D93" s="80" t="s">
        <v>179</v>
      </c>
      <c r="E93" s="90" t="s">
        <v>13</v>
      </c>
      <c r="F93" s="66">
        <v>2</v>
      </c>
      <c r="G93" s="67">
        <v>0.85</v>
      </c>
      <c r="H93" s="67"/>
      <c r="I93" s="67"/>
      <c r="J93" s="66">
        <v>1</v>
      </c>
      <c r="K93" s="67">
        <f t="shared" ref="K93:K94" si="6">F93*J93*G93</f>
        <v>1.7</v>
      </c>
      <c r="L93" s="61"/>
      <c r="M93" s="61"/>
      <c r="N93" s="61"/>
      <c r="O93" s="61"/>
      <c r="P93" s="61"/>
    </row>
    <row r="94" spans="3:16" x14ac:dyDescent="0.3">
      <c r="C94" s="63"/>
      <c r="D94" s="80"/>
      <c r="E94" s="90" t="s">
        <v>13</v>
      </c>
      <c r="F94" s="66">
        <v>2</v>
      </c>
      <c r="G94" s="67">
        <v>0.65</v>
      </c>
      <c r="H94" s="67"/>
      <c r="I94" s="67"/>
      <c r="J94" s="66">
        <v>1</v>
      </c>
      <c r="K94" s="67">
        <f t="shared" si="6"/>
        <v>1.3</v>
      </c>
      <c r="L94" s="70"/>
      <c r="M94" s="68"/>
      <c r="N94" s="68"/>
      <c r="O94" s="68"/>
      <c r="P94" s="68"/>
    </row>
    <row r="95" spans="3:16" x14ac:dyDescent="0.3">
      <c r="C95" s="63"/>
      <c r="D95" s="81" t="s">
        <v>138</v>
      </c>
      <c r="E95" s="73"/>
      <c r="F95" s="82"/>
      <c r="G95" s="52"/>
      <c r="H95" s="52"/>
      <c r="I95" s="52"/>
      <c r="J95" s="62"/>
      <c r="K95" s="61"/>
      <c r="L95" s="70"/>
      <c r="M95" s="68"/>
      <c r="N95" s="68"/>
      <c r="O95" s="68"/>
      <c r="P95" s="68"/>
    </row>
    <row r="96" spans="3:16" x14ac:dyDescent="0.3">
      <c r="C96" s="63"/>
      <c r="D96" s="80" t="s">
        <v>281</v>
      </c>
      <c r="E96" s="90" t="s">
        <v>13</v>
      </c>
      <c r="F96" s="66">
        <v>1</v>
      </c>
      <c r="G96" s="67">
        <v>1.95</v>
      </c>
      <c r="H96" s="67"/>
      <c r="I96" s="67"/>
      <c r="J96" s="66">
        <v>1</v>
      </c>
      <c r="K96" s="67">
        <f>F96*J96*G96</f>
        <v>1.95</v>
      </c>
      <c r="L96" s="70"/>
      <c r="M96" s="68"/>
      <c r="N96" s="68"/>
      <c r="O96" s="68"/>
      <c r="P96" s="68"/>
    </row>
    <row r="97" spans="3:16" x14ac:dyDescent="0.3">
      <c r="C97" s="63"/>
      <c r="D97" s="80"/>
      <c r="E97" s="90" t="s">
        <v>13</v>
      </c>
      <c r="F97" s="66">
        <v>1</v>
      </c>
      <c r="G97" s="67">
        <v>0.6</v>
      </c>
      <c r="H97" s="67"/>
      <c r="I97" s="67"/>
      <c r="J97" s="66">
        <v>1</v>
      </c>
      <c r="K97" s="67">
        <f>F97*J97*G97</f>
        <v>0.6</v>
      </c>
      <c r="L97" s="70"/>
      <c r="M97" s="68"/>
      <c r="N97" s="68"/>
      <c r="O97" s="68"/>
      <c r="P97" s="68"/>
    </row>
    <row r="98" spans="3:16" x14ac:dyDescent="0.3">
      <c r="C98" s="63"/>
      <c r="D98" s="80" t="s">
        <v>179</v>
      </c>
      <c r="E98" s="90" t="s">
        <v>13</v>
      </c>
      <c r="F98" s="66">
        <v>1</v>
      </c>
      <c r="G98" s="67">
        <v>0.85</v>
      </c>
      <c r="H98" s="67"/>
      <c r="I98" s="67"/>
      <c r="J98" s="66">
        <v>1</v>
      </c>
      <c r="K98" s="67">
        <f t="shared" ref="K98:K99" si="7">F98*J98*G98</f>
        <v>0.85</v>
      </c>
      <c r="L98" s="70"/>
      <c r="M98" s="68"/>
      <c r="N98" s="68"/>
      <c r="O98" s="68"/>
      <c r="P98" s="68"/>
    </row>
    <row r="99" spans="3:16" x14ac:dyDescent="0.3">
      <c r="C99" s="63"/>
      <c r="D99" s="80"/>
      <c r="E99" s="90" t="s">
        <v>13</v>
      </c>
      <c r="F99" s="66">
        <v>4</v>
      </c>
      <c r="G99" s="67">
        <v>0.65</v>
      </c>
      <c r="H99" s="67"/>
      <c r="I99" s="67"/>
      <c r="J99" s="66">
        <v>1</v>
      </c>
      <c r="K99" s="67">
        <f t="shared" si="7"/>
        <v>2.6</v>
      </c>
      <c r="L99" s="70"/>
      <c r="M99" s="68"/>
      <c r="N99" s="68"/>
      <c r="O99" s="68"/>
      <c r="P99" s="68"/>
    </row>
    <row r="100" spans="3:16" x14ac:dyDescent="0.3">
      <c r="C100" s="63"/>
      <c r="D100" s="75"/>
      <c r="E100" s="73"/>
      <c r="F100" s="82"/>
      <c r="G100" s="52"/>
      <c r="H100" s="52"/>
      <c r="I100" s="52"/>
      <c r="J100" s="62"/>
      <c r="K100" s="61"/>
      <c r="L100" s="70"/>
      <c r="M100" s="68"/>
      <c r="N100" s="68"/>
      <c r="O100" s="68"/>
      <c r="P100" s="68"/>
    </row>
    <row r="101" spans="3:16" x14ac:dyDescent="0.3">
      <c r="C101" s="63"/>
      <c r="D101" s="75" t="s">
        <v>144</v>
      </c>
      <c r="E101" s="73"/>
      <c r="F101" s="82"/>
      <c r="G101" s="52"/>
      <c r="H101" s="52"/>
      <c r="I101" s="52"/>
      <c r="J101" s="62"/>
      <c r="K101" s="61"/>
      <c r="L101" s="70"/>
      <c r="M101" s="68"/>
      <c r="N101" s="68"/>
      <c r="O101" s="68"/>
      <c r="P101" s="68"/>
    </row>
    <row r="102" spans="3:16" x14ac:dyDescent="0.3">
      <c r="C102" s="63"/>
      <c r="D102" s="81" t="s">
        <v>115</v>
      </c>
      <c r="E102" s="73"/>
      <c r="F102" s="82"/>
      <c r="G102" s="52"/>
      <c r="H102" s="52"/>
      <c r="I102" s="52"/>
      <c r="J102" s="62"/>
      <c r="K102" s="61"/>
      <c r="L102" s="70"/>
      <c r="M102" s="68"/>
      <c r="N102" s="68"/>
      <c r="O102" s="68"/>
      <c r="P102" s="68"/>
    </row>
    <row r="103" spans="3:16" x14ac:dyDescent="0.3">
      <c r="C103" s="63"/>
      <c r="D103" s="80" t="s">
        <v>277</v>
      </c>
      <c r="E103" s="90" t="s">
        <v>13</v>
      </c>
      <c r="F103" s="66">
        <v>2</v>
      </c>
      <c r="G103" s="67">
        <v>0.95</v>
      </c>
      <c r="H103" s="67"/>
      <c r="I103" s="67"/>
      <c r="J103" s="66">
        <v>1</v>
      </c>
      <c r="K103" s="67">
        <f>F103*J103*G103</f>
        <v>1.9</v>
      </c>
      <c r="L103" s="70"/>
      <c r="M103" s="68"/>
      <c r="N103" s="68"/>
      <c r="O103" s="68"/>
      <c r="P103" s="68"/>
    </row>
    <row r="104" spans="3:16" x14ac:dyDescent="0.3">
      <c r="C104" s="63"/>
      <c r="D104" s="80"/>
      <c r="E104" s="65"/>
      <c r="F104" s="69"/>
      <c r="G104" s="67"/>
      <c r="H104" s="67"/>
      <c r="I104" s="67"/>
      <c r="J104" s="66"/>
      <c r="K104" s="68"/>
      <c r="L104" s="70"/>
      <c r="M104" s="68"/>
      <c r="N104" s="68"/>
      <c r="O104" s="68"/>
      <c r="P104" s="68"/>
    </row>
  </sheetData>
  <autoFilter ref="C16:P20" xr:uid="{00000000-0009-0000-0000-000009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etrado3"/>
  <dimension ref="A1:W993"/>
  <sheetViews>
    <sheetView view="pageBreakPreview" topLeftCell="A7" zoomScaleNormal="85" zoomScaleSheetLayoutView="100" workbookViewId="0">
      <selection activeCell="D152" sqref="D152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44140625" style="104" bestFit="1" customWidth="1"/>
    <col min="4" max="4" width="47.332031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109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136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0.199999999999999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185">
        <v>1</v>
      </c>
      <c r="D18" s="366" t="s">
        <v>136</v>
      </c>
      <c r="E18" s="367"/>
      <c r="F18" s="280"/>
      <c r="G18" s="281"/>
      <c r="H18" s="281"/>
      <c r="I18" s="281"/>
      <c r="J18" s="282"/>
      <c r="K18" s="186"/>
      <c r="L18" s="186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128"/>
      <c r="K19" s="129"/>
      <c r="L19" s="129"/>
      <c r="M19" s="129"/>
      <c r="N19" s="129"/>
      <c r="O19" s="129"/>
      <c r="P19" s="129"/>
    </row>
    <row r="20" spans="1:16" s="352" customFormat="1" x14ac:dyDescent="0.2">
      <c r="A20" s="345">
        <v>2</v>
      </c>
      <c r="B20" s="346"/>
      <c r="C20" s="147" t="s">
        <v>396</v>
      </c>
      <c r="D20" s="135" t="s">
        <v>18</v>
      </c>
      <c r="E20" s="347"/>
      <c r="F20" s="348"/>
      <c r="G20" s="349"/>
      <c r="H20" s="349"/>
      <c r="I20" s="349"/>
      <c r="J20" s="350"/>
      <c r="K20" s="351"/>
      <c r="L20" s="351"/>
      <c r="M20" s="351"/>
      <c r="N20" s="351"/>
      <c r="O20" s="351"/>
      <c r="P20" s="351"/>
    </row>
    <row r="21" spans="1:16" s="110" customFormat="1" x14ac:dyDescent="0.2">
      <c r="A21" s="107">
        <v>4</v>
      </c>
      <c r="B21" s="108"/>
      <c r="C21" s="136" t="s">
        <v>399</v>
      </c>
      <c r="D21" s="77" t="s">
        <v>148</v>
      </c>
      <c r="E21" s="50" t="s">
        <v>12</v>
      </c>
      <c r="F21" s="78"/>
      <c r="G21" s="53"/>
      <c r="H21" s="53"/>
      <c r="I21" s="53"/>
      <c r="J21" s="54"/>
      <c r="K21" s="55"/>
      <c r="L21" s="55"/>
      <c r="M21" s="55"/>
      <c r="N21" s="55"/>
      <c r="O21" s="55"/>
      <c r="P21" s="55">
        <f>SUM(L21:L83)</f>
        <v>138.485435</v>
      </c>
    </row>
    <row r="22" spans="1:16" s="150" customFormat="1" x14ac:dyDescent="0.2">
      <c r="A22" s="184"/>
      <c r="B22" s="149"/>
      <c r="C22" s="63"/>
      <c r="D22" s="368" t="s">
        <v>111</v>
      </c>
      <c r="E22" s="192"/>
      <c r="F22" s="369"/>
      <c r="G22" s="171"/>
      <c r="H22" s="195"/>
      <c r="I22" s="195"/>
      <c r="J22" s="342"/>
      <c r="K22" s="181"/>
      <c r="L22" s="181"/>
      <c r="M22" s="68"/>
      <c r="N22" s="68"/>
      <c r="O22" s="68"/>
      <c r="P22" s="68"/>
    </row>
    <row r="23" spans="1:16" s="150" customFormat="1" x14ac:dyDescent="0.2">
      <c r="A23" s="184"/>
      <c r="B23" s="149"/>
      <c r="C23" s="63"/>
      <c r="D23" s="370" t="s">
        <v>282</v>
      </c>
      <c r="E23" s="192" t="s">
        <v>12</v>
      </c>
      <c r="F23" s="193">
        <v>1</v>
      </c>
      <c r="G23" s="195"/>
      <c r="H23" s="195"/>
      <c r="I23" s="195">
        <v>3.1</v>
      </c>
      <c r="J23" s="342">
        <v>1</v>
      </c>
      <c r="K23" s="181">
        <v>0.5</v>
      </c>
      <c r="L23" s="181">
        <f>PRODUCT(J23*I23*F23)*K23</f>
        <v>1.55</v>
      </c>
      <c r="M23" s="68"/>
      <c r="N23" s="68"/>
      <c r="O23" s="68"/>
      <c r="P23" s="68"/>
    </row>
    <row r="24" spans="1:16" s="150" customFormat="1" x14ac:dyDescent="0.2">
      <c r="A24" s="184"/>
      <c r="B24" s="149"/>
      <c r="C24" s="63"/>
      <c r="D24" s="370" t="s">
        <v>283</v>
      </c>
      <c r="E24" s="192" t="s">
        <v>12</v>
      </c>
      <c r="F24" s="193">
        <v>1</v>
      </c>
      <c r="G24" s="195"/>
      <c r="H24" s="195"/>
      <c r="I24" s="195">
        <v>3.1</v>
      </c>
      <c r="J24" s="342">
        <v>1</v>
      </c>
      <c r="K24" s="181">
        <v>0.75</v>
      </c>
      <c r="L24" s="181">
        <f t="shared" ref="L24:L81" si="0">PRODUCT(J24*I24*F24)*K24</f>
        <v>2.3250000000000002</v>
      </c>
      <c r="M24" s="68"/>
      <c r="N24" s="68"/>
      <c r="O24" s="68"/>
      <c r="P24" s="68"/>
    </row>
    <row r="25" spans="1:16" s="150" customFormat="1" x14ac:dyDescent="0.2">
      <c r="A25" s="184"/>
      <c r="B25" s="149"/>
      <c r="C25" s="63"/>
      <c r="D25" s="370" t="s">
        <v>284</v>
      </c>
      <c r="E25" s="192" t="s">
        <v>12</v>
      </c>
      <c r="F25" s="193">
        <v>1</v>
      </c>
      <c r="G25" s="195"/>
      <c r="H25" s="195"/>
      <c r="I25" s="195">
        <v>2.2000000000000002</v>
      </c>
      <c r="J25" s="342">
        <v>1</v>
      </c>
      <c r="K25" s="181">
        <v>0.62829999999999997</v>
      </c>
      <c r="L25" s="181">
        <f t="shared" si="0"/>
        <v>1.38226</v>
      </c>
      <c r="M25" s="68"/>
      <c r="N25" s="68"/>
      <c r="O25" s="68"/>
      <c r="P25" s="68"/>
    </row>
    <row r="26" spans="1:16" s="150" customFormat="1" x14ac:dyDescent="0.2">
      <c r="A26" s="184"/>
      <c r="B26" s="149"/>
      <c r="C26" s="63"/>
      <c r="D26" s="370" t="s">
        <v>285</v>
      </c>
      <c r="E26" s="192" t="s">
        <v>12</v>
      </c>
      <c r="F26" s="193">
        <v>1</v>
      </c>
      <c r="G26" s="195"/>
      <c r="H26" s="195"/>
      <c r="I26" s="195">
        <v>2.2000000000000002</v>
      </c>
      <c r="J26" s="342">
        <v>1</v>
      </c>
      <c r="K26" s="181">
        <v>0.62829999999999997</v>
      </c>
      <c r="L26" s="181">
        <f t="shared" si="0"/>
        <v>1.38226</v>
      </c>
      <c r="M26" s="68"/>
      <c r="N26" s="68"/>
      <c r="O26" s="68"/>
      <c r="P26" s="68"/>
    </row>
    <row r="27" spans="1:16" s="150" customFormat="1" x14ac:dyDescent="0.2">
      <c r="A27" s="184"/>
      <c r="B27" s="149"/>
      <c r="C27" s="63"/>
      <c r="D27" s="370" t="s">
        <v>286</v>
      </c>
      <c r="E27" s="192" t="s">
        <v>12</v>
      </c>
      <c r="F27" s="193">
        <v>1</v>
      </c>
      <c r="G27" s="195"/>
      <c r="H27" s="195"/>
      <c r="I27" s="195">
        <v>2.4500000000000002</v>
      </c>
      <c r="J27" s="342">
        <v>1</v>
      </c>
      <c r="K27" s="181">
        <v>0.62829999999999997</v>
      </c>
      <c r="L27" s="181">
        <f t="shared" si="0"/>
        <v>1.5393350000000001</v>
      </c>
      <c r="M27" s="68"/>
      <c r="N27" s="68"/>
      <c r="O27" s="68"/>
      <c r="P27" s="68"/>
    </row>
    <row r="28" spans="1:16" s="150" customFormat="1" x14ac:dyDescent="0.2">
      <c r="A28" s="184"/>
      <c r="B28" s="149"/>
      <c r="C28" s="63"/>
      <c r="D28" s="370" t="s">
        <v>287</v>
      </c>
      <c r="E28" s="192" t="s">
        <v>12</v>
      </c>
      <c r="F28" s="193">
        <v>1</v>
      </c>
      <c r="G28" s="195"/>
      <c r="H28" s="195"/>
      <c r="I28" s="195">
        <v>2.66</v>
      </c>
      <c r="J28" s="342">
        <v>1</v>
      </c>
      <c r="K28" s="181">
        <v>0.62829999999999997</v>
      </c>
      <c r="L28" s="181">
        <f t="shared" si="0"/>
        <v>1.671278</v>
      </c>
      <c r="M28" s="68"/>
      <c r="N28" s="68"/>
      <c r="O28" s="68"/>
      <c r="P28" s="68"/>
    </row>
    <row r="29" spans="1:16" s="150" customFormat="1" x14ac:dyDescent="0.2">
      <c r="A29" s="184"/>
      <c r="B29" s="149"/>
      <c r="C29" s="63"/>
      <c r="D29" s="370" t="s">
        <v>288</v>
      </c>
      <c r="E29" s="192" t="s">
        <v>12</v>
      </c>
      <c r="F29" s="193">
        <v>1</v>
      </c>
      <c r="G29" s="195"/>
      <c r="H29" s="195"/>
      <c r="I29" s="195">
        <v>2.87</v>
      </c>
      <c r="J29" s="342">
        <v>1</v>
      </c>
      <c r="K29" s="181">
        <v>0.62829999999999997</v>
      </c>
      <c r="L29" s="181">
        <f t="shared" si="0"/>
        <v>1.803221</v>
      </c>
      <c r="M29" s="68"/>
      <c r="N29" s="68"/>
      <c r="O29" s="68"/>
      <c r="P29" s="68"/>
    </row>
    <row r="30" spans="1:16" s="150" customFormat="1" x14ac:dyDescent="0.2">
      <c r="A30" s="184"/>
      <c r="B30" s="149"/>
      <c r="C30" s="63"/>
      <c r="D30" s="370" t="s">
        <v>289</v>
      </c>
      <c r="E30" s="192" t="s">
        <v>12</v>
      </c>
      <c r="F30" s="193">
        <v>1</v>
      </c>
      <c r="G30" s="195"/>
      <c r="H30" s="195"/>
      <c r="I30" s="195">
        <v>3.08</v>
      </c>
      <c r="J30" s="342">
        <v>1</v>
      </c>
      <c r="K30" s="181">
        <v>0.62829999999999997</v>
      </c>
      <c r="L30" s="181">
        <f t="shared" si="0"/>
        <v>1.9351639999999999</v>
      </c>
      <c r="M30" s="68"/>
      <c r="N30" s="68"/>
      <c r="O30" s="68"/>
      <c r="P30" s="68"/>
    </row>
    <row r="31" spans="1:16" s="150" customFormat="1" x14ac:dyDescent="0.2">
      <c r="A31" s="184"/>
      <c r="B31" s="149"/>
      <c r="C31" s="63"/>
      <c r="D31" s="370" t="s">
        <v>290</v>
      </c>
      <c r="E31" s="192" t="s">
        <v>12</v>
      </c>
      <c r="F31" s="193">
        <v>1</v>
      </c>
      <c r="G31" s="195"/>
      <c r="H31" s="195"/>
      <c r="I31" s="195">
        <v>3.1</v>
      </c>
      <c r="J31" s="342">
        <v>1</v>
      </c>
      <c r="K31" s="181">
        <v>0.62829999999999997</v>
      </c>
      <c r="L31" s="181">
        <f t="shared" si="0"/>
        <v>1.94773</v>
      </c>
      <c r="M31" s="68"/>
      <c r="N31" s="68"/>
      <c r="O31" s="68"/>
      <c r="P31" s="68"/>
    </row>
    <row r="32" spans="1:16" s="150" customFormat="1" x14ac:dyDescent="0.2">
      <c r="A32" s="184"/>
      <c r="B32" s="149"/>
      <c r="C32" s="63"/>
      <c r="D32" s="370" t="s">
        <v>291</v>
      </c>
      <c r="E32" s="192" t="s">
        <v>12</v>
      </c>
      <c r="F32" s="193">
        <v>1</v>
      </c>
      <c r="G32" s="195"/>
      <c r="H32" s="195"/>
      <c r="I32" s="195">
        <v>0.06</v>
      </c>
      <c r="J32" s="342">
        <v>1</v>
      </c>
      <c r="K32" s="181">
        <v>0.62829999999999997</v>
      </c>
      <c r="L32" s="181">
        <f t="shared" si="0"/>
        <v>3.7697999999999995E-2</v>
      </c>
      <c r="M32" s="68"/>
      <c r="N32" s="68"/>
      <c r="O32" s="68"/>
      <c r="P32" s="68"/>
    </row>
    <row r="33" spans="1:16" s="150" customFormat="1" x14ac:dyDescent="0.2">
      <c r="A33" s="184"/>
      <c r="B33" s="149"/>
      <c r="C33" s="63"/>
      <c r="D33" s="370" t="s">
        <v>292</v>
      </c>
      <c r="E33" s="192" t="s">
        <v>12</v>
      </c>
      <c r="F33" s="193">
        <v>1</v>
      </c>
      <c r="G33" s="195"/>
      <c r="H33" s="195"/>
      <c r="I33" s="195">
        <v>0.11</v>
      </c>
      <c r="J33" s="342">
        <v>1</v>
      </c>
      <c r="K33" s="181">
        <v>0.62829999999999997</v>
      </c>
      <c r="L33" s="181">
        <f t="shared" si="0"/>
        <v>6.9112999999999994E-2</v>
      </c>
      <c r="M33" s="68"/>
      <c r="N33" s="68"/>
      <c r="O33" s="68"/>
      <c r="P33" s="68"/>
    </row>
    <row r="34" spans="1:16" s="150" customFormat="1" x14ac:dyDescent="0.2">
      <c r="A34" s="184"/>
      <c r="B34" s="149"/>
      <c r="C34" s="63"/>
      <c r="D34" s="370" t="s">
        <v>293</v>
      </c>
      <c r="E34" s="192" t="s">
        <v>12</v>
      </c>
      <c r="F34" s="193">
        <v>1</v>
      </c>
      <c r="G34" s="195"/>
      <c r="H34" s="195"/>
      <c r="I34" s="195">
        <v>0.15</v>
      </c>
      <c r="J34" s="342">
        <v>1</v>
      </c>
      <c r="K34" s="181">
        <v>0.62829999999999997</v>
      </c>
      <c r="L34" s="181">
        <f t="shared" si="0"/>
        <v>9.4244999999999995E-2</v>
      </c>
      <c r="M34" s="68"/>
      <c r="N34" s="68"/>
      <c r="O34" s="68"/>
      <c r="P34" s="68"/>
    </row>
    <row r="35" spans="1:16" s="150" customFormat="1" x14ac:dyDescent="0.2">
      <c r="A35" s="184"/>
      <c r="B35" s="149"/>
      <c r="C35" s="63"/>
      <c r="D35" s="370" t="s">
        <v>294</v>
      </c>
      <c r="E35" s="192" t="s">
        <v>12</v>
      </c>
      <c r="F35" s="193">
        <v>1</v>
      </c>
      <c r="G35" s="195"/>
      <c r="H35" s="195"/>
      <c r="I35" s="195">
        <v>0.27</v>
      </c>
      <c r="J35" s="342">
        <v>1</v>
      </c>
      <c r="K35" s="181">
        <v>0.62829999999999997</v>
      </c>
      <c r="L35" s="181">
        <f t="shared" si="0"/>
        <v>0.16964100000000001</v>
      </c>
      <c r="M35" s="68"/>
      <c r="N35" s="68"/>
      <c r="O35" s="68"/>
      <c r="P35" s="68"/>
    </row>
    <row r="36" spans="1:16" s="150" customFormat="1" x14ac:dyDescent="0.2">
      <c r="A36" s="184"/>
      <c r="B36" s="149"/>
      <c r="C36" s="63"/>
      <c r="D36" s="370" t="s">
        <v>295</v>
      </c>
      <c r="E36" s="192" t="s">
        <v>12</v>
      </c>
      <c r="F36" s="193">
        <v>1</v>
      </c>
      <c r="G36" s="195"/>
      <c r="H36" s="195"/>
      <c r="I36" s="195">
        <v>0.5</v>
      </c>
      <c r="J36" s="342">
        <v>1</v>
      </c>
      <c r="K36" s="181">
        <v>0.62829999999999997</v>
      </c>
      <c r="L36" s="181">
        <f t="shared" si="0"/>
        <v>0.31414999999999998</v>
      </c>
      <c r="M36" s="68"/>
      <c r="N36" s="68"/>
      <c r="O36" s="68"/>
      <c r="P36" s="68"/>
    </row>
    <row r="37" spans="1:16" s="150" customFormat="1" x14ac:dyDescent="0.2">
      <c r="A37" s="184"/>
      <c r="B37" s="149"/>
      <c r="C37" s="63"/>
      <c r="D37" s="370" t="s">
        <v>296</v>
      </c>
      <c r="E37" s="192" t="s">
        <v>12</v>
      </c>
      <c r="F37" s="193">
        <v>1</v>
      </c>
      <c r="G37" s="195"/>
      <c r="H37" s="195"/>
      <c r="I37" s="195">
        <v>0.78</v>
      </c>
      <c r="J37" s="342">
        <v>1</v>
      </c>
      <c r="K37" s="181">
        <v>0.62829999999999997</v>
      </c>
      <c r="L37" s="181">
        <f t="shared" si="0"/>
        <v>0.49007400000000001</v>
      </c>
      <c r="M37" s="68"/>
      <c r="N37" s="68"/>
      <c r="O37" s="68"/>
      <c r="P37" s="68"/>
    </row>
    <row r="38" spans="1:16" s="150" customFormat="1" x14ac:dyDescent="0.2">
      <c r="A38" s="184"/>
      <c r="B38" s="149"/>
      <c r="C38" s="63"/>
      <c r="D38" s="370" t="s">
        <v>297</v>
      </c>
      <c r="E38" s="192" t="s">
        <v>12</v>
      </c>
      <c r="F38" s="193">
        <v>1</v>
      </c>
      <c r="G38" s="195"/>
      <c r="H38" s="195"/>
      <c r="I38" s="195">
        <v>2.1800000000000002</v>
      </c>
      <c r="J38" s="342">
        <v>1</v>
      </c>
      <c r="K38" s="181">
        <v>0.62829999999999997</v>
      </c>
      <c r="L38" s="181">
        <f t="shared" si="0"/>
        <v>1.369694</v>
      </c>
      <c r="M38" s="68"/>
      <c r="N38" s="68"/>
      <c r="O38" s="68"/>
      <c r="P38" s="68"/>
    </row>
    <row r="39" spans="1:16" s="150" customFormat="1" x14ac:dyDescent="0.2">
      <c r="A39" s="184"/>
      <c r="B39" s="149"/>
      <c r="C39" s="63"/>
      <c r="D39" s="370" t="s">
        <v>298</v>
      </c>
      <c r="E39" s="192" t="s">
        <v>12</v>
      </c>
      <c r="F39" s="193">
        <v>1</v>
      </c>
      <c r="G39" s="195"/>
      <c r="H39" s="195"/>
      <c r="I39" s="195">
        <v>2</v>
      </c>
      <c r="J39" s="342">
        <v>1</v>
      </c>
      <c r="K39" s="181">
        <v>0.62829999999999997</v>
      </c>
      <c r="L39" s="181">
        <f t="shared" si="0"/>
        <v>1.2565999999999999</v>
      </c>
      <c r="M39" s="68"/>
      <c r="N39" s="68"/>
      <c r="O39" s="68"/>
      <c r="P39" s="68"/>
    </row>
    <row r="40" spans="1:16" s="150" customFormat="1" x14ac:dyDescent="0.2">
      <c r="A40" s="184"/>
      <c r="B40" s="149"/>
      <c r="C40" s="63"/>
      <c r="D40" s="370" t="s">
        <v>299</v>
      </c>
      <c r="E40" s="192" t="s">
        <v>12</v>
      </c>
      <c r="F40" s="193">
        <v>1</v>
      </c>
      <c r="G40" s="195"/>
      <c r="H40" s="195"/>
      <c r="I40" s="195">
        <v>1.82</v>
      </c>
      <c r="J40" s="342">
        <v>1</v>
      </c>
      <c r="K40" s="181">
        <v>0.62829999999999997</v>
      </c>
      <c r="L40" s="181">
        <f t="shared" si="0"/>
        <v>1.1435059999999999</v>
      </c>
      <c r="M40" s="68"/>
      <c r="N40" s="68"/>
      <c r="O40" s="68"/>
      <c r="P40" s="68"/>
    </row>
    <row r="41" spans="1:16" s="150" customFormat="1" x14ac:dyDescent="0.2">
      <c r="A41" s="184"/>
      <c r="B41" s="149"/>
      <c r="C41" s="63"/>
      <c r="D41" s="370" t="s">
        <v>300</v>
      </c>
      <c r="E41" s="192" t="s">
        <v>12</v>
      </c>
      <c r="F41" s="193">
        <v>1</v>
      </c>
      <c r="G41" s="195"/>
      <c r="H41" s="195"/>
      <c r="I41" s="195">
        <v>1.72</v>
      </c>
      <c r="J41" s="342">
        <v>1</v>
      </c>
      <c r="K41" s="181">
        <v>0.62829999999999997</v>
      </c>
      <c r="L41" s="181">
        <f t="shared" si="0"/>
        <v>1.080676</v>
      </c>
      <c r="M41" s="68"/>
      <c r="N41" s="68"/>
      <c r="O41" s="68"/>
      <c r="P41" s="68"/>
    </row>
    <row r="42" spans="1:16" s="150" customFormat="1" x14ac:dyDescent="0.2">
      <c r="A42" s="184"/>
      <c r="B42" s="149"/>
      <c r="C42" s="63"/>
      <c r="D42" s="370" t="s">
        <v>301</v>
      </c>
      <c r="E42" s="192" t="s">
        <v>12</v>
      </c>
      <c r="F42" s="193">
        <v>1</v>
      </c>
      <c r="G42" s="195"/>
      <c r="H42" s="195"/>
      <c r="I42" s="195">
        <v>1.59</v>
      </c>
      <c r="J42" s="342">
        <v>1</v>
      </c>
      <c r="K42" s="181">
        <v>0.62829999999999997</v>
      </c>
      <c r="L42" s="181">
        <f t="shared" si="0"/>
        <v>0.99899700000000002</v>
      </c>
      <c r="M42" s="68"/>
      <c r="N42" s="68"/>
      <c r="O42" s="68"/>
      <c r="P42" s="68"/>
    </row>
    <row r="43" spans="1:16" s="150" customFormat="1" x14ac:dyDescent="0.2">
      <c r="A43" s="184"/>
      <c r="B43" s="149"/>
      <c r="C43" s="63"/>
      <c r="D43" s="370" t="s">
        <v>302</v>
      </c>
      <c r="E43" s="192" t="s">
        <v>12</v>
      </c>
      <c r="F43" s="193">
        <v>1</v>
      </c>
      <c r="G43" s="195"/>
      <c r="H43" s="195"/>
      <c r="I43" s="195">
        <v>1.34</v>
      </c>
      <c r="J43" s="342">
        <v>1</v>
      </c>
      <c r="K43" s="181">
        <v>0.62829999999999997</v>
      </c>
      <c r="L43" s="181">
        <f t="shared" si="0"/>
        <v>0.84192200000000006</v>
      </c>
      <c r="M43" s="68"/>
      <c r="N43" s="68"/>
      <c r="O43" s="68"/>
      <c r="P43" s="68"/>
    </row>
    <row r="44" spans="1:16" s="150" customFormat="1" x14ac:dyDescent="0.2">
      <c r="A44" s="184"/>
      <c r="B44" s="149"/>
      <c r="C44" s="63"/>
      <c r="D44" s="370" t="s">
        <v>303</v>
      </c>
      <c r="E44" s="192" t="s">
        <v>12</v>
      </c>
      <c r="F44" s="193">
        <v>1</v>
      </c>
      <c r="G44" s="195"/>
      <c r="H44" s="195"/>
      <c r="I44" s="195">
        <v>1.07</v>
      </c>
      <c r="J44" s="342">
        <v>1</v>
      </c>
      <c r="K44" s="181">
        <v>0.62829999999999997</v>
      </c>
      <c r="L44" s="181">
        <f t="shared" si="0"/>
        <v>0.67228100000000002</v>
      </c>
      <c r="M44" s="68"/>
      <c r="N44" s="68"/>
      <c r="O44" s="68"/>
      <c r="P44" s="68"/>
    </row>
    <row r="45" spans="1:16" s="150" customFormat="1" x14ac:dyDescent="0.2">
      <c r="A45" s="184"/>
      <c r="B45" s="149"/>
      <c r="C45" s="63"/>
      <c r="D45" s="368" t="s">
        <v>112</v>
      </c>
      <c r="E45" s="192"/>
      <c r="F45" s="369"/>
      <c r="G45" s="171"/>
      <c r="H45" s="195"/>
      <c r="I45" s="195"/>
      <c r="J45" s="342"/>
      <c r="K45" s="181"/>
      <c r="L45" s="181"/>
      <c r="M45" s="68"/>
      <c r="N45" s="68"/>
      <c r="O45" s="68"/>
      <c r="P45" s="68"/>
    </row>
    <row r="46" spans="1:16" s="150" customFormat="1" x14ac:dyDescent="0.2">
      <c r="A46" s="184"/>
      <c r="B46" s="149"/>
      <c r="C46" s="63"/>
      <c r="D46" s="370" t="s">
        <v>282</v>
      </c>
      <c r="E46" s="192" t="s">
        <v>12</v>
      </c>
      <c r="F46" s="193">
        <v>1</v>
      </c>
      <c r="G46" s="195"/>
      <c r="H46" s="195"/>
      <c r="I46" s="195">
        <v>3.12</v>
      </c>
      <c r="J46" s="342">
        <v>1</v>
      </c>
      <c r="K46" s="181">
        <v>0.5</v>
      </c>
      <c r="L46" s="181">
        <f t="shared" si="0"/>
        <v>1.56</v>
      </c>
      <c r="M46" s="68"/>
      <c r="N46" s="68"/>
      <c r="O46" s="68"/>
      <c r="P46" s="68"/>
    </row>
    <row r="47" spans="1:16" s="150" customFormat="1" x14ac:dyDescent="0.2">
      <c r="A47" s="184"/>
      <c r="B47" s="149"/>
      <c r="C47" s="63"/>
      <c r="D47" s="370" t="s">
        <v>283</v>
      </c>
      <c r="E47" s="192" t="s">
        <v>12</v>
      </c>
      <c r="F47" s="193">
        <v>1</v>
      </c>
      <c r="G47" s="195"/>
      <c r="H47" s="195"/>
      <c r="I47" s="195">
        <v>3.12</v>
      </c>
      <c r="J47" s="342">
        <v>1</v>
      </c>
      <c r="K47" s="181">
        <v>0.75</v>
      </c>
      <c r="L47" s="181">
        <f t="shared" si="0"/>
        <v>2.34</v>
      </c>
      <c r="M47" s="68"/>
      <c r="N47" s="68"/>
      <c r="O47" s="68"/>
      <c r="P47" s="68"/>
    </row>
    <row r="48" spans="1:16" s="150" customFormat="1" x14ac:dyDescent="0.2">
      <c r="A48" s="184"/>
      <c r="B48" s="149"/>
      <c r="C48" s="56"/>
      <c r="D48" s="370" t="s">
        <v>304</v>
      </c>
      <c r="E48" s="192" t="s">
        <v>12</v>
      </c>
      <c r="F48" s="193">
        <v>7</v>
      </c>
      <c r="G48" s="195"/>
      <c r="H48" s="195"/>
      <c r="I48" s="195">
        <v>3.12</v>
      </c>
      <c r="J48" s="342">
        <v>1</v>
      </c>
      <c r="K48" s="181">
        <v>0.62829999999999997</v>
      </c>
      <c r="L48" s="181">
        <f t="shared" si="0"/>
        <v>13.722071999999999</v>
      </c>
      <c r="M48" s="61"/>
      <c r="N48" s="61"/>
      <c r="O48" s="61"/>
      <c r="P48" s="61"/>
    </row>
    <row r="49" spans="1:16" s="150" customFormat="1" x14ac:dyDescent="0.2">
      <c r="A49" s="184"/>
      <c r="B49" s="149"/>
      <c r="C49" s="63"/>
      <c r="D49" s="370" t="s">
        <v>305</v>
      </c>
      <c r="E49" s="192" t="s">
        <v>12</v>
      </c>
      <c r="F49" s="193">
        <v>8</v>
      </c>
      <c r="G49" s="195"/>
      <c r="H49" s="195"/>
      <c r="I49" s="195">
        <v>3.12</v>
      </c>
      <c r="J49" s="342">
        <v>1</v>
      </c>
      <c r="K49" s="181">
        <v>0.62829999999999997</v>
      </c>
      <c r="L49" s="181">
        <f t="shared" si="0"/>
        <v>15.682368</v>
      </c>
      <c r="M49" s="68"/>
      <c r="N49" s="68"/>
      <c r="O49" s="68"/>
      <c r="P49" s="68"/>
    </row>
    <row r="50" spans="1:16" s="150" customFormat="1" x14ac:dyDescent="0.2">
      <c r="A50" s="184"/>
      <c r="B50" s="149"/>
      <c r="C50" s="63"/>
      <c r="D50" s="368" t="s">
        <v>107</v>
      </c>
      <c r="E50" s="192"/>
      <c r="F50" s="369"/>
      <c r="G50" s="171"/>
      <c r="H50" s="195"/>
      <c r="I50" s="195"/>
      <c r="J50" s="342"/>
      <c r="K50" s="181"/>
      <c r="L50" s="181"/>
      <c r="M50" s="68"/>
      <c r="N50" s="68"/>
      <c r="O50" s="68"/>
      <c r="P50" s="68"/>
    </row>
    <row r="51" spans="1:16" s="150" customFormat="1" x14ac:dyDescent="0.2">
      <c r="A51" s="184"/>
      <c r="B51" s="149"/>
      <c r="C51" s="63"/>
      <c r="D51" s="370" t="s">
        <v>282</v>
      </c>
      <c r="E51" s="192" t="s">
        <v>12</v>
      </c>
      <c r="F51" s="193">
        <v>1</v>
      </c>
      <c r="G51" s="195"/>
      <c r="H51" s="195"/>
      <c r="I51" s="195">
        <v>3.05</v>
      </c>
      <c r="J51" s="342">
        <v>1</v>
      </c>
      <c r="K51" s="181">
        <v>0.5</v>
      </c>
      <c r="L51" s="181">
        <f t="shared" si="0"/>
        <v>1.5249999999999999</v>
      </c>
      <c r="M51" s="68"/>
      <c r="N51" s="68"/>
      <c r="O51" s="68"/>
      <c r="P51" s="68"/>
    </row>
    <row r="52" spans="1:16" s="150" customFormat="1" x14ac:dyDescent="0.2">
      <c r="A52" s="184"/>
      <c r="B52" s="149"/>
      <c r="C52" s="63"/>
      <c r="D52" s="370" t="s">
        <v>283</v>
      </c>
      <c r="E52" s="192" t="s">
        <v>12</v>
      </c>
      <c r="F52" s="193">
        <v>1</v>
      </c>
      <c r="G52" s="195"/>
      <c r="H52" s="195"/>
      <c r="I52" s="195">
        <v>3.05</v>
      </c>
      <c r="J52" s="342">
        <v>1</v>
      </c>
      <c r="K52" s="181">
        <v>0.75</v>
      </c>
      <c r="L52" s="181">
        <f t="shared" si="0"/>
        <v>2.2874999999999996</v>
      </c>
      <c r="M52" s="68"/>
      <c r="N52" s="68"/>
      <c r="O52" s="68"/>
      <c r="P52" s="68"/>
    </row>
    <row r="53" spans="1:16" s="150" customFormat="1" x14ac:dyDescent="0.2">
      <c r="A53" s="184"/>
      <c r="B53" s="149"/>
      <c r="C53" s="63"/>
      <c r="D53" s="370" t="s">
        <v>304</v>
      </c>
      <c r="E53" s="192" t="s">
        <v>12</v>
      </c>
      <c r="F53" s="193">
        <v>7</v>
      </c>
      <c r="G53" s="195"/>
      <c r="H53" s="195"/>
      <c r="I53" s="195">
        <v>3.05</v>
      </c>
      <c r="J53" s="342">
        <v>1</v>
      </c>
      <c r="K53" s="181">
        <v>0.62829999999999997</v>
      </c>
      <c r="L53" s="181">
        <f t="shared" si="0"/>
        <v>13.414204999999997</v>
      </c>
      <c r="M53" s="68"/>
      <c r="N53" s="68"/>
      <c r="O53" s="68"/>
      <c r="P53" s="68"/>
    </row>
    <row r="54" spans="1:16" s="150" customFormat="1" x14ac:dyDescent="0.2">
      <c r="A54" s="184"/>
      <c r="B54" s="149"/>
      <c r="C54" s="63"/>
      <c r="D54" s="370" t="s">
        <v>305</v>
      </c>
      <c r="E54" s="192" t="s">
        <v>12</v>
      </c>
      <c r="F54" s="193">
        <v>8</v>
      </c>
      <c r="G54" s="195"/>
      <c r="H54" s="195"/>
      <c r="I54" s="195">
        <v>3.05</v>
      </c>
      <c r="J54" s="342">
        <v>1</v>
      </c>
      <c r="K54" s="181">
        <v>0.62829999999999997</v>
      </c>
      <c r="L54" s="181">
        <f t="shared" si="0"/>
        <v>15.330519999999998</v>
      </c>
      <c r="M54" s="68"/>
      <c r="N54" s="68"/>
      <c r="O54" s="68"/>
      <c r="P54" s="68"/>
    </row>
    <row r="55" spans="1:16" s="150" customFormat="1" x14ac:dyDescent="0.2">
      <c r="A55" s="184"/>
      <c r="B55" s="149"/>
      <c r="C55" s="63"/>
      <c r="D55" s="368" t="s">
        <v>60</v>
      </c>
      <c r="E55" s="192"/>
      <c r="F55" s="369"/>
      <c r="G55" s="171"/>
      <c r="H55" s="195"/>
      <c r="I55" s="195"/>
      <c r="J55" s="342"/>
      <c r="K55" s="181"/>
      <c r="L55" s="181"/>
      <c r="M55" s="68"/>
      <c r="N55" s="68"/>
      <c r="O55" s="68"/>
      <c r="P55" s="68"/>
    </row>
    <row r="56" spans="1:16" s="150" customFormat="1" x14ac:dyDescent="0.2">
      <c r="A56" s="184"/>
      <c r="B56" s="149"/>
      <c r="C56" s="63"/>
      <c r="D56" s="370" t="s">
        <v>282</v>
      </c>
      <c r="E56" s="192" t="s">
        <v>12</v>
      </c>
      <c r="F56" s="193">
        <v>1</v>
      </c>
      <c r="G56" s="195"/>
      <c r="H56" s="195"/>
      <c r="I56" s="195">
        <v>1.63</v>
      </c>
      <c r="J56" s="342">
        <v>1</v>
      </c>
      <c r="K56" s="181">
        <v>0.5</v>
      </c>
      <c r="L56" s="181">
        <f t="shared" si="0"/>
        <v>0.81499999999999995</v>
      </c>
      <c r="M56" s="68"/>
      <c r="N56" s="68"/>
      <c r="O56" s="68"/>
      <c r="P56" s="68"/>
    </row>
    <row r="57" spans="1:16" s="150" customFormat="1" x14ac:dyDescent="0.2">
      <c r="A57" s="184"/>
      <c r="B57" s="149"/>
      <c r="C57" s="63"/>
      <c r="D57" s="370" t="s">
        <v>283</v>
      </c>
      <c r="E57" s="192" t="s">
        <v>12</v>
      </c>
      <c r="F57" s="193">
        <v>1</v>
      </c>
      <c r="G57" s="195"/>
      <c r="H57" s="195"/>
      <c r="I57" s="195">
        <v>1.63</v>
      </c>
      <c r="J57" s="342">
        <v>1</v>
      </c>
      <c r="K57" s="181">
        <v>0.75</v>
      </c>
      <c r="L57" s="181">
        <f t="shared" si="0"/>
        <v>1.2224999999999999</v>
      </c>
      <c r="M57" s="68"/>
      <c r="N57" s="68"/>
      <c r="O57" s="68"/>
      <c r="P57" s="68"/>
    </row>
    <row r="58" spans="1:16" s="150" customFormat="1" x14ac:dyDescent="0.2">
      <c r="A58" s="184"/>
      <c r="B58" s="149"/>
      <c r="C58" s="63"/>
      <c r="D58" s="370" t="s">
        <v>284</v>
      </c>
      <c r="E58" s="192" t="s">
        <v>12</v>
      </c>
      <c r="F58" s="193">
        <v>1</v>
      </c>
      <c r="G58" s="195"/>
      <c r="H58" s="195"/>
      <c r="I58" s="104">
        <v>2.5299999999999998</v>
      </c>
      <c r="J58" s="342">
        <v>1</v>
      </c>
      <c r="K58" s="181">
        <v>0.62829999999999997</v>
      </c>
      <c r="L58" s="181">
        <f t="shared" si="0"/>
        <v>1.5895989999999998</v>
      </c>
      <c r="M58" s="68"/>
      <c r="N58" s="68"/>
      <c r="O58" s="68"/>
      <c r="P58" s="68"/>
    </row>
    <row r="59" spans="1:16" s="150" customFormat="1" x14ac:dyDescent="0.2">
      <c r="A59" s="184"/>
      <c r="B59" s="149"/>
      <c r="C59" s="63"/>
      <c r="D59" s="370" t="s">
        <v>285</v>
      </c>
      <c r="E59" s="192" t="s">
        <v>12</v>
      </c>
      <c r="F59" s="193">
        <v>1</v>
      </c>
      <c r="G59" s="195"/>
      <c r="H59" s="195"/>
      <c r="I59" s="104">
        <v>2.52</v>
      </c>
      <c r="J59" s="342">
        <v>1</v>
      </c>
      <c r="K59" s="181">
        <v>0.62829999999999997</v>
      </c>
      <c r="L59" s="181">
        <f t="shared" si="0"/>
        <v>1.5833159999999999</v>
      </c>
      <c r="M59" s="68"/>
      <c r="N59" s="68"/>
      <c r="O59" s="68"/>
      <c r="P59" s="68"/>
    </row>
    <row r="60" spans="1:16" s="150" customFormat="1" x14ac:dyDescent="0.2">
      <c r="A60" s="184"/>
      <c r="B60" s="149"/>
      <c r="C60" s="63"/>
      <c r="D60" s="370" t="s">
        <v>286</v>
      </c>
      <c r="E60" s="192" t="s">
        <v>12</v>
      </c>
      <c r="F60" s="193">
        <v>1</v>
      </c>
      <c r="G60" s="195"/>
      <c r="H60" s="195"/>
      <c r="I60" s="371">
        <v>2.2999999999999998</v>
      </c>
      <c r="J60" s="342">
        <v>1</v>
      </c>
      <c r="K60" s="181">
        <v>0.62829999999999997</v>
      </c>
      <c r="L60" s="181">
        <f t="shared" si="0"/>
        <v>1.4450899999999998</v>
      </c>
      <c r="M60" s="68"/>
      <c r="N60" s="68"/>
      <c r="O60" s="68"/>
      <c r="P60" s="68"/>
    </row>
    <row r="61" spans="1:16" s="150" customFormat="1" x14ac:dyDescent="0.2">
      <c r="A61" s="184"/>
      <c r="B61" s="149"/>
      <c r="C61" s="63"/>
      <c r="D61" s="370" t="s">
        <v>287</v>
      </c>
      <c r="E61" s="192" t="s">
        <v>12</v>
      </c>
      <c r="F61" s="193">
        <v>1</v>
      </c>
      <c r="G61" s="195"/>
      <c r="H61" s="195"/>
      <c r="I61" s="195">
        <v>2.09</v>
      </c>
      <c r="J61" s="342">
        <v>1</v>
      </c>
      <c r="K61" s="181">
        <v>0.62829999999999997</v>
      </c>
      <c r="L61" s="181">
        <f t="shared" si="0"/>
        <v>1.3131469999999998</v>
      </c>
      <c r="M61" s="68"/>
      <c r="N61" s="68"/>
      <c r="O61" s="68"/>
      <c r="P61" s="68"/>
    </row>
    <row r="62" spans="1:16" s="150" customFormat="1" x14ac:dyDescent="0.2">
      <c r="A62" s="184"/>
      <c r="B62" s="149"/>
      <c r="C62" s="63"/>
      <c r="D62" s="370" t="s">
        <v>288</v>
      </c>
      <c r="E62" s="192" t="s">
        <v>12</v>
      </c>
      <c r="F62" s="193">
        <v>1</v>
      </c>
      <c r="G62" s="195"/>
      <c r="H62" s="195"/>
      <c r="I62" s="195">
        <v>1.88</v>
      </c>
      <c r="J62" s="342">
        <v>1</v>
      </c>
      <c r="K62" s="181">
        <v>0.62829999999999997</v>
      </c>
      <c r="L62" s="181">
        <f t="shared" si="0"/>
        <v>1.1812039999999999</v>
      </c>
      <c r="M62" s="68"/>
      <c r="N62" s="68"/>
      <c r="O62" s="68"/>
      <c r="P62" s="68"/>
    </row>
    <row r="63" spans="1:16" s="150" customFormat="1" x14ac:dyDescent="0.2">
      <c r="A63" s="184"/>
      <c r="B63" s="149"/>
      <c r="C63" s="63"/>
      <c r="D63" s="370" t="s">
        <v>289</v>
      </c>
      <c r="E63" s="192" t="s">
        <v>12</v>
      </c>
      <c r="F63" s="193">
        <v>1</v>
      </c>
      <c r="G63" s="195"/>
      <c r="H63" s="195"/>
      <c r="I63" s="195">
        <v>1.65</v>
      </c>
      <c r="J63" s="342">
        <v>1</v>
      </c>
      <c r="K63" s="181">
        <v>0.62829999999999997</v>
      </c>
      <c r="L63" s="181">
        <f t="shared" si="0"/>
        <v>1.0366949999999999</v>
      </c>
      <c r="M63" s="68"/>
      <c r="N63" s="68"/>
      <c r="O63" s="68"/>
      <c r="P63" s="68"/>
    </row>
    <row r="64" spans="1:16" s="150" customFormat="1" x14ac:dyDescent="0.2">
      <c r="A64" s="184"/>
      <c r="B64" s="149"/>
      <c r="C64" s="63"/>
      <c r="D64" s="370" t="s">
        <v>290</v>
      </c>
      <c r="E64" s="192" t="s">
        <v>12</v>
      </c>
      <c r="F64" s="193">
        <v>1</v>
      </c>
      <c r="G64" s="195"/>
      <c r="H64" s="195"/>
      <c r="I64" s="195">
        <v>1.63</v>
      </c>
      <c r="J64" s="342">
        <v>1</v>
      </c>
      <c r="K64" s="181">
        <v>0.62829999999999997</v>
      </c>
      <c r="L64" s="181">
        <f t="shared" si="0"/>
        <v>1.0241289999999998</v>
      </c>
      <c r="M64" s="68"/>
      <c r="N64" s="68"/>
      <c r="O64" s="68"/>
      <c r="P64" s="68"/>
    </row>
    <row r="65" spans="1:16" s="150" customFormat="1" x14ac:dyDescent="0.2">
      <c r="A65" s="184"/>
      <c r="B65" s="149"/>
      <c r="C65" s="63"/>
      <c r="D65" s="370" t="s">
        <v>291</v>
      </c>
      <c r="E65" s="192" t="s">
        <v>12</v>
      </c>
      <c r="F65" s="193">
        <v>1</v>
      </c>
      <c r="G65" s="195"/>
      <c r="H65" s="195"/>
      <c r="I65" s="195">
        <v>2.8</v>
      </c>
      <c r="J65" s="342">
        <v>1</v>
      </c>
      <c r="K65" s="181">
        <v>0.62829999999999997</v>
      </c>
      <c r="L65" s="181">
        <f t="shared" si="0"/>
        <v>1.7592399999999997</v>
      </c>
      <c r="M65" s="68"/>
      <c r="N65" s="68"/>
      <c r="O65" s="68"/>
      <c r="P65" s="68"/>
    </row>
    <row r="66" spans="1:16" s="150" customFormat="1" x14ac:dyDescent="0.2">
      <c r="A66" s="184"/>
      <c r="B66" s="149"/>
      <c r="C66" s="63"/>
      <c r="D66" s="370" t="s">
        <v>292</v>
      </c>
      <c r="E66" s="192" t="s">
        <v>12</v>
      </c>
      <c r="F66" s="193">
        <v>1</v>
      </c>
      <c r="G66" s="195"/>
      <c r="H66" s="195"/>
      <c r="I66" s="195">
        <v>2.78</v>
      </c>
      <c r="J66" s="342">
        <v>1</v>
      </c>
      <c r="K66" s="181">
        <v>0.62829999999999997</v>
      </c>
      <c r="L66" s="181">
        <f t="shared" si="0"/>
        <v>1.7466739999999998</v>
      </c>
      <c r="M66" s="68"/>
      <c r="N66" s="68"/>
      <c r="O66" s="68"/>
      <c r="P66" s="68"/>
    </row>
    <row r="67" spans="1:16" s="150" customFormat="1" x14ac:dyDescent="0.2">
      <c r="A67" s="184"/>
      <c r="B67" s="149"/>
      <c r="C67" s="63"/>
      <c r="D67" s="370" t="s">
        <v>293</v>
      </c>
      <c r="E67" s="192" t="s">
        <v>12</v>
      </c>
      <c r="F67" s="193">
        <v>1</v>
      </c>
      <c r="G67" s="195"/>
      <c r="H67" s="195"/>
      <c r="I67" s="195">
        <v>2.74</v>
      </c>
      <c r="J67" s="342">
        <v>1</v>
      </c>
      <c r="K67" s="181">
        <v>0.62829999999999997</v>
      </c>
      <c r="L67" s="181">
        <f t="shared" si="0"/>
        <v>1.7215420000000001</v>
      </c>
      <c r="M67" s="68"/>
      <c r="N67" s="68"/>
      <c r="O67" s="68"/>
      <c r="P67" s="68"/>
    </row>
    <row r="68" spans="1:16" s="150" customFormat="1" x14ac:dyDescent="0.2">
      <c r="A68" s="184"/>
      <c r="B68" s="149"/>
      <c r="C68" s="63"/>
      <c r="D68" s="370" t="s">
        <v>294</v>
      </c>
      <c r="E68" s="192" t="s">
        <v>12</v>
      </c>
      <c r="F68" s="193">
        <v>1</v>
      </c>
      <c r="G68" s="195"/>
      <c r="H68" s="195"/>
      <c r="I68" s="195">
        <v>2.62</v>
      </c>
      <c r="J68" s="342">
        <v>1</v>
      </c>
      <c r="K68" s="181">
        <v>0.62829999999999997</v>
      </c>
      <c r="L68" s="181">
        <f t="shared" si="0"/>
        <v>1.6461459999999999</v>
      </c>
      <c r="M68" s="68"/>
      <c r="N68" s="68"/>
      <c r="O68" s="68"/>
      <c r="P68" s="68"/>
    </row>
    <row r="69" spans="1:16" s="150" customFormat="1" x14ac:dyDescent="0.2">
      <c r="A69" s="184"/>
      <c r="B69" s="149"/>
      <c r="C69" s="63"/>
      <c r="D69" s="370" t="s">
        <v>295</v>
      </c>
      <c r="E69" s="192" t="s">
        <v>12</v>
      </c>
      <c r="F69" s="193">
        <v>1</v>
      </c>
      <c r="G69" s="195"/>
      <c r="H69" s="195"/>
      <c r="I69" s="195">
        <v>2.42</v>
      </c>
      <c r="J69" s="342">
        <v>1</v>
      </c>
      <c r="K69" s="181">
        <v>0.62829999999999997</v>
      </c>
      <c r="L69" s="181">
        <f t="shared" si="0"/>
        <v>1.5204859999999998</v>
      </c>
      <c r="M69" s="68"/>
      <c r="N69" s="68"/>
      <c r="O69" s="68"/>
      <c r="P69" s="68"/>
    </row>
    <row r="70" spans="1:16" s="150" customFormat="1" x14ac:dyDescent="0.2">
      <c r="A70" s="184"/>
      <c r="B70" s="149"/>
      <c r="C70" s="63"/>
      <c r="D70" s="370" t="s">
        <v>296</v>
      </c>
      <c r="E70" s="192" t="s">
        <v>12</v>
      </c>
      <c r="F70" s="193">
        <v>1</v>
      </c>
      <c r="G70" s="195"/>
      <c r="H70" s="195"/>
      <c r="I70" s="195">
        <v>1.07</v>
      </c>
      <c r="J70" s="342">
        <v>1</v>
      </c>
      <c r="K70" s="181">
        <v>0.62829999999999997</v>
      </c>
      <c r="L70" s="181">
        <f t="shared" si="0"/>
        <v>0.67228100000000002</v>
      </c>
      <c r="M70" s="68"/>
      <c r="N70" s="68"/>
      <c r="O70" s="68"/>
      <c r="P70" s="68"/>
    </row>
    <row r="71" spans="1:16" s="150" customFormat="1" x14ac:dyDescent="0.2">
      <c r="A71" s="184"/>
      <c r="B71" s="149"/>
      <c r="C71" s="63"/>
      <c r="D71" s="370" t="s">
        <v>306</v>
      </c>
      <c r="E71" s="192" t="s">
        <v>12</v>
      </c>
      <c r="F71" s="193">
        <v>1</v>
      </c>
      <c r="G71" s="195"/>
      <c r="H71" s="195"/>
      <c r="I71" s="195">
        <v>0.72</v>
      </c>
      <c r="J71" s="342">
        <v>1</v>
      </c>
      <c r="K71" s="181">
        <v>0.62829999999999997</v>
      </c>
      <c r="L71" s="181">
        <f t="shared" si="0"/>
        <v>0.45237599999999994</v>
      </c>
      <c r="M71" s="68"/>
      <c r="N71" s="68"/>
      <c r="O71" s="68"/>
      <c r="P71" s="68"/>
    </row>
    <row r="72" spans="1:16" s="150" customFormat="1" x14ac:dyDescent="0.2">
      <c r="A72" s="184"/>
      <c r="B72" s="149"/>
      <c r="C72" s="63"/>
      <c r="D72" s="370" t="s">
        <v>298</v>
      </c>
      <c r="E72" s="192" t="s">
        <v>12</v>
      </c>
      <c r="F72" s="193">
        <v>1</v>
      </c>
      <c r="G72" s="195"/>
      <c r="H72" s="195"/>
      <c r="I72" s="195">
        <v>0.9</v>
      </c>
      <c r="J72" s="342">
        <v>1</v>
      </c>
      <c r="K72" s="181">
        <v>0.62829999999999997</v>
      </c>
      <c r="L72" s="181">
        <f t="shared" si="0"/>
        <v>0.56547000000000003</v>
      </c>
      <c r="M72" s="68"/>
      <c r="N72" s="68"/>
      <c r="O72" s="68"/>
      <c r="P72" s="68"/>
    </row>
    <row r="73" spans="1:16" s="150" customFormat="1" x14ac:dyDescent="0.2">
      <c r="A73" s="184"/>
      <c r="B73" s="149"/>
      <c r="C73" s="63"/>
      <c r="D73" s="370" t="s">
        <v>299</v>
      </c>
      <c r="E73" s="192" t="s">
        <v>12</v>
      </c>
      <c r="F73" s="193">
        <v>1</v>
      </c>
      <c r="G73" s="195"/>
      <c r="H73" s="195"/>
      <c r="I73" s="195">
        <v>1.08</v>
      </c>
      <c r="J73" s="342">
        <v>1</v>
      </c>
      <c r="K73" s="181">
        <v>0.62829999999999997</v>
      </c>
      <c r="L73" s="181">
        <f t="shared" si="0"/>
        <v>0.67856400000000006</v>
      </c>
      <c r="M73" s="68"/>
      <c r="N73" s="68"/>
      <c r="O73" s="68"/>
      <c r="P73" s="68"/>
    </row>
    <row r="74" spans="1:16" s="150" customFormat="1" x14ac:dyDescent="0.2">
      <c r="A74" s="184"/>
      <c r="B74" s="149"/>
      <c r="C74" s="63"/>
      <c r="D74" s="370" t="s">
        <v>300</v>
      </c>
      <c r="E74" s="192" t="s">
        <v>12</v>
      </c>
      <c r="F74" s="193">
        <v>1</v>
      </c>
      <c r="G74" s="195"/>
      <c r="H74" s="195"/>
      <c r="I74" s="195">
        <v>1.17</v>
      </c>
      <c r="J74" s="342">
        <v>1</v>
      </c>
      <c r="K74" s="181">
        <v>0.62829999999999997</v>
      </c>
      <c r="L74" s="181">
        <f t="shared" si="0"/>
        <v>0.73511099999999996</v>
      </c>
      <c r="M74" s="68"/>
      <c r="N74" s="68"/>
      <c r="O74" s="68"/>
      <c r="P74" s="68"/>
    </row>
    <row r="75" spans="1:16" s="150" customFormat="1" x14ac:dyDescent="0.2">
      <c r="A75" s="184"/>
      <c r="B75" s="149"/>
      <c r="C75" s="63"/>
      <c r="D75" s="370" t="s">
        <v>301</v>
      </c>
      <c r="E75" s="192" t="s">
        <v>12</v>
      </c>
      <c r="F75" s="193">
        <v>1</v>
      </c>
      <c r="G75" s="195"/>
      <c r="H75" s="195"/>
      <c r="I75" s="195">
        <v>1.29</v>
      </c>
      <c r="J75" s="342">
        <v>1</v>
      </c>
      <c r="K75" s="181">
        <v>0.62829999999999997</v>
      </c>
      <c r="L75" s="181">
        <f t="shared" si="0"/>
        <v>0.81050699999999998</v>
      </c>
      <c r="M75" s="68"/>
      <c r="N75" s="68"/>
      <c r="O75" s="68"/>
      <c r="P75" s="68"/>
    </row>
    <row r="76" spans="1:16" s="150" customFormat="1" x14ac:dyDescent="0.2">
      <c r="A76" s="184"/>
      <c r="B76" s="149"/>
      <c r="C76" s="63"/>
      <c r="D76" s="370" t="s">
        <v>302</v>
      </c>
      <c r="E76" s="192" t="s">
        <v>12</v>
      </c>
      <c r="F76" s="193">
        <v>1</v>
      </c>
      <c r="G76" s="195"/>
      <c r="H76" s="195"/>
      <c r="I76" s="195">
        <v>1.51</v>
      </c>
      <c r="J76" s="342">
        <v>1</v>
      </c>
      <c r="K76" s="181">
        <v>0.62829999999999997</v>
      </c>
      <c r="L76" s="181">
        <f t="shared" si="0"/>
        <v>0.94873299999999994</v>
      </c>
      <c r="M76" s="68"/>
      <c r="N76" s="68"/>
      <c r="O76" s="68"/>
      <c r="P76" s="68"/>
    </row>
    <row r="77" spans="1:16" s="150" customFormat="1" x14ac:dyDescent="0.2">
      <c r="A77" s="184"/>
      <c r="B77" s="149"/>
      <c r="C77" s="63"/>
      <c r="D77" s="370" t="s">
        <v>303</v>
      </c>
      <c r="E77" s="192" t="s">
        <v>12</v>
      </c>
      <c r="F77" s="193">
        <v>1</v>
      </c>
      <c r="G77" s="195"/>
      <c r="H77" s="195"/>
      <c r="I77" s="195">
        <v>1.8</v>
      </c>
      <c r="J77" s="342">
        <v>1</v>
      </c>
      <c r="K77" s="181">
        <v>0.62829999999999997</v>
      </c>
      <c r="L77" s="181">
        <f t="shared" si="0"/>
        <v>1.1309400000000001</v>
      </c>
      <c r="M77" s="68"/>
      <c r="N77" s="68"/>
      <c r="O77" s="68"/>
      <c r="P77" s="68"/>
    </row>
    <row r="78" spans="1:16" s="150" customFormat="1" x14ac:dyDescent="0.2">
      <c r="A78" s="184"/>
      <c r="B78" s="149"/>
      <c r="C78" s="63"/>
      <c r="D78" s="368" t="s">
        <v>307</v>
      </c>
      <c r="E78" s="192"/>
      <c r="F78" s="369"/>
      <c r="G78" s="171"/>
      <c r="H78" s="195"/>
      <c r="I78" s="195"/>
      <c r="J78" s="342"/>
      <c r="K78" s="181"/>
      <c r="L78" s="181"/>
      <c r="M78" s="68"/>
      <c r="N78" s="68"/>
      <c r="O78" s="68"/>
      <c r="P78" s="68"/>
    </row>
    <row r="79" spans="1:16" s="150" customFormat="1" x14ac:dyDescent="0.2">
      <c r="A79" s="184"/>
      <c r="B79" s="149"/>
      <c r="C79" s="63"/>
      <c r="D79" s="370" t="s">
        <v>282</v>
      </c>
      <c r="E79" s="192" t="s">
        <v>12</v>
      </c>
      <c r="F79" s="193">
        <v>1</v>
      </c>
      <c r="G79" s="195"/>
      <c r="H79" s="195"/>
      <c r="I79" s="195">
        <v>2.15</v>
      </c>
      <c r="J79" s="342">
        <v>1</v>
      </c>
      <c r="K79" s="181">
        <v>0.5</v>
      </c>
      <c r="L79" s="181">
        <f t="shared" si="0"/>
        <v>1.075</v>
      </c>
      <c r="M79" s="68"/>
      <c r="N79" s="68"/>
      <c r="O79" s="68"/>
      <c r="P79" s="68"/>
    </row>
    <row r="80" spans="1:16" s="150" customFormat="1" x14ac:dyDescent="0.2">
      <c r="A80" s="184"/>
      <c r="B80" s="149"/>
      <c r="C80" s="63"/>
      <c r="D80" s="370" t="s">
        <v>283</v>
      </c>
      <c r="E80" s="192" t="s">
        <v>12</v>
      </c>
      <c r="F80" s="193">
        <v>1</v>
      </c>
      <c r="G80" s="195"/>
      <c r="H80" s="195"/>
      <c r="I80" s="195">
        <v>2.15</v>
      </c>
      <c r="J80" s="342">
        <v>1</v>
      </c>
      <c r="K80" s="181">
        <v>0.75</v>
      </c>
      <c r="L80" s="181">
        <f t="shared" si="0"/>
        <v>1.6124999999999998</v>
      </c>
      <c r="M80" s="68"/>
      <c r="N80" s="68"/>
      <c r="O80" s="68"/>
      <c r="P80" s="68"/>
    </row>
    <row r="81" spans="1:16" s="150" customFormat="1" x14ac:dyDescent="0.2">
      <c r="A81" s="184"/>
      <c r="B81" s="149"/>
      <c r="C81" s="63"/>
      <c r="D81" s="370" t="s">
        <v>304</v>
      </c>
      <c r="E81" s="192" t="s">
        <v>12</v>
      </c>
      <c r="F81" s="193">
        <v>7</v>
      </c>
      <c r="G81" s="195"/>
      <c r="H81" s="195"/>
      <c r="I81" s="195">
        <v>2.15</v>
      </c>
      <c r="J81" s="342">
        <v>1</v>
      </c>
      <c r="K81" s="181">
        <v>0.62829999999999997</v>
      </c>
      <c r="L81" s="181">
        <f t="shared" si="0"/>
        <v>9.4559149999999992</v>
      </c>
      <c r="M81" s="68"/>
      <c r="N81" s="68"/>
      <c r="O81" s="68"/>
      <c r="P81" s="68"/>
    </row>
    <row r="82" spans="1:16" s="150" customFormat="1" x14ac:dyDescent="0.2">
      <c r="A82" s="184"/>
      <c r="B82" s="149"/>
      <c r="C82" s="63"/>
      <c r="D82" s="370" t="s">
        <v>305</v>
      </c>
      <c r="E82" s="192" t="s">
        <v>12</v>
      </c>
      <c r="F82" s="193">
        <v>8</v>
      </c>
      <c r="G82" s="195"/>
      <c r="H82" s="195"/>
      <c r="I82" s="195">
        <v>2.15</v>
      </c>
      <c r="J82" s="342">
        <v>1</v>
      </c>
      <c r="K82" s="181">
        <v>0.62829999999999997</v>
      </c>
      <c r="L82" s="181">
        <f>PRODUCT(J82*I82*F82)*K82</f>
        <v>10.806759999999999</v>
      </c>
      <c r="M82" s="68"/>
      <c r="N82" s="68"/>
      <c r="O82" s="68"/>
      <c r="P82" s="68"/>
    </row>
    <row r="83" spans="1:16" s="150" customFormat="1" x14ac:dyDescent="0.2">
      <c r="A83" s="148"/>
      <c r="B83" s="149"/>
      <c r="C83" s="63"/>
      <c r="D83" s="80"/>
      <c r="E83" s="90"/>
      <c r="F83" s="66"/>
      <c r="G83" s="67"/>
      <c r="H83" s="67"/>
      <c r="I83" s="67"/>
      <c r="J83" s="69"/>
      <c r="K83" s="68"/>
      <c r="L83" s="68"/>
      <c r="M83" s="68"/>
      <c r="N83" s="68"/>
      <c r="O83" s="68"/>
      <c r="P83" s="68"/>
    </row>
    <row r="84" spans="1:16" x14ac:dyDescent="0.3">
      <c r="A84" s="104">
        <v>2</v>
      </c>
      <c r="C84" s="97" t="s">
        <v>401</v>
      </c>
      <c r="D84" s="98" t="s">
        <v>21</v>
      </c>
      <c r="E84" s="88"/>
      <c r="F84" s="51"/>
      <c r="G84" s="52"/>
      <c r="H84" s="52"/>
      <c r="I84" s="52"/>
      <c r="J84" s="99"/>
      <c r="K84" s="100"/>
      <c r="L84" s="100"/>
      <c r="M84" s="100"/>
      <c r="N84" s="100"/>
      <c r="O84" s="100"/>
      <c r="P84" s="100"/>
    </row>
    <row r="85" spans="1:16" x14ac:dyDescent="0.3">
      <c r="A85" s="104">
        <v>3</v>
      </c>
      <c r="C85" s="48" t="s">
        <v>402</v>
      </c>
      <c r="D85" s="77" t="s">
        <v>446</v>
      </c>
      <c r="E85" s="88" t="s">
        <v>12</v>
      </c>
      <c r="F85" s="51"/>
      <c r="G85" s="52"/>
      <c r="H85" s="52"/>
      <c r="I85" s="52"/>
      <c r="J85" s="54"/>
      <c r="K85" s="55"/>
      <c r="L85" s="55"/>
      <c r="M85" s="55"/>
      <c r="N85" s="55"/>
      <c r="O85" s="55"/>
      <c r="P85" s="55">
        <f>SUM(L85:L106)</f>
        <v>373.79</v>
      </c>
    </row>
    <row r="86" spans="1:16" x14ac:dyDescent="0.3">
      <c r="C86" s="56"/>
      <c r="D86" s="79" t="s">
        <v>111</v>
      </c>
      <c r="E86" s="89"/>
      <c r="F86" s="59"/>
      <c r="G86" s="60"/>
      <c r="H86" s="60"/>
      <c r="I86" s="60"/>
      <c r="J86" s="62"/>
      <c r="K86" s="61"/>
      <c r="L86" s="61"/>
      <c r="M86" s="61"/>
      <c r="N86" s="61"/>
      <c r="O86" s="61"/>
      <c r="P86" s="61"/>
    </row>
    <row r="87" spans="1:16" x14ac:dyDescent="0.3">
      <c r="C87" s="63"/>
      <c r="D87" s="80" t="s">
        <v>270</v>
      </c>
      <c r="E87" s="90" t="s">
        <v>12</v>
      </c>
      <c r="F87" s="66">
        <v>1</v>
      </c>
      <c r="G87" s="67" t="s">
        <v>63</v>
      </c>
      <c r="H87" s="67">
        <f>41.88-0.03*12</f>
        <v>41.52</v>
      </c>
      <c r="I87" s="67"/>
      <c r="J87" s="69">
        <v>1</v>
      </c>
      <c r="K87" s="68"/>
      <c r="L87" s="68">
        <f>IF(F87="","",PRODUCT(F87:J87))</f>
        <v>41.52</v>
      </c>
      <c r="M87" s="68"/>
      <c r="N87" s="68"/>
      <c r="O87" s="68"/>
      <c r="P87" s="68"/>
    </row>
    <row r="88" spans="1:16" x14ac:dyDescent="0.3">
      <c r="C88" s="63"/>
      <c r="D88" s="80" t="s">
        <v>146</v>
      </c>
      <c r="E88" s="90" t="s">
        <v>12</v>
      </c>
      <c r="F88" s="66">
        <v>1</v>
      </c>
      <c r="G88" s="67" t="s">
        <v>63</v>
      </c>
      <c r="H88" s="67">
        <f>3.07-0.03</f>
        <v>3.04</v>
      </c>
      <c r="I88" s="67"/>
      <c r="J88" s="69">
        <v>1</v>
      </c>
      <c r="K88" s="68"/>
      <c r="L88" s="68">
        <f t="shared" ref="L88:L89" si="1">IF(F88="","",PRODUCT(F88:J88))</f>
        <v>3.04</v>
      </c>
      <c r="M88" s="68"/>
      <c r="N88" s="68"/>
      <c r="O88" s="68"/>
      <c r="P88" s="68"/>
    </row>
    <row r="89" spans="1:16" x14ac:dyDescent="0.3">
      <c r="C89" s="63"/>
      <c r="D89" s="80" t="s">
        <v>271</v>
      </c>
      <c r="E89" s="90" t="s">
        <v>12</v>
      </c>
      <c r="F89" s="66">
        <v>1</v>
      </c>
      <c r="G89" s="67" t="s">
        <v>63</v>
      </c>
      <c r="H89" s="67">
        <f>15.88-0.03*5</f>
        <v>15.73</v>
      </c>
      <c r="I89" s="67"/>
      <c r="J89" s="69">
        <v>1</v>
      </c>
      <c r="K89" s="68"/>
      <c r="L89" s="68">
        <f t="shared" si="1"/>
        <v>15.73</v>
      </c>
      <c r="M89" s="68"/>
      <c r="N89" s="68"/>
      <c r="O89" s="68"/>
      <c r="P89" s="68"/>
    </row>
    <row r="90" spans="1:16" x14ac:dyDescent="0.3">
      <c r="C90" s="63"/>
      <c r="D90" s="80"/>
      <c r="E90" s="90"/>
      <c r="F90" s="66"/>
      <c r="G90" s="67"/>
      <c r="H90" s="67"/>
      <c r="I90" s="67"/>
      <c r="J90" s="69"/>
      <c r="K90" s="68"/>
      <c r="L90" s="68"/>
      <c r="M90" s="68"/>
      <c r="N90" s="68"/>
      <c r="O90" s="68"/>
      <c r="P90" s="68"/>
    </row>
    <row r="91" spans="1:16" x14ac:dyDescent="0.3">
      <c r="C91" s="56"/>
      <c r="D91" s="79" t="s">
        <v>112</v>
      </c>
      <c r="E91" s="89"/>
      <c r="F91" s="59"/>
      <c r="G91" s="60"/>
      <c r="H91" s="60"/>
      <c r="I91" s="60"/>
      <c r="J91" s="62"/>
      <c r="K91" s="61"/>
      <c r="L91" s="61"/>
      <c r="M91" s="61"/>
      <c r="N91" s="61"/>
      <c r="O91" s="61"/>
      <c r="P91" s="61"/>
    </row>
    <row r="92" spans="1:16" x14ac:dyDescent="0.3">
      <c r="C92" s="63"/>
      <c r="D92" s="80" t="s">
        <v>270</v>
      </c>
      <c r="E92" s="90" t="s">
        <v>12</v>
      </c>
      <c r="F92" s="66">
        <v>1</v>
      </c>
      <c r="G92" s="67" t="s">
        <v>63</v>
      </c>
      <c r="H92" s="67">
        <f>41.88-0.03*12</f>
        <v>41.52</v>
      </c>
      <c r="I92" s="67"/>
      <c r="J92" s="69">
        <v>1</v>
      </c>
      <c r="K92" s="68"/>
      <c r="L92" s="68">
        <f>IF(F92="","",PRODUCT(F92:J92))</f>
        <v>41.52</v>
      </c>
      <c r="M92" s="68"/>
      <c r="N92" s="68"/>
      <c r="O92" s="68"/>
      <c r="P92" s="68"/>
    </row>
    <row r="93" spans="1:16" x14ac:dyDescent="0.3">
      <c r="C93" s="63"/>
      <c r="D93" s="80" t="s">
        <v>146</v>
      </c>
      <c r="E93" s="90" t="s">
        <v>12</v>
      </c>
      <c r="F93" s="66">
        <v>1</v>
      </c>
      <c r="G93" s="67" t="s">
        <v>63</v>
      </c>
      <c r="H93" s="67">
        <f>3.07-0.03</f>
        <v>3.04</v>
      </c>
      <c r="I93" s="67"/>
      <c r="J93" s="69">
        <v>1</v>
      </c>
      <c r="K93" s="68"/>
      <c r="L93" s="68">
        <f t="shared" ref="L93:L95" si="2">IF(F93="","",PRODUCT(F93:J93))</f>
        <v>3.04</v>
      </c>
      <c r="M93" s="68"/>
      <c r="N93" s="68"/>
      <c r="O93" s="68"/>
      <c r="P93" s="68"/>
    </row>
    <row r="94" spans="1:16" x14ac:dyDescent="0.3">
      <c r="C94" s="63"/>
      <c r="D94" s="80" t="s">
        <v>271</v>
      </c>
      <c r="E94" s="90" t="s">
        <v>12</v>
      </c>
      <c r="F94" s="66">
        <v>1</v>
      </c>
      <c r="G94" s="67" t="s">
        <v>63</v>
      </c>
      <c r="H94" s="67">
        <f>15.88-0.03*5</f>
        <v>15.73</v>
      </c>
      <c r="I94" s="67"/>
      <c r="J94" s="69">
        <v>1</v>
      </c>
      <c r="K94" s="68"/>
      <c r="L94" s="68">
        <f t="shared" si="2"/>
        <v>15.73</v>
      </c>
      <c r="M94" s="68"/>
      <c r="N94" s="68"/>
      <c r="O94" s="68"/>
      <c r="P94" s="68"/>
    </row>
    <row r="95" spans="1:16" x14ac:dyDescent="0.3">
      <c r="C95" s="63"/>
      <c r="D95" s="80" t="s">
        <v>102</v>
      </c>
      <c r="E95" s="90" t="s">
        <v>12</v>
      </c>
      <c r="F95" s="66">
        <v>1</v>
      </c>
      <c r="G95" s="67" t="s">
        <v>63</v>
      </c>
      <c r="H95" s="67">
        <f>12.32-0.03</f>
        <v>12.290000000000001</v>
      </c>
      <c r="I95" s="67"/>
      <c r="J95" s="69">
        <v>1</v>
      </c>
      <c r="K95" s="68"/>
      <c r="L95" s="68">
        <f t="shared" si="2"/>
        <v>12.290000000000001</v>
      </c>
      <c r="M95" s="68"/>
      <c r="N95" s="68"/>
      <c r="O95" s="68"/>
      <c r="P95" s="68"/>
    </row>
    <row r="96" spans="1:16" x14ac:dyDescent="0.3">
      <c r="C96" s="63"/>
      <c r="D96" s="79" t="s">
        <v>107</v>
      </c>
      <c r="E96" s="89"/>
      <c r="F96" s="59"/>
      <c r="G96" s="60"/>
      <c r="H96" s="60"/>
      <c r="I96" s="60"/>
      <c r="J96" s="62"/>
      <c r="K96" s="61"/>
      <c r="L96" s="61"/>
      <c r="M96" s="68"/>
      <c r="N96" s="68"/>
      <c r="O96" s="68"/>
      <c r="P96" s="68"/>
    </row>
    <row r="97" spans="1:16" x14ac:dyDescent="0.3">
      <c r="C97" s="63"/>
      <c r="D97" s="80" t="s">
        <v>270</v>
      </c>
      <c r="E97" s="90" t="s">
        <v>12</v>
      </c>
      <c r="F97" s="66">
        <v>1</v>
      </c>
      <c r="G97" s="67" t="s">
        <v>63</v>
      </c>
      <c r="H97" s="67">
        <f>41.88-0.03*12</f>
        <v>41.52</v>
      </c>
      <c r="I97" s="67"/>
      <c r="J97" s="69">
        <v>1</v>
      </c>
      <c r="K97" s="68"/>
      <c r="L97" s="68">
        <f>IF(F97="","",PRODUCT(F97:J97))</f>
        <v>41.52</v>
      </c>
      <c r="M97" s="68"/>
      <c r="N97" s="68"/>
      <c r="O97" s="68"/>
      <c r="P97" s="68"/>
    </row>
    <row r="98" spans="1:16" x14ac:dyDescent="0.3">
      <c r="C98" s="63"/>
      <c r="D98" s="80" t="s">
        <v>146</v>
      </c>
      <c r="E98" s="90" t="s">
        <v>12</v>
      </c>
      <c r="F98" s="66">
        <v>1</v>
      </c>
      <c r="G98" s="67" t="s">
        <v>63</v>
      </c>
      <c r="H98" s="67">
        <f>3.07-0.03</f>
        <v>3.04</v>
      </c>
      <c r="I98" s="67"/>
      <c r="J98" s="69">
        <v>1</v>
      </c>
      <c r="K98" s="68"/>
      <c r="L98" s="68">
        <f t="shared" ref="L98:L100" si="3">IF(F98="","",PRODUCT(F98:J98))</f>
        <v>3.04</v>
      </c>
      <c r="M98" s="68"/>
      <c r="N98" s="68"/>
      <c r="O98" s="68"/>
      <c r="P98" s="68"/>
    </row>
    <row r="99" spans="1:16" x14ac:dyDescent="0.3">
      <c r="C99" s="63"/>
      <c r="D99" s="80" t="s">
        <v>271</v>
      </c>
      <c r="E99" s="90" t="s">
        <v>12</v>
      </c>
      <c r="F99" s="66">
        <v>1</v>
      </c>
      <c r="G99" s="67" t="s">
        <v>63</v>
      </c>
      <c r="H99" s="67">
        <f>15.88-0.03*5</f>
        <v>15.73</v>
      </c>
      <c r="I99" s="67"/>
      <c r="J99" s="69">
        <v>1</v>
      </c>
      <c r="K99" s="68"/>
      <c r="L99" s="68">
        <f t="shared" si="3"/>
        <v>15.73</v>
      </c>
      <c r="M99" s="68"/>
      <c r="N99" s="68"/>
      <c r="O99" s="68"/>
      <c r="P99" s="68"/>
    </row>
    <row r="100" spans="1:16" x14ac:dyDescent="0.3">
      <c r="C100" s="63"/>
      <c r="D100" s="80" t="s">
        <v>102</v>
      </c>
      <c r="E100" s="90" t="s">
        <v>12</v>
      </c>
      <c r="F100" s="66">
        <v>1</v>
      </c>
      <c r="G100" s="67" t="s">
        <v>63</v>
      </c>
      <c r="H100" s="67">
        <f>12.32-0.03</f>
        <v>12.290000000000001</v>
      </c>
      <c r="I100" s="67"/>
      <c r="J100" s="69">
        <v>1</v>
      </c>
      <c r="K100" s="68"/>
      <c r="L100" s="68">
        <f t="shared" si="3"/>
        <v>12.290000000000001</v>
      </c>
      <c r="M100" s="68"/>
      <c r="N100" s="68"/>
      <c r="O100" s="68"/>
      <c r="P100" s="68"/>
    </row>
    <row r="101" spans="1:16" x14ac:dyDescent="0.3">
      <c r="C101" s="63"/>
      <c r="D101" s="79" t="s">
        <v>60</v>
      </c>
      <c r="E101" s="89"/>
      <c r="F101" s="59"/>
      <c r="G101" s="60"/>
      <c r="H101" s="60"/>
      <c r="I101" s="60"/>
      <c r="J101" s="62"/>
      <c r="K101" s="61"/>
      <c r="L101" s="61"/>
      <c r="M101" s="68"/>
      <c r="N101" s="68"/>
      <c r="O101" s="68"/>
      <c r="P101" s="68"/>
    </row>
    <row r="102" spans="1:16" x14ac:dyDescent="0.3">
      <c r="C102" s="63"/>
      <c r="D102" s="80" t="s">
        <v>102</v>
      </c>
      <c r="E102" s="90" t="s">
        <v>12</v>
      </c>
      <c r="F102" s="66">
        <v>1</v>
      </c>
      <c r="G102" s="67" t="s">
        <v>63</v>
      </c>
      <c r="H102" s="67">
        <f>12.69-0.03*2</f>
        <v>12.629999999999999</v>
      </c>
      <c r="I102" s="67"/>
      <c r="J102" s="69">
        <v>1</v>
      </c>
      <c r="K102" s="68"/>
      <c r="L102" s="68">
        <f t="shared" ref="L102" si="4">IF(F102="","",PRODUCT(F102:J102))</f>
        <v>12.629999999999999</v>
      </c>
      <c r="M102" s="68"/>
      <c r="N102" s="68"/>
      <c r="O102" s="68"/>
      <c r="P102" s="68"/>
    </row>
    <row r="103" spans="1:16" x14ac:dyDescent="0.3">
      <c r="C103" s="56"/>
      <c r="D103" s="79" t="s">
        <v>113</v>
      </c>
      <c r="E103" s="89"/>
      <c r="F103" s="59"/>
      <c r="G103" s="60"/>
      <c r="H103" s="60"/>
      <c r="I103" s="60"/>
      <c r="J103" s="62"/>
      <c r="K103" s="61"/>
      <c r="L103" s="61"/>
      <c r="M103" s="61"/>
      <c r="N103" s="61"/>
      <c r="O103" s="61"/>
      <c r="P103" s="61"/>
    </row>
    <row r="104" spans="1:16" x14ac:dyDescent="0.3">
      <c r="C104" s="63"/>
      <c r="D104" s="164" t="s">
        <v>308</v>
      </c>
      <c r="E104" s="165" t="s">
        <v>12</v>
      </c>
      <c r="F104" s="166">
        <v>1</v>
      </c>
      <c r="G104" s="111" t="s">
        <v>63</v>
      </c>
      <c r="H104" s="111">
        <f>148.17-73</f>
        <v>75.169999999999987</v>
      </c>
      <c r="I104" s="111"/>
      <c r="J104" s="166">
        <v>1</v>
      </c>
      <c r="K104" s="111"/>
      <c r="L104" s="111">
        <f t="shared" ref="L104:L105" si="5">IF(F104="","",PRODUCT(F104:J104))</f>
        <v>75.169999999999987</v>
      </c>
      <c r="M104" s="68"/>
      <c r="N104" s="68"/>
      <c r="O104" s="68"/>
      <c r="P104" s="68"/>
    </row>
    <row r="105" spans="1:16" x14ac:dyDescent="0.3">
      <c r="C105" s="63"/>
      <c r="D105" s="164" t="s">
        <v>309</v>
      </c>
      <c r="E105" s="165" t="s">
        <v>12</v>
      </c>
      <c r="F105" s="166">
        <v>1</v>
      </c>
      <c r="G105" s="111" t="s">
        <v>63</v>
      </c>
      <c r="H105" s="111">
        <v>80.540000000000006</v>
      </c>
      <c r="I105" s="111"/>
      <c r="J105" s="166">
        <v>1</v>
      </c>
      <c r="K105" s="111"/>
      <c r="L105" s="111">
        <f t="shared" si="5"/>
        <v>80.540000000000006</v>
      </c>
      <c r="M105" s="68"/>
      <c r="N105" s="68"/>
      <c r="O105" s="68"/>
      <c r="P105" s="68"/>
    </row>
    <row r="106" spans="1:16" x14ac:dyDescent="0.3">
      <c r="C106" s="63"/>
      <c r="D106" s="80"/>
      <c r="E106" s="90"/>
      <c r="F106" s="66"/>
      <c r="G106" s="67"/>
      <c r="H106" s="111"/>
      <c r="I106" s="67"/>
      <c r="J106" s="69"/>
      <c r="K106" s="68"/>
      <c r="L106" s="68"/>
      <c r="M106" s="68"/>
      <c r="N106" s="68"/>
      <c r="O106" s="68"/>
      <c r="P106" s="68"/>
    </row>
    <row r="107" spans="1:16" x14ac:dyDescent="0.3">
      <c r="A107" s="104">
        <v>2</v>
      </c>
      <c r="C107" s="97" t="s">
        <v>423</v>
      </c>
      <c r="D107" s="98" t="s">
        <v>28</v>
      </c>
      <c r="E107" s="88"/>
      <c r="F107" s="51"/>
      <c r="G107" s="52"/>
      <c r="H107" s="52"/>
      <c r="I107" s="52"/>
      <c r="J107" s="99"/>
      <c r="K107" s="100"/>
      <c r="L107" s="100"/>
      <c r="M107" s="100"/>
      <c r="N107" s="100"/>
      <c r="O107" s="100"/>
      <c r="P107" s="100"/>
    </row>
    <row r="108" spans="1:16" x14ac:dyDescent="0.3">
      <c r="A108" s="104">
        <v>3</v>
      </c>
      <c r="C108" s="48" t="s">
        <v>424</v>
      </c>
      <c r="D108" s="77" t="s">
        <v>159</v>
      </c>
      <c r="E108" s="88" t="s">
        <v>12</v>
      </c>
      <c r="F108" s="51"/>
      <c r="G108" s="52"/>
      <c r="H108" s="52"/>
      <c r="I108" s="52"/>
      <c r="J108" s="54"/>
      <c r="K108" s="55"/>
      <c r="L108" s="55"/>
      <c r="M108" s="55"/>
      <c r="N108" s="55"/>
      <c r="O108" s="55"/>
      <c r="P108" s="55">
        <f>SUM(O108:O112)</f>
        <v>2</v>
      </c>
    </row>
    <row r="109" spans="1:16" ht="20.399999999999999" x14ac:dyDescent="0.3">
      <c r="C109" s="56"/>
      <c r="D109" s="83" t="s">
        <v>166</v>
      </c>
      <c r="E109" s="50"/>
      <c r="F109" s="154"/>
      <c r="G109" s="52"/>
      <c r="H109" s="52"/>
      <c r="I109" s="52"/>
      <c r="J109" s="155"/>
      <c r="K109" s="138"/>
      <c r="L109" s="138"/>
      <c r="M109" s="138"/>
      <c r="N109" s="138"/>
      <c r="O109" s="61"/>
      <c r="P109" s="61"/>
    </row>
    <row r="110" spans="1:16" x14ac:dyDescent="0.3">
      <c r="C110" s="63"/>
      <c r="D110" s="79" t="s">
        <v>111</v>
      </c>
      <c r="E110" s="73"/>
      <c r="F110" s="82"/>
      <c r="G110" s="52"/>
      <c r="H110" s="52"/>
      <c r="I110" s="52"/>
      <c r="J110" s="62"/>
      <c r="K110" s="61"/>
      <c r="L110" s="61"/>
      <c r="M110" s="61"/>
      <c r="N110" s="61"/>
      <c r="O110" s="68" t="str">
        <f t="shared" ref="O110:O111" si="6">IF(F110="","",PRODUCT(F110:J110))</f>
        <v/>
      </c>
      <c r="P110" s="68"/>
    </row>
    <row r="111" spans="1:16" x14ac:dyDescent="0.3">
      <c r="C111" s="63"/>
      <c r="D111" s="80" t="s">
        <v>98</v>
      </c>
      <c r="E111" s="65" t="s">
        <v>14</v>
      </c>
      <c r="F111" s="69">
        <v>1</v>
      </c>
      <c r="G111" s="67"/>
      <c r="H111" s="67"/>
      <c r="I111" s="67"/>
      <c r="J111" s="66">
        <v>2</v>
      </c>
      <c r="K111" s="68"/>
      <c r="L111" s="68"/>
      <c r="M111" s="68"/>
      <c r="N111" s="68"/>
      <c r="O111" s="68">
        <f t="shared" si="6"/>
        <v>2</v>
      </c>
      <c r="P111" s="68"/>
    </row>
    <row r="112" spans="1:16" x14ac:dyDescent="0.3">
      <c r="C112" s="63"/>
      <c r="D112" s="80"/>
      <c r="E112" s="90"/>
      <c r="F112" s="66"/>
      <c r="G112" s="67"/>
      <c r="H112" s="67"/>
      <c r="I112" s="67"/>
      <c r="J112" s="69"/>
      <c r="K112" s="68"/>
      <c r="L112" s="68"/>
      <c r="M112" s="68"/>
      <c r="N112" s="68"/>
      <c r="O112" s="68"/>
      <c r="P112" s="68"/>
    </row>
    <row r="113" spans="1:16" x14ac:dyDescent="0.3">
      <c r="C113" s="97" t="s">
        <v>426</v>
      </c>
      <c r="D113" s="97" t="s">
        <v>29</v>
      </c>
      <c r="E113" s="101"/>
      <c r="F113" s="51"/>
      <c r="G113" s="52"/>
      <c r="H113" s="52"/>
      <c r="I113" s="109"/>
      <c r="J113" s="99"/>
      <c r="K113" s="100"/>
      <c r="L113" s="100"/>
      <c r="M113" s="100"/>
      <c r="N113" s="100"/>
      <c r="O113" s="100"/>
      <c r="P113" s="100"/>
    </row>
    <row r="114" spans="1:16" x14ac:dyDescent="0.3">
      <c r="C114" s="48" t="s">
        <v>427</v>
      </c>
      <c r="D114" s="49" t="s">
        <v>160</v>
      </c>
      <c r="E114" s="50" t="s">
        <v>13</v>
      </c>
      <c r="F114" s="51"/>
      <c r="G114" s="52"/>
      <c r="H114" s="52"/>
      <c r="I114" s="53"/>
      <c r="J114" s="54"/>
      <c r="K114" s="55"/>
      <c r="L114" s="55"/>
      <c r="M114" s="55"/>
      <c r="N114" s="55"/>
      <c r="O114" s="55"/>
      <c r="P114" s="55">
        <f>SUM(K114:K117)</f>
        <v>83.55</v>
      </c>
    </row>
    <row r="115" spans="1:16" s="150" customFormat="1" x14ac:dyDescent="0.2">
      <c r="A115" s="184"/>
      <c r="B115" s="149"/>
      <c r="C115" s="63"/>
      <c r="D115" s="80" t="s">
        <v>111</v>
      </c>
      <c r="E115" s="65" t="s">
        <v>13</v>
      </c>
      <c r="F115" s="69">
        <v>12</v>
      </c>
      <c r="G115" s="67">
        <f>(2*1.8)+0.15</f>
        <v>3.75</v>
      </c>
      <c r="H115" s="67"/>
      <c r="I115" s="67"/>
      <c r="J115" s="69">
        <v>1</v>
      </c>
      <c r="K115" s="68">
        <f t="shared" ref="K115:K116" si="7">PRODUCT(F115:J115)</f>
        <v>45</v>
      </c>
      <c r="L115" s="181"/>
      <c r="M115" s="68"/>
      <c r="N115" s="68"/>
      <c r="O115" s="68"/>
      <c r="P115" s="68"/>
    </row>
    <row r="116" spans="1:16" s="150" customFormat="1" x14ac:dyDescent="0.2">
      <c r="A116" s="184"/>
      <c r="B116" s="149"/>
      <c r="C116" s="63"/>
      <c r="D116" s="57"/>
      <c r="E116" s="65" t="s">
        <v>13</v>
      </c>
      <c r="F116" s="69">
        <v>15</v>
      </c>
      <c r="G116" s="67">
        <f>2.57</f>
        <v>2.57</v>
      </c>
      <c r="H116" s="67"/>
      <c r="I116" s="67"/>
      <c r="J116" s="69">
        <v>1</v>
      </c>
      <c r="K116" s="68">
        <f t="shared" si="7"/>
        <v>38.549999999999997</v>
      </c>
      <c r="L116" s="181"/>
      <c r="M116" s="68"/>
      <c r="N116" s="68"/>
      <c r="O116" s="68"/>
      <c r="P116" s="68"/>
    </row>
    <row r="117" spans="1:16" x14ac:dyDescent="0.3">
      <c r="C117" s="173"/>
      <c r="D117" s="188"/>
      <c r="E117" s="189"/>
      <c r="F117" s="92"/>
      <c r="G117" s="86"/>
      <c r="H117" s="86"/>
      <c r="I117" s="190"/>
      <c r="J117" s="166"/>
      <c r="K117" s="111"/>
      <c r="L117" s="111"/>
      <c r="M117" s="111"/>
      <c r="N117" s="111"/>
      <c r="O117" s="111"/>
      <c r="P117" s="111"/>
    </row>
    <row r="118" spans="1:16" x14ac:dyDescent="0.3">
      <c r="A118" s="104">
        <v>2</v>
      </c>
      <c r="C118" s="97" t="s">
        <v>428</v>
      </c>
      <c r="D118" s="98" t="s">
        <v>16</v>
      </c>
      <c r="E118" s="88"/>
      <c r="F118" s="51"/>
      <c r="G118" s="52"/>
      <c r="H118" s="52"/>
      <c r="I118" s="52"/>
      <c r="J118" s="99"/>
      <c r="K118" s="100"/>
      <c r="L118" s="100"/>
      <c r="M118" s="100"/>
      <c r="N118" s="100"/>
      <c r="O118" s="100"/>
      <c r="P118" s="100"/>
    </row>
    <row r="119" spans="1:16" x14ac:dyDescent="0.3">
      <c r="A119" s="104">
        <v>4</v>
      </c>
      <c r="C119" s="48" t="s">
        <v>430</v>
      </c>
      <c r="D119" s="77" t="s">
        <v>372</v>
      </c>
      <c r="E119" s="88" t="s">
        <v>12</v>
      </c>
      <c r="F119" s="51"/>
      <c r="G119" s="52"/>
      <c r="H119" s="52"/>
      <c r="I119" s="52"/>
      <c r="J119" s="54"/>
      <c r="K119" s="55"/>
      <c r="L119" s="55"/>
      <c r="M119" s="55"/>
      <c r="N119" s="55"/>
      <c r="O119" s="55"/>
      <c r="P119" s="55">
        <f>SUM(K119:K143)</f>
        <v>91.339999999999989</v>
      </c>
    </row>
    <row r="120" spans="1:16" x14ac:dyDescent="0.3">
      <c r="C120" s="48"/>
      <c r="D120" s="75" t="s">
        <v>145</v>
      </c>
      <c r="E120" s="73"/>
      <c r="F120" s="82"/>
      <c r="G120" s="52"/>
      <c r="H120" s="52"/>
      <c r="I120" s="52"/>
      <c r="J120" s="62"/>
      <c r="K120" s="61"/>
      <c r="L120" s="138"/>
      <c r="M120" s="138"/>
      <c r="N120" s="138"/>
      <c r="O120" s="138"/>
      <c r="P120" s="55"/>
    </row>
    <row r="121" spans="1:16" x14ac:dyDescent="0.3">
      <c r="C121" s="56"/>
      <c r="D121" s="81" t="s">
        <v>115</v>
      </c>
      <c r="E121" s="73"/>
      <c r="F121" s="82"/>
      <c r="G121" s="52"/>
      <c r="H121" s="52"/>
      <c r="I121" s="52"/>
      <c r="J121" s="62"/>
      <c r="K121" s="61"/>
      <c r="L121" s="68"/>
      <c r="M121" s="61"/>
      <c r="N121" s="61"/>
      <c r="O121" s="61"/>
      <c r="P121" s="61"/>
    </row>
    <row r="122" spans="1:16" x14ac:dyDescent="0.3">
      <c r="C122" s="56"/>
      <c r="D122" s="80" t="s">
        <v>169</v>
      </c>
      <c r="E122" s="90" t="s">
        <v>13</v>
      </c>
      <c r="F122" s="66">
        <v>1</v>
      </c>
      <c r="G122" s="67">
        <f>1.84+3.9+0.75</f>
        <v>6.49</v>
      </c>
      <c r="H122" s="67"/>
      <c r="I122" s="67"/>
      <c r="J122" s="66">
        <v>1</v>
      </c>
      <c r="K122" s="67">
        <f>F122*J122*G122</f>
        <v>6.49</v>
      </c>
      <c r="L122" s="68"/>
      <c r="M122" s="61"/>
      <c r="N122" s="61"/>
      <c r="O122" s="61"/>
      <c r="P122" s="61"/>
    </row>
    <row r="123" spans="1:16" x14ac:dyDescent="0.3">
      <c r="C123" s="56"/>
      <c r="D123" s="80" t="s">
        <v>170</v>
      </c>
      <c r="E123" s="90" t="s">
        <v>13</v>
      </c>
      <c r="F123" s="66">
        <v>5</v>
      </c>
      <c r="G123" s="67">
        <v>1.2</v>
      </c>
      <c r="H123" s="67"/>
      <c r="I123" s="67"/>
      <c r="J123" s="66">
        <v>1</v>
      </c>
      <c r="K123" s="67">
        <f>F123*J123*G123</f>
        <v>6</v>
      </c>
      <c r="L123" s="68"/>
      <c r="M123" s="61"/>
      <c r="N123" s="61"/>
      <c r="O123" s="61"/>
      <c r="P123" s="61"/>
    </row>
    <row r="124" spans="1:16" x14ac:dyDescent="0.3">
      <c r="C124" s="56"/>
      <c r="D124" s="80" t="s">
        <v>171</v>
      </c>
      <c r="E124" s="90" t="s">
        <v>13</v>
      </c>
      <c r="F124" s="66">
        <v>1</v>
      </c>
      <c r="G124" s="67">
        <v>1.5</v>
      </c>
      <c r="H124" s="67"/>
      <c r="I124" s="67"/>
      <c r="J124" s="66">
        <v>1</v>
      </c>
      <c r="K124" s="67">
        <f>F124*J124*G124</f>
        <v>1.5</v>
      </c>
      <c r="L124" s="68"/>
      <c r="M124" s="61"/>
      <c r="N124" s="61"/>
      <c r="O124" s="61"/>
      <c r="P124" s="61"/>
    </row>
    <row r="125" spans="1:16" x14ac:dyDescent="0.3">
      <c r="C125" s="56"/>
      <c r="D125" s="75"/>
      <c r="E125" s="73"/>
      <c r="F125" s="82"/>
      <c r="G125" s="52"/>
      <c r="H125" s="52"/>
      <c r="I125" s="52"/>
      <c r="J125" s="62"/>
      <c r="K125" s="61"/>
      <c r="L125" s="68"/>
      <c r="M125" s="61"/>
      <c r="N125" s="61"/>
      <c r="O125" s="61"/>
      <c r="P125" s="61"/>
    </row>
    <row r="126" spans="1:16" x14ac:dyDescent="0.3">
      <c r="C126" s="56"/>
      <c r="D126" s="75" t="s">
        <v>127</v>
      </c>
      <c r="E126" s="73"/>
      <c r="F126" s="82"/>
      <c r="G126" s="52"/>
      <c r="H126" s="52"/>
      <c r="I126" s="52"/>
      <c r="J126" s="62"/>
      <c r="K126" s="61"/>
      <c r="L126" s="68"/>
      <c r="M126" s="61"/>
      <c r="N126" s="61"/>
      <c r="O126" s="61"/>
      <c r="P126" s="61"/>
    </row>
    <row r="127" spans="1:16" x14ac:dyDescent="0.3">
      <c r="C127" s="56"/>
      <c r="D127" s="81" t="s">
        <v>115</v>
      </c>
      <c r="E127" s="73"/>
      <c r="F127" s="82"/>
      <c r="G127" s="52"/>
      <c r="H127" s="52"/>
      <c r="I127" s="52"/>
      <c r="J127" s="62"/>
      <c r="K127" s="61"/>
      <c r="L127" s="68"/>
      <c r="M127" s="61"/>
      <c r="N127" s="61"/>
      <c r="O127" s="61"/>
      <c r="P127" s="61"/>
    </row>
    <row r="128" spans="1:16" x14ac:dyDescent="0.3">
      <c r="C128" s="56"/>
      <c r="D128" s="80" t="s">
        <v>310</v>
      </c>
      <c r="E128" s="90" t="s">
        <v>13</v>
      </c>
      <c r="F128" s="66">
        <v>1</v>
      </c>
      <c r="G128" s="67">
        <v>25.310000000000002</v>
      </c>
      <c r="H128" s="67"/>
      <c r="I128" s="67"/>
      <c r="J128" s="66">
        <v>1</v>
      </c>
      <c r="K128" s="67">
        <f>F128*J128*G128</f>
        <v>25.310000000000002</v>
      </c>
      <c r="L128" s="68"/>
      <c r="M128" s="61"/>
      <c r="N128" s="61"/>
      <c r="O128" s="61"/>
      <c r="P128" s="61"/>
    </row>
    <row r="129" spans="1:16" x14ac:dyDescent="0.3">
      <c r="C129" s="56"/>
      <c r="D129" s="80" t="s">
        <v>311</v>
      </c>
      <c r="E129" s="90" t="s">
        <v>13</v>
      </c>
      <c r="F129" s="66">
        <v>1</v>
      </c>
      <c r="G129" s="67">
        <v>7.7399999999999993</v>
      </c>
      <c r="H129" s="67"/>
      <c r="I129" s="67"/>
      <c r="J129" s="66">
        <v>1</v>
      </c>
      <c r="K129" s="67">
        <f>F129*J129*G129</f>
        <v>7.7399999999999993</v>
      </c>
      <c r="L129" s="68"/>
      <c r="M129" s="61"/>
      <c r="N129" s="61"/>
      <c r="O129" s="61"/>
      <c r="P129" s="61"/>
    </row>
    <row r="130" spans="1:16" x14ac:dyDescent="0.3">
      <c r="C130" s="56"/>
      <c r="D130" s="80" t="s">
        <v>312</v>
      </c>
      <c r="E130" s="90" t="s">
        <v>13</v>
      </c>
      <c r="F130" s="66">
        <v>1</v>
      </c>
      <c r="G130" s="67">
        <v>9.36</v>
      </c>
      <c r="H130" s="67"/>
      <c r="I130" s="67"/>
      <c r="J130" s="66">
        <v>1</v>
      </c>
      <c r="K130" s="67">
        <f>F130*J130*G130</f>
        <v>9.36</v>
      </c>
      <c r="L130" s="68"/>
      <c r="M130" s="61"/>
      <c r="N130" s="61"/>
      <c r="O130" s="61"/>
      <c r="P130" s="61"/>
    </row>
    <row r="131" spans="1:16" x14ac:dyDescent="0.3">
      <c r="C131" s="56"/>
      <c r="D131" s="80" t="s">
        <v>313</v>
      </c>
      <c r="E131" s="90" t="s">
        <v>13</v>
      </c>
      <c r="F131" s="66">
        <v>1</v>
      </c>
      <c r="G131" s="67">
        <v>17.280000000000005</v>
      </c>
      <c r="H131" s="67"/>
      <c r="I131" s="67"/>
      <c r="J131" s="66">
        <v>1</v>
      </c>
      <c r="K131" s="67">
        <f>F131*J131*G131</f>
        <v>17.280000000000005</v>
      </c>
      <c r="L131" s="68"/>
      <c r="M131" s="61"/>
      <c r="N131" s="61"/>
      <c r="O131" s="61"/>
      <c r="P131" s="61"/>
    </row>
    <row r="132" spans="1:16" x14ac:dyDescent="0.3">
      <c r="C132" s="56"/>
      <c r="D132" s="80" t="s">
        <v>179</v>
      </c>
      <c r="E132" s="90" t="s">
        <v>13</v>
      </c>
      <c r="F132" s="66">
        <v>33</v>
      </c>
      <c r="G132" s="67"/>
      <c r="H132" s="67"/>
      <c r="I132" s="67">
        <v>0.1</v>
      </c>
      <c r="J132" s="66">
        <v>1</v>
      </c>
      <c r="K132" s="67">
        <f>F132*J132*I132</f>
        <v>3.3000000000000003</v>
      </c>
      <c r="L132" s="68"/>
      <c r="M132" s="61"/>
      <c r="N132" s="61"/>
      <c r="O132" s="61"/>
      <c r="P132" s="61"/>
    </row>
    <row r="133" spans="1:16" x14ac:dyDescent="0.3">
      <c r="C133" s="56"/>
      <c r="D133" s="81" t="s">
        <v>139</v>
      </c>
      <c r="E133" s="73"/>
      <c r="F133" s="82"/>
      <c r="G133" s="52"/>
      <c r="H133" s="52"/>
      <c r="I133" s="52"/>
      <c r="J133" s="62"/>
      <c r="K133" s="61"/>
      <c r="L133" s="68"/>
      <c r="M133" s="61"/>
      <c r="N133" s="61"/>
      <c r="O133" s="61"/>
      <c r="P133" s="61"/>
    </row>
    <row r="134" spans="1:16" x14ac:dyDescent="0.3">
      <c r="C134" s="56"/>
      <c r="D134" s="80" t="s">
        <v>224</v>
      </c>
      <c r="E134" s="90" t="s">
        <v>13</v>
      </c>
      <c r="F134" s="66">
        <v>1</v>
      </c>
      <c r="G134" s="67">
        <v>10.51</v>
      </c>
      <c r="H134" s="67"/>
      <c r="I134" s="67"/>
      <c r="J134" s="66">
        <v>1</v>
      </c>
      <c r="K134" s="67">
        <f>F134*J134*G134</f>
        <v>10.51</v>
      </c>
      <c r="L134" s="68"/>
      <c r="M134" s="61"/>
      <c r="N134" s="61"/>
      <c r="O134" s="61"/>
      <c r="P134" s="61"/>
    </row>
    <row r="135" spans="1:16" x14ac:dyDescent="0.3">
      <c r="C135" s="56"/>
      <c r="D135" s="80" t="s">
        <v>179</v>
      </c>
      <c r="E135" s="90" t="s">
        <v>13</v>
      </c>
      <c r="F135" s="66">
        <v>1</v>
      </c>
      <c r="G135" s="67"/>
      <c r="H135" s="67"/>
      <c r="I135" s="67">
        <v>0.1</v>
      </c>
      <c r="J135" s="66">
        <v>1</v>
      </c>
      <c r="K135" s="67">
        <f>F135*J135*I135</f>
        <v>0.1</v>
      </c>
      <c r="L135" s="68"/>
      <c r="M135" s="61"/>
      <c r="N135" s="61"/>
      <c r="O135" s="61"/>
      <c r="P135" s="61"/>
    </row>
    <row r="136" spans="1:16" x14ac:dyDescent="0.3">
      <c r="C136" s="56"/>
      <c r="D136" s="75"/>
      <c r="E136" s="73"/>
      <c r="F136" s="82"/>
      <c r="G136" s="52"/>
      <c r="H136" s="52"/>
      <c r="I136" s="52"/>
      <c r="J136" s="62"/>
      <c r="K136" s="61"/>
      <c r="L136" s="68"/>
      <c r="M136" s="61"/>
      <c r="N136" s="61"/>
      <c r="O136" s="61"/>
      <c r="P136" s="61"/>
    </row>
    <row r="137" spans="1:16" x14ac:dyDescent="0.3">
      <c r="C137" s="56"/>
      <c r="D137" s="75" t="s">
        <v>182</v>
      </c>
      <c r="E137" s="73"/>
      <c r="F137" s="82"/>
      <c r="G137" s="52"/>
      <c r="H137" s="52"/>
      <c r="I137" s="52"/>
      <c r="J137" s="62"/>
      <c r="K137" s="61"/>
      <c r="L137" s="68"/>
      <c r="M137" s="61"/>
      <c r="N137" s="61"/>
      <c r="O137" s="61"/>
      <c r="P137" s="61"/>
    </row>
    <row r="138" spans="1:16" x14ac:dyDescent="0.3">
      <c r="C138" s="56"/>
      <c r="D138" s="81" t="s">
        <v>115</v>
      </c>
      <c r="E138" s="73"/>
      <c r="F138" s="82"/>
      <c r="G138" s="52"/>
      <c r="H138" s="52"/>
      <c r="I138" s="52"/>
      <c r="J138" s="62"/>
      <c r="K138" s="61"/>
      <c r="L138" s="68"/>
      <c r="M138" s="61"/>
      <c r="N138" s="61"/>
      <c r="O138" s="61"/>
      <c r="P138" s="61"/>
    </row>
    <row r="139" spans="1:16" x14ac:dyDescent="0.3">
      <c r="C139" s="56"/>
      <c r="D139" s="80" t="s">
        <v>313</v>
      </c>
      <c r="E139" s="90" t="s">
        <v>13</v>
      </c>
      <c r="F139" s="66">
        <v>1</v>
      </c>
      <c r="G139" s="67">
        <v>0.8</v>
      </c>
      <c r="H139" s="67"/>
      <c r="I139" s="67"/>
      <c r="J139" s="66">
        <v>1</v>
      </c>
      <c r="K139" s="67">
        <f>F139*J139*G139</f>
        <v>0.8</v>
      </c>
      <c r="L139" s="68"/>
      <c r="M139" s="61"/>
      <c r="N139" s="61"/>
      <c r="O139" s="61"/>
      <c r="P139" s="61"/>
    </row>
    <row r="140" spans="1:16" x14ac:dyDescent="0.3">
      <c r="C140" s="56"/>
      <c r="D140" s="80"/>
      <c r="E140" s="90" t="s">
        <v>13</v>
      </c>
      <c r="F140" s="66">
        <v>1</v>
      </c>
      <c r="G140" s="67">
        <v>0.6</v>
      </c>
      <c r="H140" s="67"/>
      <c r="I140" s="67"/>
      <c r="J140" s="66">
        <v>1</v>
      </c>
      <c r="K140" s="67">
        <f>F140*J140*G140</f>
        <v>0.6</v>
      </c>
      <c r="L140" s="68"/>
      <c r="M140" s="61"/>
      <c r="N140" s="61"/>
      <c r="O140" s="61"/>
      <c r="P140" s="61"/>
    </row>
    <row r="141" spans="1:16" x14ac:dyDescent="0.3">
      <c r="C141" s="56"/>
      <c r="D141" s="80" t="s">
        <v>179</v>
      </c>
      <c r="E141" s="90" t="s">
        <v>13</v>
      </c>
      <c r="F141" s="66">
        <v>1</v>
      </c>
      <c r="G141" s="67">
        <v>0.85</v>
      </c>
      <c r="H141" s="67"/>
      <c r="I141" s="67"/>
      <c r="J141" s="66">
        <v>1</v>
      </c>
      <c r="K141" s="67">
        <f t="shared" ref="K141:K142" si="8">F141*J141*G141</f>
        <v>0.85</v>
      </c>
      <c r="L141" s="68"/>
      <c r="M141" s="61"/>
      <c r="N141" s="61"/>
      <c r="O141" s="61"/>
      <c r="P141" s="61"/>
    </row>
    <row r="142" spans="1:16" x14ac:dyDescent="0.3">
      <c r="C142" s="56"/>
      <c r="D142" s="80"/>
      <c r="E142" s="90" t="s">
        <v>13</v>
      </c>
      <c r="F142" s="66">
        <v>2</v>
      </c>
      <c r="G142" s="67">
        <v>0.75</v>
      </c>
      <c r="H142" s="67"/>
      <c r="I142" s="67"/>
      <c r="J142" s="66">
        <v>1</v>
      </c>
      <c r="K142" s="67">
        <f t="shared" si="8"/>
        <v>1.5</v>
      </c>
      <c r="L142" s="68"/>
      <c r="M142" s="61"/>
      <c r="N142" s="61"/>
      <c r="O142" s="61"/>
      <c r="P142" s="61"/>
    </row>
    <row r="143" spans="1:16" x14ac:dyDescent="0.3">
      <c r="C143" s="56"/>
      <c r="D143" s="75"/>
      <c r="E143" s="73"/>
      <c r="F143" s="82"/>
      <c r="G143" s="52"/>
      <c r="H143" s="52"/>
      <c r="I143" s="52"/>
      <c r="J143" s="62"/>
      <c r="K143" s="61"/>
      <c r="L143" s="68"/>
      <c r="M143" s="61"/>
      <c r="N143" s="61"/>
      <c r="O143" s="61"/>
      <c r="P143" s="61"/>
    </row>
    <row r="144" spans="1:16" x14ac:dyDescent="0.3">
      <c r="A144" s="104">
        <v>4</v>
      </c>
      <c r="C144" s="48" t="s">
        <v>432</v>
      </c>
      <c r="D144" s="77" t="s">
        <v>162</v>
      </c>
      <c r="E144" s="88" t="s">
        <v>14</v>
      </c>
      <c r="F144" s="51"/>
      <c r="G144" s="52"/>
      <c r="H144" s="52"/>
      <c r="I144" s="52"/>
      <c r="J144" s="54"/>
      <c r="K144" s="55"/>
      <c r="L144" s="55"/>
      <c r="M144" s="55"/>
      <c r="N144" s="55"/>
      <c r="O144" s="55"/>
      <c r="P144" s="55">
        <f>SUM(O144:O146)</f>
        <v>1</v>
      </c>
    </row>
    <row r="145" spans="1:16" x14ac:dyDescent="0.3">
      <c r="C145" s="72"/>
      <c r="D145" s="64" t="s">
        <v>162</v>
      </c>
      <c r="E145" s="65" t="s">
        <v>14</v>
      </c>
      <c r="F145" s="69">
        <v>1</v>
      </c>
      <c r="G145" s="67">
        <v>1</v>
      </c>
      <c r="H145" s="67"/>
      <c r="I145" s="67"/>
      <c r="J145" s="69"/>
      <c r="K145" s="68"/>
      <c r="L145" s="68"/>
      <c r="M145" s="68"/>
      <c r="N145" s="68"/>
      <c r="O145" s="68">
        <v>1</v>
      </c>
      <c r="P145" s="61"/>
    </row>
    <row r="146" spans="1:16" x14ac:dyDescent="0.3">
      <c r="A146" s="104">
        <v>2</v>
      </c>
      <c r="C146" s="56"/>
      <c r="D146" s="79"/>
      <c r="E146" s="89"/>
      <c r="F146" s="59"/>
      <c r="G146" s="60"/>
      <c r="H146" s="60"/>
      <c r="I146" s="60"/>
      <c r="J146" s="62"/>
      <c r="K146" s="61"/>
      <c r="L146" s="61" t="str">
        <f>IF(F146="","",PRODUCT(F146:J146))</f>
        <v/>
      </c>
      <c r="M146" s="61"/>
      <c r="N146" s="61"/>
      <c r="O146" s="61"/>
      <c r="P146" s="61"/>
    </row>
    <row r="147" spans="1:16" x14ac:dyDescent="0.3">
      <c r="A147" s="104">
        <v>3</v>
      </c>
      <c r="C147" s="48" t="s">
        <v>433</v>
      </c>
      <c r="D147" s="77" t="s">
        <v>163</v>
      </c>
      <c r="E147" s="88" t="s">
        <v>14</v>
      </c>
      <c r="F147" s="51"/>
      <c r="G147" s="52"/>
      <c r="H147" s="52"/>
      <c r="I147" s="52"/>
      <c r="J147" s="54"/>
      <c r="K147" s="55"/>
      <c r="L147" s="55"/>
      <c r="M147" s="55"/>
      <c r="N147" s="55"/>
      <c r="O147" s="55"/>
      <c r="P147" s="55">
        <f>SUM(O147:O149)</f>
        <v>1</v>
      </c>
    </row>
    <row r="148" spans="1:16" x14ac:dyDescent="0.3">
      <c r="C148" s="72"/>
      <c r="D148" s="64" t="s">
        <v>314</v>
      </c>
      <c r="E148" s="65" t="s">
        <v>14</v>
      </c>
      <c r="F148" s="69">
        <v>1</v>
      </c>
      <c r="G148" s="67">
        <v>1</v>
      </c>
      <c r="H148" s="67"/>
      <c r="I148" s="67"/>
      <c r="J148" s="69"/>
      <c r="K148" s="68"/>
      <c r="L148" s="68"/>
      <c r="M148" s="68"/>
      <c r="N148" s="68"/>
      <c r="O148" s="68">
        <v>1</v>
      </c>
      <c r="P148" s="61"/>
    </row>
    <row r="149" spans="1:16" x14ac:dyDescent="0.3">
      <c r="C149" s="63"/>
      <c r="D149" s="80"/>
      <c r="E149" s="90"/>
      <c r="F149" s="66"/>
      <c r="G149" s="67"/>
      <c r="H149" s="67"/>
      <c r="I149" s="67"/>
      <c r="J149" s="69"/>
      <c r="K149" s="68"/>
      <c r="L149" s="68"/>
      <c r="M149" s="68"/>
      <c r="N149" s="68"/>
      <c r="O149" s="68"/>
      <c r="P149" s="68"/>
    </row>
    <row r="150" spans="1:16" x14ac:dyDescent="0.3">
      <c r="C150" s="63"/>
      <c r="D150" s="80"/>
      <c r="E150" s="90"/>
      <c r="F150" s="66"/>
      <c r="G150" s="67"/>
      <c r="H150" s="67"/>
      <c r="I150" s="67"/>
      <c r="J150" s="69"/>
      <c r="K150" s="68"/>
      <c r="L150" s="68"/>
      <c r="M150" s="68"/>
      <c r="N150" s="68"/>
      <c r="O150" s="68"/>
      <c r="P150" s="68"/>
    </row>
    <row r="151" spans="1:16" x14ac:dyDescent="0.3">
      <c r="A151" s="104">
        <v>3</v>
      </c>
      <c r="C151" s="48" t="s">
        <v>434</v>
      </c>
      <c r="D151" s="77" t="s">
        <v>164</v>
      </c>
      <c r="E151" s="88" t="s">
        <v>14</v>
      </c>
      <c r="F151" s="51"/>
      <c r="G151" s="52"/>
      <c r="H151" s="52"/>
      <c r="I151" s="52"/>
      <c r="J151" s="54"/>
      <c r="K151" s="55"/>
      <c r="L151" s="55"/>
      <c r="M151" s="55"/>
      <c r="N151" s="55"/>
      <c r="O151" s="55"/>
      <c r="P151" s="55">
        <f>SUM(O151:O153)</f>
        <v>1</v>
      </c>
    </row>
    <row r="152" spans="1:16" x14ac:dyDescent="0.3">
      <c r="C152" s="72"/>
      <c r="D152" s="64" t="s">
        <v>164</v>
      </c>
      <c r="E152" s="65" t="s">
        <v>14</v>
      </c>
      <c r="F152" s="69">
        <v>1</v>
      </c>
      <c r="G152" s="67">
        <v>1</v>
      </c>
      <c r="H152" s="67"/>
      <c r="I152" s="67"/>
      <c r="J152" s="69"/>
      <c r="K152" s="68"/>
      <c r="L152" s="68"/>
      <c r="M152" s="68"/>
      <c r="N152" s="68"/>
      <c r="O152" s="68">
        <v>1</v>
      </c>
      <c r="P152" s="61"/>
    </row>
    <row r="153" spans="1:16" x14ac:dyDescent="0.3">
      <c r="C153" s="286"/>
      <c r="D153" s="372"/>
      <c r="E153" s="88"/>
      <c r="F153" s="51"/>
      <c r="G153" s="52"/>
      <c r="H153" s="52"/>
      <c r="I153" s="52"/>
      <c r="J153" s="155"/>
      <c r="K153" s="138"/>
      <c r="L153" s="138"/>
      <c r="M153" s="138"/>
      <c r="N153" s="138"/>
      <c r="O153" s="138"/>
      <c r="P153" s="138"/>
    </row>
    <row r="154" spans="1:16" x14ac:dyDescent="0.3">
      <c r="C154" s="373"/>
      <c r="D154" s="374"/>
      <c r="E154" s="375"/>
      <c r="F154" s="376"/>
      <c r="G154" s="377"/>
      <c r="H154" s="377"/>
      <c r="I154" s="377"/>
      <c r="J154" s="376"/>
      <c r="K154" s="378"/>
      <c r="L154" s="378"/>
      <c r="M154" s="378"/>
      <c r="N154" s="378"/>
      <c r="O154" s="378"/>
      <c r="P154" s="378"/>
    </row>
    <row r="155" spans="1:16" x14ac:dyDescent="0.3">
      <c r="C155" s="373"/>
      <c r="D155" s="374"/>
      <c r="E155" s="375"/>
      <c r="F155" s="376"/>
      <c r="G155" s="377"/>
      <c r="H155" s="377"/>
      <c r="I155" s="377"/>
      <c r="J155" s="376"/>
      <c r="K155" s="378"/>
      <c r="L155" s="378"/>
      <c r="M155" s="378"/>
      <c r="N155" s="378"/>
      <c r="O155" s="378"/>
      <c r="P155" s="378"/>
    </row>
    <row r="156" spans="1:16" x14ac:dyDescent="0.3">
      <c r="C156" s="373"/>
      <c r="D156" s="374"/>
      <c r="E156" s="375"/>
      <c r="F156" s="376"/>
      <c r="G156" s="377"/>
      <c r="H156" s="377"/>
      <c r="I156" s="377"/>
      <c r="J156" s="376"/>
      <c r="K156" s="378"/>
      <c r="L156" s="378"/>
      <c r="M156" s="378"/>
      <c r="N156" s="378"/>
      <c r="O156" s="378"/>
      <c r="P156" s="378"/>
    </row>
    <row r="157" spans="1:16" x14ac:dyDescent="0.3">
      <c r="C157" s="373"/>
      <c r="D157" s="374"/>
      <c r="E157" s="375"/>
      <c r="F157" s="376"/>
      <c r="G157" s="377"/>
      <c r="H157" s="377"/>
      <c r="I157" s="377"/>
      <c r="J157" s="376"/>
      <c r="K157" s="378"/>
      <c r="L157" s="378"/>
      <c r="M157" s="378"/>
      <c r="N157" s="378"/>
      <c r="O157" s="378"/>
      <c r="P157" s="378"/>
    </row>
    <row r="158" spans="1:16" x14ac:dyDescent="0.3">
      <c r="C158" s="373"/>
      <c r="D158" s="374"/>
      <c r="E158" s="375"/>
      <c r="F158" s="376"/>
      <c r="G158" s="377"/>
      <c r="H158" s="377"/>
      <c r="I158" s="377"/>
      <c r="J158" s="376"/>
      <c r="K158" s="378"/>
      <c r="L158" s="378"/>
      <c r="M158" s="378"/>
      <c r="N158" s="378"/>
      <c r="O158" s="378"/>
      <c r="P158" s="378"/>
    </row>
    <row r="159" spans="1:16" x14ac:dyDescent="0.3">
      <c r="C159" s="373"/>
      <c r="D159" s="374"/>
      <c r="E159" s="375"/>
      <c r="F159" s="376"/>
      <c r="G159" s="377"/>
      <c r="H159" s="377"/>
      <c r="I159" s="377"/>
      <c r="J159" s="376"/>
      <c r="K159" s="378"/>
      <c r="L159" s="378"/>
      <c r="M159" s="378"/>
      <c r="N159" s="378"/>
      <c r="O159" s="378"/>
      <c r="P159" s="378"/>
    </row>
    <row r="160" spans="1:16" x14ac:dyDescent="0.3">
      <c r="C160" s="373"/>
      <c r="D160" s="374"/>
      <c r="E160" s="375"/>
      <c r="F160" s="376"/>
      <c r="G160" s="377"/>
      <c r="H160" s="377"/>
      <c r="I160" s="377"/>
      <c r="J160" s="376"/>
      <c r="K160" s="378"/>
      <c r="L160" s="378"/>
      <c r="M160" s="378"/>
      <c r="N160" s="378"/>
      <c r="O160" s="378"/>
      <c r="P160" s="378"/>
    </row>
    <row r="161" spans="3:16" x14ac:dyDescent="0.3">
      <c r="C161" s="373"/>
      <c r="D161" s="374"/>
      <c r="E161" s="375"/>
      <c r="F161" s="376"/>
      <c r="G161" s="377"/>
      <c r="H161" s="377"/>
      <c r="I161" s="377"/>
      <c r="J161" s="376"/>
      <c r="K161" s="378"/>
      <c r="L161" s="378"/>
      <c r="M161" s="378"/>
      <c r="N161" s="378"/>
      <c r="O161" s="378"/>
      <c r="P161" s="378"/>
    </row>
    <row r="162" spans="3:16" x14ac:dyDescent="0.3">
      <c r="C162" s="373"/>
      <c r="D162" s="374"/>
      <c r="E162" s="375"/>
      <c r="F162" s="376"/>
      <c r="G162" s="377"/>
      <c r="H162" s="377"/>
      <c r="I162" s="377"/>
      <c r="J162" s="376"/>
      <c r="K162" s="378"/>
      <c r="L162" s="378"/>
      <c r="M162" s="378"/>
      <c r="N162" s="378"/>
      <c r="O162" s="378"/>
      <c r="P162" s="378"/>
    </row>
    <row r="163" spans="3:16" x14ac:dyDescent="0.3">
      <c r="C163" s="373"/>
      <c r="D163" s="374"/>
      <c r="E163" s="375"/>
      <c r="F163" s="376"/>
      <c r="G163" s="377"/>
      <c r="H163" s="377"/>
      <c r="I163" s="377"/>
      <c r="J163" s="376"/>
      <c r="K163" s="378"/>
      <c r="L163" s="378"/>
      <c r="M163" s="378"/>
      <c r="N163" s="378"/>
      <c r="O163" s="378"/>
      <c r="P163" s="378"/>
    </row>
    <row r="164" spans="3:16" x14ac:dyDescent="0.3">
      <c r="C164" s="373"/>
      <c r="D164" s="374"/>
      <c r="E164" s="375"/>
      <c r="F164" s="376"/>
      <c r="G164" s="377"/>
      <c r="H164" s="377"/>
      <c r="I164" s="377"/>
      <c r="J164" s="376"/>
      <c r="K164" s="378"/>
      <c r="L164" s="378"/>
      <c r="M164" s="378"/>
      <c r="N164" s="378"/>
      <c r="O164" s="378"/>
      <c r="P164" s="378"/>
    </row>
    <row r="165" spans="3:16" x14ac:dyDescent="0.3">
      <c r="C165" s="373"/>
      <c r="D165" s="374"/>
      <c r="E165" s="375"/>
      <c r="F165" s="376"/>
      <c r="G165" s="377"/>
      <c r="H165" s="377"/>
      <c r="I165" s="377"/>
      <c r="J165" s="376"/>
      <c r="K165" s="378"/>
      <c r="L165" s="378"/>
      <c r="M165" s="378"/>
      <c r="N165" s="378"/>
      <c r="O165" s="378"/>
      <c r="P165" s="378"/>
    </row>
    <row r="166" spans="3:16" x14ac:dyDescent="0.3">
      <c r="C166" s="373"/>
      <c r="D166" s="374"/>
      <c r="E166" s="375"/>
      <c r="F166" s="376"/>
      <c r="G166" s="377"/>
      <c r="H166" s="377"/>
      <c r="I166" s="377"/>
      <c r="J166" s="376"/>
      <c r="K166" s="378"/>
      <c r="L166" s="378"/>
      <c r="M166" s="378"/>
      <c r="N166" s="378"/>
      <c r="O166" s="378"/>
      <c r="P166" s="378"/>
    </row>
    <row r="167" spans="3:16" x14ac:dyDescent="0.3">
      <c r="C167" s="373"/>
      <c r="D167" s="374"/>
      <c r="E167" s="375"/>
      <c r="F167" s="376"/>
      <c r="G167" s="377"/>
      <c r="H167" s="377"/>
      <c r="I167" s="377"/>
      <c r="J167" s="376"/>
      <c r="K167" s="378"/>
      <c r="L167" s="378"/>
      <c r="M167" s="378"/>
      <c r="N167" s="378"/>
      <c r="O167" s="378"/>
      <c r="P167" s="378"/>
    </row>
    <row r="168" spans="3:16" x14ac:dyDescent="0.3">
      <c r="C168" s="373"/>
      <c r="D168" s="374"/>
      <c r="E168" s="375"/>
      <c r="F168" s="376"/>
      <c r="G168" s="377"/>
      <c r="H168" s="377"/>
      <c r="I168" s="377"/>
      <c r="J168" s="376"/>
      <c r="K168" s="378"/>
      <c r="L168" s="378"/>
      <c r="M168" s="378"/>
      <c r="N168" s="378"/>
      <c r="O168" s="378"/>
      <c r="P168" s="378"/>
    </row>
    <row r="169" spans="3:16" x14ac:dyDescent="0.3">
      <c r="C169" s="373"/>
      <c r="D169" s="374"/>
      <c r="E169" s="375"/>
      <c r="F169" s="376"/>
      <c r="G169" s="377"/>
      <c r="H169" s="377"/>
      <c r="I169" s="377"/>
      <c r="J169" s="376"/>
      <c r="K169" s="378"/>
      <c r="L169" s="378"/>
      <c r="M169" s="378"/>
      <c r="N169" s="378"/>
      <c r="O169" s="378"/>
      <c r="P169" s="378"/>
    </row>
    <row r="170" spans="3:16" x14ac:dyDescent="0.3">
      <c r="C170" s="373"/>
      <c r="D170" s="374"/>
      <c r="E170" s="375"/>
      <c r="F170" s="376"/>
      <c r="G170" s="377"/>
      <c r="H170" s="377"/>
      <c r="I170" s="377"/>
      <c r="J170" s="376"/>
      <c r="K170" s="378"/>
      <c r="L170" s="378"/>
      <c r="M170" s="378"/>
      <c r="N170" s="378"/>
      <c r="O170" s="378"/>
      <c r="P170" s="378"/>
    </row>
    <row r="171" spans="3:16" x14ac:dyDescent="0.3">
      <c r="C171" s="373"/>
      <c r="D171" s="374"/>
      <c r="E171" s="375"/>
      <c r="F171" s="376"/>
      <c r="G171" s="377"/>
      <c r="H171" s="377"/>
      <c r="I171" s="377"/>
      <c r="J171" s="376"/>
      <c r="K171" s="378"/>
      <c r="L171" s="378"/>
      <c r="M171" s="378"/>
      <c r="N171" s="378"/>
      <c r="O171" s="378"/>
      <c r="P171" s="378"/>
    </row>
    <row r="172" spans="3:16" x14ac:dyDescent="0.3">
      <c r="C172" s="373"/>
      <c r="D172" s="374"/>
      <c r="E172" s="375"/>
      <c r="F172" s="376"/>
      <c r="G172" s="377"/>
      <c r="H172" s="377"/>
      <c r="I172" s="377"/>
      <c r="J172" s="376"/>
      <c r="K172" s="378"/>
      <c r="L172" s="378"/>
      <c r="M172" s="378"/>
      <c r="N172" s="378"/>
      <c r="O172" s="378"/>
      <c r="P172" s="378"/>
    </row>
    <row r="173" spans="3:16" x14ac:dyDescent="0.3">
      <c r="C173" s="373"/>
      <c r="D173" s="374"/>
      <c r="E173" s="375"/>
      <c r="F173" s="376"/>
      <c r="G173" s="377"/>
      <c r="H173" s="377"/>
      <c r="I173" s="377"/>
      <c r="J173" s="376"/>
      <c r="K173" s="378"/>
      <c r="L173" s="378"/>
      <c r="M173" s="378"/>
      <c r="N173" s="378"/>
      <c r="O173" s="378"/>
      <c r="P173" s="378"/>
    </row>
    <row r="174" spans="3:16" x14ac:dyDescent="0.3">
      <c r="C174" s="373"/>
      <c r="D174" s="374"/>
      <c r="E174" s="375"/>
      <c r="F174" s="376"/>
      <c r="G174" s="377"/>
      <c r="H174" s="377"/>
      <c r="I174" s="377"/>
      <c r="J174" s="376"/>
      <c r="K174" s="378"/>
      <c r="L174" s="378"/>
      <c r="M174" s="378"/>
      <c r="N174" s="378"/>
      <c r="O174" s="378"/>
      <c r="P174" s="378"/>
    </row>
    <row r="175" spans="3:16" x14ac:dyDescent="0.3">
      <c r="C175" s="373"/>
      <c r="D175" s="374"/>
      <c r="E175" s="375"/>
      <c r="F175" s="376"/>
      <c r="G175" s="377"/>
      <c r="H175" s="377"/>
      <c r="I175" s="377"/>
      <c r="J175" s="376"/>
      <c r="K175" s="378"/>
      <c r="L175" s="378"/>
      <c r="M175" s="378"/>
      <c r="N175" s="378"/>
      <c r="O175" s="378"/>
      <c r="P175" s="378"/>
    </row>
    <row r="176" spans="3:16" x14ac:dyDescent="0.3">
      <c r="C176" s="373"/>
      <c r="D176" s="374"/>
      <c r="E176" s="375"/>
      <c r="F176" s="376"/>
      <c r="G176" s="377"/>
      <c r="H176" s="377"/>
      <c r="I176" s="377"/>
      <c r="J176" s="376"/>
      <c r="K176" s="378"/>
      <c r="L176" s="378"/>
      <c r="M176" s="378"/>
      <c r="N176" s="378"/>
      <c r="O176" s="378"/>
      <c r="P176" s="378"/>
    </row>
    <row r="177" spans="3:16" x14ac:dyDescent="0.3">
      <c r="C177" s="373"/>
      <c r="D177" s="374"/>
      <c r="E177" s="375"/>
      <c r="F177" s="376"/>
      <c r="G177" s="377"/>
      <c r="H177" s="377"/>
      <c r="I177" s="377"/>
      <c r="J177" s="376"/>
      <c r="K177" s="378"/>
      <c r="L177" s="378"/>
      <c r="M177" s="378"/>
      <c r="N177" s="378"/>
      <c r="O177" s="378"/>
      <c r="P177" s="378"/>
    </row>
    <row r="178" spans="3:16" x14ac:dyDescent="0.3">
      <c r="C178" s="373"/>
      <c r="D178" s="374"/>
      <c r="E178" s="375"/>
      <c r="F178" s="376"/>
      <c r="G178" s="377"/>
      <c r="H178" s="377"/>
      <c r="I178" s="377"/>
      <c r="J178" s="376"/>
      <c r="K178" s="378"/>
      <c r="L178" s="378"/>
      <c r="M178" s="378"/>
      <c r="N178" s="378"/>
      <c r="O178" s="378"/>
      <c r="P178" s="378"/>
    </row>
    <row r="179" spans="3:16" x14ac:dyDescent="0.3">
      <c r="C179" s="373"/>
      <c r="D179" s="374"/>
      <c r="E179" s="375"/>
      <c r="F179" s="376"/>
      <c r="G179" s="377"/>
      <c r="H179" s="377"/>
      <c r="I179" s="377"/>
      <c r="J179" s="376"/>
      <c r="K179" s="378"/>
      <c r="L179" s="378"/>
      <c r="M179" s="378"/>
      <c r="N179" s="378"/>
      <c r="O179" s="378"/>
      <c r="P179" s="378"/>
    </row>
    <row r="180" spans="3:16" x14ac:dyDescent="0.3">
      <c r="C180" s="379"/>
      <c r="D180" s="312"/>
      <c r="E180" s="380"/>
      <c r="F180" s="314"/>
      <c r="G180" s="315"/>
      <c r="H180" s="315"/>
      <c r="I180" s="315"/>
      <c r="J180" s="314"/>
      <c r="K180" s="316"/>
      <c r="L180" s="316"/>
      <c r="M180" s="316"/>
      <c r="N180" s="316"/>
      <c r="O180" s="316"/>
      <c r="P180" s="316"/>
    </row>
    <row r="181" spans="3:16" x14ac:dyDescent="0.3">
      <c r="C181" s="373"/>
      <c r="D181" s="374"/>
      <c r="E181" s="375"/>
      <c r="F181" s="376"/>
      <c r="G181" s="377"/>
      <c r="H181" s="377"/>
      <c r="I181" s="377"/>
      <c r="J181" s="376"/>
      <c r="K181" s="378"/>
      <c r="L181" s="378"/>
      <c r="M181" s="378"/>
      <c r="N181" s="378"/>
      <c r="O181" s="378"/>
      <c r="P181" s="378"/>
    </row>
    <row r="182" spans="3:16" x14ac:dyDescent="0.3">
      <c r="C182" s="373"/>
      <c r="D182" s="374"/>
      <c r="E182" s="375"/>
      <c r="F182" s="376"/>
      <c r="G182" s="377"/>
      <c r="H182" s="377"/>
      <c r="I182" s="377"/>
      <c r="J182" s="376"/>
      <c r="K182" s="378"/>
      <c r="L182" s="378"/>
      <c r="M182" s="378"/>
      <c r="N182" s="378"/>
      <c r="O182" s="378"/>
      <c r="P182" s="378"/>
    </row>
    <row r="183" spans="3:16" x14ac:dyDescent="0.3">
      <c r="C183" s="373"/>
      <c r="D183" s="374"/>
      <c r="E183" s="375"/>
      <c r="F183" s="376"/>
      <c r="G183" s="377"/>
      <c r="H183" s="377"/>
      <c r="I183" s="377"/>
      <c r="J183" s="376"/>
      <c r="K183" s="378"/>
      <c r="L183" s="378"/>
      <c r="M183" s="378"/>
      <c r="N183" s="378"/>
      <c r="O183" s="378"/>
      <c r="P183" s="378"/>
    </row>
    <row r="184" spans="3:16" x14ac:dyDescent="0.3">
      <c r="C184" s="373"/>
      <c r="D184" s="374"/>
      <c r="E184" s="375"/>
      <c r="F184" s="376"/>
      <c r="G184" s="377"/>
      <c r="H184" s="377"/>
      <c r="I184" s="377"/>
      <c r="J184" s="376"/>
      <c r="K184" s="378"/>
      <c r="L184" s="378"/>
      <c r="M184" s="378"/>
      <c r="N184" s="378"/>
      <c r="O184" s="378"/>
      <c r="P184" s="378"/>
    </row>
    <row r="185" spans="3:16" x14ac:dyDescent="0.3">
      <c r="C185" s="373"/>
      <c r="D185" s="374"/>
      <c r="E185" s="375"/>
      <c r="F185" s="376"/>
      <c r="G185" s="377"/>
      <c r="H185" s="377"/>
      <c r="I185" s="377"/>
      <c r="J185" s="376"/>
      <c r="K185" s="378"/>
      <c r="L185" s="378"/>
      <c r="M185" s="378"/>
      <c r="N185" s="378"/>
      <c r="O185" s="378"/>
      <c r="P185" s="378"/>
    </row>
    <row r="186" spans="3:16" x14ac:dyDescent="0.3">
      <c r="C186" s="373"/>
      <c r="D186" s="374"/>
      <c r="E186" s="375"/>
      <c r="F186" s="376"/>
      <c r="G186" s="377"/>
      <c r="H186" s="377"/>
      <c r="I186" s="377"/>
      <c r="J186" s="376"/>
      <c r="K186" s="378"/>
      <c r="L186" s="378"/>
      <c r="M186" s="378"/>
      <c r="N186" s="378"/>
      <c r="O186" s="378"/>
      <c r="P186" s="378"/>
    </row>
    <row r="187" spans="3:16" x14ac:dyDescent="0.3">
      <c r="C187" s="373"/>
      <c r="D187" s="374"/>
      <c r="E187" s="375"/>
      <c r="F187" s="376"/>
      <c r="G187" s="377"/>
      <c r="H187" s="377"/>
      <c r="I187" s="377"/>
      <c r="J187" s="376"/>
      <c r="K187" s="378"/>
      <c r="L187" s="378"/>
      <c r="M187" s="378"/>
      <c r="N187" s="378"/>
      <c r="O187" s="378"/>
      <c r="P187" s="378"/>
    </row>
    <row r="188" spans="3:16" x14ac:dyDescent="0.3">
      <c r="C188" s="373"/>
      <c r="D188" s="374"/>
      <c r="E188" s="375"/>
      <c r="F188" s="376"/>
      <c r="G188" s="377"/>
      <c r="H188" s="377"/>
      <c r="I188" s="377"/>
      <c r="J188" s="376"/>
      <c r="K188" s="378"/>
      <c r="L188" s="378"/>
      <c r="M188" s="378"/>
      <c r="N188" s="378"/>
      <c r="O188" s="378"/>
      <c r="P188" s="378"/>
    </row>
    <row r="189" spans="3:16" x14ac:dyDescent="0.3">
      <c r="C189" s="373"/>
      <c r="D189" s="374"/>
      <c r="E189" s="375"/>
      <c r="F189" s="376"/>
      <c r="G189" s="377"/>
      <c r="H189" s="377"/>
      <c r="I189" s="377"/>
      <c r="J189" s="376"/>
      <c r="K189" s="378"/>
      <c r="L189" s="378"/>
      <c r="M189" s="378"/>
      <c r="N189" s="378"/>
      <c r="O189" s="378"/>
      <c r="P189" s="378"/>
    </row>
    <row r="190" spans="3:16" x14ac:dyDescent="0.3">
      <c r="C190" s="373"/>
      <c r="D190" s="374"/>
      <c r="E190" s="375"/>
      <c r="F190" s="376"/>
      <c r="G190" s="377"/>
      <c r="H190" s="377"/>
      <c r="I190" s="377"/>
      <c r="J190" s="376"/>
      <c r="K190" s="378"/>
      <c r="L190" s="378"/>
      <c r="M190" s="378"/>
      <c r="N190" s="378"/>
      <c r="O190" s="378"/>
      <c r="P190" s="378"/>
    </row>
    <row r="191" spans="3:16" x14ac:dyDescent="0.3">
      <c r="C191" s="373"/>
      <c r="D191" s="374"/>
      <c r="E191" s="375"/>
      <c r="F191" s="376"/>
      <c r="G191" s="377"/>
      <c r="H191" s="377"/>
      <c r="I191" s="377"/>
      <c r="J191" s="376"/>
      <c r="K191" s="378"/>
      <c r="L191" s="378"/>
      <c r="M191" s="378"/>
      <c r="N191" s="378"/>
      <c r="O191" s="378"/>
      <c r="P191" s="378"/>
    </row>
    <row r="192" spans="3:16" x14ac:dyDescent="0.3">
      <c r="C192" s="373"/>
      <c r="D192" s="374"/>
      <c r="E192" s="375"/>
      <c r="F192" s="376"/>
      <c r="G192" s="377"/>
      <c r="H192" s="377"/>
      <c r="I192" s="377"/>
      <c r="J192" s="376"/>
      <c r="K192" s="378"/>
      <c r="L192" s="378"/>
      <c r="M192" s="378"/>
      <c r="N192" s="378"/>
      <c r="O192" s="378"/>
      <c r="P192" s="378"/>
    </row>
    <row r="193" spans="3:16" x14ac:dyDescent="0.3">
      <c r="C193" s="373"/>
      <c r="D193" s="374"/>
      <c r="E193" s="375"/>
      <c r="F193" s="376"/>
      <c r="G193" s="377"/>
      <c r="H193" s="377"/>
      <c r="I193" s="377"/>
      <c r="J193" s="376"/>
      <c r="K193" s="378"/>
      <c r="L193" s="378"/>
      <c r="M193" s="378"/>
      <c r="N193" s="378"/>
      <c r="O193" s="378"/>
      <c r="P193" s="378"/>
    </row>
    <row r="194" spans="3:16" x14ac:dyDescent="0.3">
      <c r="C194" s="373"/>
      <c r="D194" s="374"/>
      <c r="E194" s="375"/>
      <c r="F194" s="376"/>
      <c r="G194" s="377"/>
      <c r="H194" s="377"/>
      <c r="I194" s="377"/>
      <c r="J194" s="376"/>
      <c r="K194" s="378"/>
      <c r="L194" s="378"/>
      <c r="M194" s="378"/>
      <c r="N194" s="378"/>
      <c r="O194" s="378"/>
      <c r="P194" s="378"/>
    </row>
    <row r="195" spans="3:16" x14ac:dyDescent="0.3">
      <c r="C195" s="373"/>
      <c r="D195" s="374"/>
      <c r="E195" s="375"/>
      <c r="F195" s="376"/>
      <c r="G195" s="377"/>
      <c r="H195" s="377"/>
      <c r="I195" s="377"/>
      <c r="J195" s="376"/>
      <c r="K195" s="378"/>
      <c r="L195" s="378"/>
      <c r="M195" s="378"/>
      <c r="N195" s="378"/>
      <c r="O195" s="378"/>
      <c r="P195" s="378"/>
    </row>
    <row r="196" spans="3:16" x14ac:dyDescent="0.3">
      <c r="C196" s="373"/>
      <c r="D196" s="374"/>
      <c r="E196" s="375"/>
      <c r="F196" s="376"/>
      <c r="G196" s="377"/>
      <c r="H196" s="377"/>
      <c r="I196" s="377"/>
      <c r="J196" s="376"/>
      <c r="K196" s="378"/>
      <c r="L196" s="378"/>
      <c r="M196" s="378"/>
      <c r="N196" s="378"/>
      <c r="O196" s="378"/>
      <c r="P196" s="378"/>
    </row>
    <row r="197" spans="3:16" x14ac:dyDescent="0.3">
      <c r="C197" s="373"/>
      <c r="D197" s="374"/>
      <c r="E197" s="375"/>
      <c r="F197" s="376"/>
      <c r="G197" s="377"/>
      <c r="H197" s="377"/>
      <c r="I197" s="377"/>
      <c r="J197" s="376"/>
      <c r="K197" s="378"/>
      <c r="L197" s="378"/>
      <c r="M197" s="378"/>
      <c r="N197" s="378"/>
      <c r="O197" s="378"/>
      <c r="P197" s="378"/>
    </row>
    <row r="198" spans="3:16" x14ac:dyDescent="0.3">
      <c r="C198" s="373"/>
      <c r="D198" s="374"/>
      <c r="E198" s="375"/>
      <c r="F198" s="376"/>
      <c r="G198" s="377"/>
      <c r="H198" s="377"/>
      <c r="I198" s="377"/>
      <c r="J198" s="376"/>
      <c r="K198" s="378"/>
      <c r="L198" s="378"/>
      <c r="M198" s="378"/>
      <c r="N198" s="378"/>
      <c r="O198" s="378"/>
      <c r="P198" s="378"/>
    </row>
    <row r="199" spans="3:16" x14ac:dyDescent="0.3">
      <c r="C199" s="373"/>
      <c r="D199" s="374"/>
      <c r="E199" s="375"/>
      <c r="F199" s="376"/>
      <c r="G199" s="377"/>
      <c r="H199" s="377"/>
      <c r="I199" s="377"/>
      <c r="J199" s="376"/>
      <c r="K199" s="378"/>
      <c r="L199" s="378"/>
      <c r="M199" s="378"/>
      <c r="N199" s="378"/>
      <c r="O199" s="378"/>
      <c r="P199" s="378"/>
    </row>
    <row r="200" spans="3:16" x14ac:dyDescent="0.3">
      <c r="C200" s="373"/>
      <c r="D200" s="374"/>
      <c r="E200" s="375"/>
      <c r="F200" s="376"/>
      <c r="G200" s="377"/>
      <c r="H200" s="377"/>
      <c r="I200" s="377"/>
      <c r="J200" s="376"/>
      <c r="K200" s="378"/>
      <c r="L200" s="378"/>
      <c r="M200" s="378"/>
      <c r="N200" s="378"/>
      <c r="O200" s="378"/>
      <c r="P200" s="378"/>
    </row>
    <row r="201" spans="3:16" x14ac:dyDescent="0.3">
      <c r="C201" s="373"/>
      <c r="D201" s="374"/>
      <c r="E201" s="375"/>
      <c r="F201" s="376"/>
      <c r="G201" s="377"/>
      <c r="H201" s="377"/>
      <c r="I201" s="377"/>
      <c r="J201" s="376"/>
      <c r="K201" s="378"/>
      <c r="L201" s="378"/>
      <c r="M201" s="378"/>
      <c r="N201" s="378"/>
      <c r="O201" s="378"/>
      <c r="P201" s="378"/>
    </row>
    <row r="202" spans="3:16" x14ac:dyDescent="0.3">
      <c r="C202" s="373"/>
      <c r="D202" s="374"/>
      <c r="E202" s="375"/>
      <c r="F202" s="376"/>
      <c r="G202" s="377"/>
      <c r="H202" s="377"/>
      <c r="I202" s="377"/>
      <c r="J202" s="376"/>
      <c r="K202" s="378"/>
      <c r="L202" s="378"/>
      <c r="M202" s="378"/>
      <c r="N202" s="378"/>
      <c r="O202" s="378"/>
      <c r="P202" s="378"/>
    </row>
    <row r="203" spans="3:16" x14ac:dyDescent="0.3">
      <c r="C203" s="373"/>
      <c r="D203" s="374"/>
      <c r="E203" s="375"/>
      <c r="F203" s="376"/>
      <c r="G203" s="377"/>
      <c r="H203" s="377"/>
      <c r="I203" s="377"/>
      <c r="J203" s="376"/>
      <c r="K203" s="378"/>
      <c r="L203" s="378"/>
      <c r="M203" s="378"/>
      <c r="N203" s="378"/>
      <c r="O203" s="378"/>
      <c r="P203" s="378"/>
    </row>
    <row r="204" spans="3:16" x14ac:dyDescent="0.3">
      <c r="C204" s="373"/>
      <c r="D204" s="374"/>
      <c r="E204" s="375"/>
      <c r="F204" s="376"/>
      <c r="G204" s="377"/>
      <c r="H204" s="377"/>
      <c r="I204" s="377"/>
      <c r="J204" s="376"/>
      <c r="K204" s="378"/>
      <c r="L204" s="378"/>
      <c r="M204" s="378"/>
      <c r="N204" s="378"/>
      <c r="O204" s="378"/>
      <c r="P204" s="378"/>
    </row>
    <row r="205" spans="3:16" x14ac:dyDescent="0.3">
      <c r="C205" s="381"/>
      <c r="D205" s="312"/>
      <c r="E205" s="382"/>
      <c r="F205" s="383"/>
      <c r="G205" s="384"/>
      <c r="H205" s="384"/>
      <c r="I205" s="384"/>
      <c r="J205" s="314"/>
      <c r="K205" s="316"/>
      <c r="L205" s="316"/>
      <c r="M205" s="316"/>
      <c r="N205" s="316"/>
      <c r="O205" s="316"/>
      <c r="P205" s="316"/>
    </row>
    <row r="206" spans="3:16" x14ac:dyDescent="0.3">
      <c r="C206" s="373"/>
      <c r="D206" s="374"/>
      <c r="E206" s="375"/>
      <c r="F206" s="376"/>
      <c r="G206" s="377"/>
      <c r="H206" s="377"/>
      <c r="I206" s="377"/>
      <c r="J206" s="376"/>
      <c r="K206" s="378"/>
      <c r="L206" s="378"/>
      <c r="M206" s="378"/>
      <c r="N206" s="378"/>
      <c r="O206" s="378"/>
      <c r="P206" s="378"/>
    </row>
    <row r="207" spans="3:16" x14ac:dyDescent="0.3">
      <c r="C207" s="373"/>
      <c r="D207" s="374"/>
      <c r="E207" s="375"/>
      <c r="F207" s="376"/>
      <c r="G207" s="377"/>
      <c r="H207" s="377"/>
      <c r="I207" s="377"/>
      <c r="J207" s="376"/>
      <c r="K207" s="378"/>
      <c r="L207" s="378"/>
      <c r="M207" s="378"/>
      <c r="N207" s="378"/>
      <c r="O207" s="378"/>
      <c r="P207" s="378"/>
    </row>
    <row r="208" spans="3:16" x14ac:dyDescent="0.3">
      <c r="C208" s="373"/>
      <c r="D208" s="374"/>
      <c r="E208" s="375"/>
      <c r="F208" s="376"/>
      <c r="G208" s="377"/>
      <c r="H208" s="377"/>
      <c r="I208" s="377"/>
      <c r="J208" s="376"/>
      <c r="K208" s="378"/>
      <c r="L208" s="378"/>
      <c r="M208" s="378"/>
      <c r="N208" s="378"/>
      <c r="O208" s="378"/>
      <c r="P208" s="378"/>
    </row>
    <row r="209" spans="3:16" x14ac:dyDescent="0.3">
      <c r="C209" s="373"/>
      <c r="D209" s="374"/>
      <c r="E209" s="375"/>
      <c r="F209" s="376"/>
      <c r="G209" s="377"/>
      <c r="H209" s="377"/>
      <c r="I209" s="377"/>
      <c r="J209" s="376"/>
      <c r="K209" s="378"/>
      <c r="L209" s="378"/>
      <c r="M209" s="378"/>
      <c r="N209" s="378"/>
      <c r="O209" s="378"/>
      <c r="P209" s="378"/>
    </row>
    <row r="210" spans="3:16" x14ac:dyDescent="0.3">
      <c r="C210" s="373"/>
      <c r="D210" s="374"/>
      <c r="E210" s="375"/>
      <c r="F210" s="376"/>
      <c r="G210" s="377"/>
      <c r="H210" s="377"/>
      <c r="I210" s="377"/>
      <c r="J210" s="376"/>
      <c r="K210" s="378"/>
      <c r="L210" s="378"/>
      <c r="M210" s="378"/>
      <c r="N210" s="378"/>
      <c r="O210" s="378"/>
      <c r="P210" s="378"/>
    </row>
    <row r="211" spans="3:16" x14ac:dyDescent="0.3">
      <c r="C211" s="381"/>
      <c r="D211" s="312"/>
      <c r="E211" s="382"/>
      <c r="F211" s="383"/>
      <c r="G211" s="384"/>
      <c r="H211" s="384"/>
      <c r="I211" s="384"/>
      <c r="J211" s="314"/>
      <c r="K211" s="316"/>
      <c r="L211" s="316"/>
      <c r="M211" s="316"/>
      <c r="N211" s="316"/>
      <c r="O211" s="316"/>
      <c r="P211" s="316"/>
    </row>
    <row r="212" spans="3:16" x14ac:dyDescent="0.3">
      <c r="C212" s="373"/>
      <c r="D212" s="374"/>
      <c r="E212" s="375"/>
      <c r="F212" s="376"/>
      <c r="G212" s="377"/>
      <c r="H212" s="377"/>
      <c r="I212" s="377"/>
      <c r="J212" s="376"/>
      <c r="K212" s="378"/>
      <c r="L212" s="378"/>
      <c r="M212" s="378"/>
      <c r="N212" s="378"/>
      <c r="O212" s="378"/>
      <c r="P212" s="378"/>
    </row>
    <row r="213" spans="3:16" x14ac:dyDescent="0.3">
      <c r="C213" s="373"/>
      <c r="D213" s="374"/>
      <c r="E213" s="375"/>
      <c r="F213" s="376"/>
      <c r="G213" s="377"/>
      <c r="H213" s="377"/>
      <c r="I213" s="377"/>
      <c r="J213" s="376"/>
      <c r="K213" s="378"/>
      <c r="L213" s="378"/>
      <c r="M213" s="378"/>
      <c r="N213" s="378"/>
      <c r="O213" s="378"/>
      <c r="P213" s="378"/>
    </row>
    <row r="214" spans="3:16" x14ac:dyDescent="0.3">
      <c r="C214" s="373"/>
      <c r="D214" s="374"/>
      <c r="E214" s="375"/>
      <c r="F214" s="376"/>
      <c r="G214" s="377"/>
      <c r="H214" s="377"/>
      <c r="I214" s="377"/>
      <c r="J214" s="376"/>
      <c r="K214" s="378"/>
      <c r="L214" s="378"/>
      <c r="M214" s="378"/>
      <c r="N214" s="378"/>
      <c r="O214" s="378"/>
      <c r="P214" s="378"/>
    </row>
    <row r="215" spans="3:16" x14ac:dyDescent="0.3">
      <c r="C215" s="373"/>
      <c r="D215" s="374"/>
      <c r="E215" s="375"/>
      <c r="F215" s="376"/>
      <c r="G215" s="377"/>
      <c r="H215" s="377"/>
      <c r="I215" s="377"/>
      <c r="J215" s="376"/>
      <c r="K215" s="378"/>
      <c r="L215" s="378"/>
      <c r="M215" s="378"/>
      <c r="N215" s="378"/>
      <c r="O215" s="378"/>
      <c r="P215" s="378"/>
    </row>
    <row r="216" spans="3:16" x14ac:dyDescent="0.3">
      <c r="C216" s="373"/>
      <c r="D216" s="374"/>
      <c r="E216" s="375"/>
      <c r="F216" s="376"/>
      <c r="G216" s="377"/>
      <c r="H216" s="377"/>
      <c r="I216" s="377"/>
      <c r="J216" s="376"/>
      <c r="K216" s="378"/>
      <c r="L216" s="378"/>
      <c r="M216" s="378"/>
      <c r="N216" s="378"/>
      <c r="O216" s="378"/>
      <c r="P216" s="378"/>
    </row>
    <row r="217" spans="3:16" x14ac:dyDescent="0.3">
      <c r="C217" s="381"/>
      <c r="D217" s="312"/>
      <c r="E217" s="382"/>
      <c r="F217" s="383"/>
      <c r="G217" s="384"/>
      <c r="H217" s="384"/>
      <c r="I217" s="384"/>
      <c r="J217" s="314"/>
      <c r="K217" s="316"/>
      <c r="L217" s="316"/>
      <c r="M217" s="316"/>
      <c r="N217" s="316"/>
      <c r="O217" s="316"/>
      <c r="P217" s="316"/>
    </row>
    <row r="218" spans="3:16" x14ac:dyDescent="0.3">
      <c r="C218" s="373"/>
      <c r="D218" s="374"/>
      <c r="E218" s="375"/>
      <c r="F218" s="376"/>
      <c r="G218" s="377"/>
      <c r="H218" s="377"/>
      <c r="I218" s="377"/>
      <c r="J218" s="376"/>
      <c r="K218" s="378"/>
      <c r="L218" s="378"/>
      <c r="M218" s="378"/>
      <c r="N218" s="378"/>
      <c r="O218" s="378"/>
      <c r="P218" s="378"/>
    </row>
    <row r="219" spans="3:16" x14ac:dyDescent="0.3">
      <c r="C219" s="373"/>
      <c r="D219" s="374"/>
      <c r="E219" s="375"/>
      <c r="F219" s="376"/>
      <c r="G219" s="377"/>
      <c r="H219" s="377"/>
      <c r="I219" s="377"/>
      <c r="J219" s="376"/>
      <c r="K219" s="378"/>
      <c r="L219" s="378"/>
      <c r="M219" s="378"/>
      <c r="N219" s="378"/>
      <c r="O219" s="378"/>
      <c r="P219" s="378"/>
    </row>
    <row r="220" spans="3:16" x14ac:dyDescent="0.3">
      <c r="C220" s="373"/>
      <c r="D220" s="374"/>
      <c r="E220" s="375"/>
      <c r="F220" s="376"/>
      <c r="G220" s="377"/>
      <c r="H220" s="377"/>
      <c r="I220" s="377"/>
      <c r="J220" s="376"/>
      <c r="K220" s="378"/>
      <c r="L220" s="378"/>
      <c r="M220" s="378"/>
      <c r="N220" s="378"/>
      <c r="O220" s="378"/>
      <c r="P220" s="378"/>
    </row>
    <row r="221" spans="3:16" x14ac:dyDescent="0.3">
      <c r="C221" s="373"/>
      <c r="D221" s="374"/>
      <c r="E221" s="375"/>
      <c r="F221" s="376"/>
      <c r="G221" s="377"/>
      <c r="H221" s="377"/>
      <c r="I221" s="377"/>
      <c r="J221" s="376"/>
      <c r="K221" s="378"/>
      <c r="L221" s="378"/>
      <c r="M221" s="378"/>
      <c r="N221" s="378"/>
      <c r="O221" s="378"/>
      <c r="P221" s="378"/>
    </row>
    <row r="222" spans="3:16" x14ac:dyDescent="0.3">
      <c r="C222" s="373"/>
      <c r="D222" s="374"/>
      <c r="E222" s="375"/>
      <c r="F222" s="376"/>
      <c r="G222" s="377"/>
      <c r="H222" s="377"/>
      <c r="I222" s="377"/>
      <c r="J222" s="376"/>
      <c r="K222" s="378"/>
      <c r="L222" s="378"/>
      <c r="M222" s="378"/>
      <c r="N222" s="378"/>
      <c r="O222" s="378"/>
      <c r="P222" s="378"/>
    </row>
    <row r="223" spans="3:16" x14ac:dyDescent="0.3">
      <c r="C223" s="381"/>
      <c r="D223" s="312"/>
      <c r="E223" s="382"/>
      <c r="F223" s="383"/>
      <c r="G223" s="384"/>
      <c r="H223" s="384"/>
      <c r="I223" s="384"/>
      <c r="J223" s="314"/>
      <c r="K223" s="316"/>
      <c r="L223" s="316"/>
      <c r="M223" s="316"/>
      <c r="N223" s="316"/>
      <c r="O223" s="316"/>
      <c r="P223" s="316"/>
    </row>
    <row r="224" spans="3:16" x14ac:dyDescent="0.3">
      <c r="C224" s="373"/>
      <c r="D224" s="374"/>
      <c r="E224" s="375"/>
      <c r="F224" s="376"/>
      <c r="G224" s="377"/>
      <c r="H224" s="377"/>
      <c r="I224" s="377"/>
      <c r="J224" s="376"/>
      <c r="K224" s="378"/>
      <c r="L224" s="378"/>
      <c r="M224" s="378"/>
      <c r="N224" s="378"/>
      <c r="O224" s="378"/>
      <c r="P224" s="378"/>
    </row>
    <row r="225" spans="3:16" x14ac:dyDescent="0.3">
      <c r="C225" s="373"/>
      <c r="D225" s="374"/>
      <c r="E225" s="375"/>
      <c r="F225" s="376"/>
      <c r="G225" s="377"/>
      <c r="H225" s="377"/>
      <c r="I225" s="377"/>
      <c r="J225" s="376"/>
      <c r="K225" s="378"/>
      <c r="L225" s="378"/>
      <c r="M225" s="378"/>
      <c r="N225" s="378"/>
      <c r="O225" s="378"/>
      <c r="P225" s="378"/>
    </row>
    <row r="226" spans="3:16" x14ac:dyDescent="0.3">
      <c r="C226" s="373"/>
      <c r="D226" s="374"/>
      <c r="E226" s="375"/>
      <c r="F226" s="376"/>
      <c r="G226" s="377"/>
      <c r="H226" s="377"/>
      <c r="I226" s="377"/>
      <c r="J226" s="376"/>
      <c r="K226" s="378"/>
      <c r="L226" s="378"/>
      <c r="M226" s="378"/>
      <c r="N226" s="378"/>
      <c r="O226" s="378"/>
      <c r="P226" s="378"/>
    </row>
    <row r="227" spans="3:16" x14ac:dyDescent="0.3">
      <c r="C227" s="373"/>
      <c r="D227" s="374"/>
      <c r="E227" s="375"/>
      <c r="F227" s="376"/>
      <c r="G227" s="377"/>
      <c r="H227" s="377"/>
      <c r="I227" s="377"/>
      <c r="J227" s="376"/>
      <c r="K227" s="378"/>
      <c r="L227" s="378"/>
      <c r="M227" s="378"/>
      <c r="N227" s="378"/>
      <c r="O227" s="378"/>
      <c r="P227" s="378"/>
    </row>
    <row r="228" spans="3:16" x14ac:dyDescent="0.3">
      <c r="C228" s="373"/>
      <c r="D228" s="374"/>
      <c r="E228" s="375"/>
      <c r="F228" s="376"/>
      <c r="G228" s="377"/>
      <c r="H228" s="377"/>
      <c r="I228" s="377"/>
      <c r="J228" s="376"/>
      <c r="K228" s="378"/>
      <c r="L228" s="378"/>
      <c r="M228" s="378"/>
      <c r="N228" s="378"/>
      <c r="O228" s="378"/>
      <c r="P228" s="378"/>
    </row>
    <row r="229" spans="3:16" x14ac:dyDescent="0.3">
      <c r="C229" s="373"/>
      <c r="D229" s="374"/>
      <c r="E229" s="375"/>
      <c r="F229" s="376"/>
      <c r="G229" s="377"/>
      <c r="H229" s="377"/>
      <c r="I229" s="377"/>
      <c r="J229" s="376"/>
      <c r="K229" s="378"/>
      <c r="L229" s="378"/>
      <c r="M229" s="378"/>
      <c r="N229" s="378"/>
      <c r="O229" s="378"/>
      <c r="P229" s="378"/>
    </row>
    <row r="230" spans="3:16" x14ac:dyDescent="0.3">
      <c r="C230" s="373"/>
      <c r="D230" s="374"/>
      <c r="E230" s="375"/>
      <c r="F230" s="376"/>
      <c r="G230" s="377"/>
      <c r="H230" s="377"/>
      <c r="I230" s="377"/>
      <c r="J230" s="376"/>
      <c r="K230" s="378"/>
      <c r="L230" s="378"/>
      <c r="M230" s="378"/>
      <c r="N230" s="378"/>
      <c r="O230" s="378"/>
      <c r="P230" s="378"/>
    </row>
    <row r="231" spans="3:16" x14ac:dyDescent="0.3">
      <c r="C231" s="373"/>
      <c r="D231" s="374"/>
      <c r="E231" s="375"/>
      <c r="F231" s="376"/>
      <c r="G231" s="377"/>
      <c r="H231" s="377"/>
      <c r="I231" s="377"/>
      <c r="J231" s="376"/>
      <c r="K231" s="378"/>
      <c r="L231" s="378"/>
      <c r="M231" s="378"/>
      <c r="N231" s="378"/>
      <c r="O231" s="378"/>
      <c r="P231" s="378"/>
    </row>
    <row r="232" spans="3:16" x14ac:dyDescent="0.3">
      <c r="C232" s="379"/>
      <c r="D232" s="312"/>
      <c r="E232" s="380"/>
      <c r="F232" s="314"/>
      <c r="G232" s="315"/>
      <c r="H232" s="315"/>
      <c r="I232" s="315"/>
      <c r="J232" s="314"/>
      <c r="K232" s="316"/>
      <c r="L232" s="316"/>
      <c r="M232" s="316"/>
      <c r="N232" s="316"/>
      <c r="O232" s="316"/>
      <c r="P232" s="316"/>
    </row>
    <row r="233" spans="3:16" x14ac:dyDescent="0.3">
      <c r="C233" s="385"/>
      <c r="D233" s="386"/>
      <c r="E233" s="382"/>
      <c r="F233" s="383"/>
      <c r="G233" s="384"/>
      <c r="H233" s="384"/>
      <c r="I233" s="384"/>
      <c r="J233" s="314"/>
      <c r="K233" s="387"/>
      <c r="L233" s="387"/>
      <c r="M233" s="387"/>
      <c r="N233" s="387"/>
      <c r="O233" s="387"/>
      <c r="P233" s="387"/>
    </row>
    <row r="234" spans="3:16" x14ac:dyDescent="0.3">
      <c r="C234" s="388"/>
      <c r="D234" s="389"/>
      <c r="E234" s="380"/>
      <c r="F234" s="314"/>
      <c r="G234" s="315"/>
      <c r="H234" s="315"/>
      <c r="I234" s="315"/>
      <c r="J234" s="314"/>
      <c r="K234" s="316"/>
      <c r="L234" s="316"/>
      <c r="M234" s="316"/>
      <c r="N234" s="316"/>
      <c r="O234" s="316"/>
      <c r="P234" s="316"/>
    </row>
    <row r="235" spans="3:16" x14ac:dyDescent="0.3">
      <c r="C235" s="379"/>
      <c r="D235" s="312"/>
      <c r="E235" s="380"/>
      <c r="F235" s="314"/>
      <c r="G235" s="315"/>
      <c r="H235" s="315"/>
      <c r="I235" s="315"/>
      <c r="J235" s="314"/>
      <c r="K235" s="316"/>
      <c r="L235" s="316"/>
      <c r="M235" s="316"/>
      <c r="N235" s="316"/>
      <c r="O235" s="316"/>
      <c r="P235" s="316"/>
    </row>
    <row r="236" spans="3:16" x14ac:dyDescent="0.3">
      <c r="C236" s="373"/>
      <c r="D236" s="374"/>
      <c r="E236" s="375"/>
      <c r="F236" s="376"/>
      <c r="G236" s="377"/>
      <c r="H236" s="377"/>
      <c r="I236" s="377"/>
      <c r="J236" s="376"/>
      <c r="K236" s="378"/>
      <c r="L236" s="378"/>
      <c r="M236" s="378"/>
      <c r="N236" s="378"/>
      <c r="O236" s="378"/>
      <c r="P236" s="378"/>
    </row>
    <row r="237" spans="3:16" x14ac:dyDescent="0.3">
      <c r="C237" s="379"/>
      <c r="D237" s="312"/>
      <c r="E237" s="380"/>
      <c r="F237" s="314"/>
      <c r="G237" s="315"/>
      <c r="H237" s="315"/>
      <c r="I237" s="315"/>
      <c r="J237" s="314"/>
      <c r="K237" s="316"/>
      <c r="L237" s="316"/>
      <c r="M237" s="316"/>
      <c r="N237" s="316"/>
      <c r="O237" s="316"/>
      <c r="P237" s="316"/>
    </row>
    <row r="238" spans="3:16" x14ac:dyDescent="0.3">
      <c r="C238" s="385"/>
      <c r="D238" s="386"/>
      <c r="E238" s="382"/>
      <c r="F238" s="383"/>
      <c r="G238" s="384"/>
      <c r="H238" s="384"/>
      <c r="I238" s="384"/>
      <c r="J238" s="314"/>
      <c r="K238" s="387"/>
      <c r="L238" s="387"/>
      <c r="M238" s="387"/>
      <c r="N238" s="387"/>
      <c r="O238" s="387"/>
      <c r="P238" s="387"/>
    </row>
    <row r="239" spans="3:16" x14ac:dyDescent="0.3">
      <c r="C239" s="381"/>
      <c r="D239" s="390"/>
      <c r="E239" s="382"/>
      <c r="F239" s="383"/>
      <c r="G239" s="384"/>
      <c r="H239" s="384"/>
      <c r="I239" s="384"/>
      <c r="J239" s="314"/>
      <c r="K239" s="316"/>
      <c r="L239" s="316"/>
      <c r="M239" s="316"/>
      <c r="N239" s="316"/>
      <c r="O239" s="316"/>
      <c r="P239" s="316"/>
    </row>
    <row r="240" spans="3:16" x14ac:dyDescent="0.3">
      <c r="C240" s="373"/>
      <c r="D240" s="374"/>
      <c r="E240" s="375"/>
      <c r="F240" s="376"/>
      <c r="G240" s="377"/>
      <c r="H240" s="377"/>
      <c r="I240" s="377"/>
      <c r="J240" s="376"/>
      <c r="K240" s="378"/>
      <c r="L240" s="378"/>
      <c r="M240" s="378"/>
      <c r="N240" s="378"/>
      <c r="O240" s="378"/>
      <c r="P240" s="378"/>
    </row>
    <row r="241" spans="3:16" x14ac:dyDescent="0.3">
      <c r="C241" s="381"/>
      <c r="D241" s="390"/>
      <c r="E241" s="382"/>
      <c r="F241" s="383"/>
      <c r="G241" s="384"/>
      <c r="H241" s="384"/>
      <c r="I241" s="384"/>
      <c r="J241" s="314"/>
      <c r="K241" s="316"/>
      <c r="L241" s="316"/>
      <c r="M241" s="316"/>
      <c r="N241" s="316"/>
      <c r="O241" s="316"/>
      <c r="P241" s="316"/>
    </row>
    <row r="242" spans="3:16" x14ac:dyDescent="0.3">
      <c r="C242" s="373"/>
      <c r="D242" s="374"/>
      <c r="E242" s="375"/>
      <c r="F242" s="376"/>
      <c r="G242" s="377"/>
      <c r="H242" s="377"/>
      <c r="I242" s="377"/>
      <c r="J242" s="376"/>
      <c r="K242" s="378"/>
      <c r="L242" s="378"/>
      <c r="M242" s="378"/>
      <c r="N242" s="378"/>
      <c r="O242" s="378"/>
      <c r="P242" s="378"/>
    </row>
    <row r="243" spans="3:16" x14ac:dyDescent="0.3">
      <c r="C243" s="381"/>
      <c r="D243" s="390"/>
      <c r="E243" s="382"/>
      <c r="F243" s="383"/>
      <c r="G243" s="384"/>
      <c r="H243" s="384"/>
      <c r="I243" s="384"/>
      <c r="J243" s="314"/>
      <c r="K243" s="316"/>
      <c r="L243" s="316"/>
      <c r="M243" s="316"/>
      <c r="N243" s="316"/>
      <c r="O243" s="316"/>
      <c r="P243" s="316"/>
    </row>
    <row r="244" spans="3:16" x14ac:dyDescent="0.3">
      <c r="C244" s="373"/>
      <c r="D244" s="374"/>
      <c r="E244" s="375"/>
      <c r="F244" s="376"/>
      <c r="G244" s="377"/>
      <c r="H244" s="377"/>
      <c r="I244" s="377"/>
      <c r="J244" s="376"/>
      <c r="K244" s="378"/>
      <c r="L244" s="378"/>
      <c r="M244" s="378"/>
      <c r="N244" s="378"/>
      <c r="O244" s="378"/>
      <c r="P244" s="378"/>
    </row>
    <row r="245" spans="3:16" x14ac:dyDescent="0.3">
      <c r="C245" s="379"/>
      <c r="D245" s="312"/>
      <c r="E245" s="380"/>
      <c r="F245" s="314"/>
      <c r="G245" s="315"/>
      <c r="H245" s="315"/>
      <c r="I245" s="315"/>
      <c r="J245" s="314"/>
      <c r="K245" s="316"/>
      <c r="L245" s="316"/>
      <c r="M245" s="316"/>
      <c r="N245" s="316"/>
      <c r="O245" s="316"/>
      <c r="P245" s="316"/>
    </row>
    <row r="246" spans="3:16" x14ac:dyDescent="0.3">
      <c r="C246" s="391"/>
      <c r="D246" s="386"/>
      <c r="E246" s="382"/>
      <c r="F246" s="383"/>
      <c r="G246" s="384"/>
      <c r="H246" s="384"/>
      <c r="I246" s="384"/>
      <c r="J246" s="314"/>
      <c r="K246" s="392"/>
      <c r="L246" s="392"/>
      <c r="M246" s="392"/>
      <c r="N246" s="392"/>
      <c r="O246" s="392"/>
      <c r="P246" s="392"/>
    </row>
    <row r="247" spans="3:16" x14ac:dyDescent="0.3">
      <c r="C247" s="385"/>
      <c r="D247" s="386"/>
      <c r="E247" s="382"/>
      <c r="F247" s="383"/>
      <c r="G247" s="384"/>
      <c r="H247" s="384"/>
      <c r="I247" s="384"/>
      <c r="J247" s="314"/>
      <c r="K247" s="387"/>
      <c r="L247" s="387"/>
      <c r="M247" s="387"/>
      <c r="N247" s="387"/>
      <c r="O247" s="387"/>
      <c r="P247" s="387"/>
    </row>
    <row r="248" spans="3:16" x14ac:dyDescent="0.3">
      <c r="C248" s="381"/>
      <c r="D248" s="393"/>
      <c r="E248" s="382"/>
      <c r="F248" s="383"/>
      <c r="G248" s="384"/>
      <c r="H248" s="384"/>
      <c r="I248" s="384"/>
      <c r="J248" s="314"/>
      <c r="K248" s="316"/>
      <c r="L248" s="316"/>
      <c r="M248" s="316"/>
      <c r="N248" s="316"/>
      <c r="O248" s="316"/>
      <c r="P248" s="316"/>
    </row>
    <row r="249" spans="3:16" x14ac:dyDescent="0.3">
      <c r="C249" s="394"/>
      <c r="D249" s="390"/>
      <c r="E249" s="382"/>
      <c r="F249" s="383"/>
      <c r="G249" s="384"/>
      <c r="H249" s="384"/>
      <c r="I249" s="384"/>
      <c r="J249" s="314"/>
      <c r="K249" s="316"/>
      <c r="L249" s="316"/>
      <c r="M249" s="316"/>
      <c r="N249" s="316"/>
      <c r="O249" s="316"/>
      <c r="P249" s="316"/>
    </row>
    <row r="250" spans="3:16" x14ac:dyDescent="0.3">
      <c r="C250" s="373"/>
      <c r="D250" s="374"/>
      <c r="E250" s="375"/>
      <c r="F250" s="376"/>
      <c r="G250" s="377"/>
      <c r="H250" s="377"/>
      <c r="I250" s="377"/>
      <c r="J250" s="376"/>
      <c r="K250" s="378"/>
      <c r="L250" s="378"/>
      <c r="M250" s="378"/>
      <c r="N250" s="378"/>
      <c r="O250" s="378"/>
      <c r="P250" s="378"/>
    </row>
    <row r="251" spans="3:16" x14ac:dyDescent="0.3">
      <c r="C251" s="373"/>
      <c r="D251" s="374"/>
      <c r="E251" s="375"/>
      <c r="F251" s="376"/>
      <c r="G251" s="377"/>
      <c r="H251" s="377"/>
      <c r="I251" s="377"/>
      <c r="J251" s="376"/>
      <c r="K251" s="378"/>
      <c r="L251" s="378"/>
      <c r="M251" s="378"/>
      <c r="N251" s="378"/>
      <c r="O251" s="378"/>
      <c r="P251" s="378"/>
    </row>
    <row r="252" spans="3:16" x14ac:dyDescent="0.3">
      <c r="C252" s="373"/>
      <c r="D252" s="374"/>
      <c r="E252" s="375"/>
      <c r="F252" s="376"/>
      <c r="G252" s="377"/>
      <c r="H252" s="377"/>
      <c r="I252" s="377"/>
      <c r="J252" s="376"/>
      <c r="K252" s="378"/>
      <c r="L252" s="378"/>
      <c r="M252" s="378"/>
      <c r="N252" s="378"/>
      <c r="O252" s="378"/>
      <c r="P252" s="378"/>
    </row>
    <row r="253" spans="3:16" x14ac:dyDescent="0.3">
      <c r="C253" s="379"/>
      <c r="D253" s="312"/>
      <c r="E253" s="380"/>
      <c r="F253" s="314"/>
      <c r="G253" s="315"/>
      <c r="H253" s="315"/>
      <c r="I253" s="315"/>
      <c r="J253" s="314"/>
      <c r="K253" s="316"/>
      <c r="L253" s="316"/>
      <c r="M253" s="316"/>
      <c r="N253" s="316"/>
      <c r="O253" s="316"/>
      <c r="P253" s="316"/>
    </row>
    <row r="254" spans="3:16" x14ac:dyDescent="0.3">
      <c r="C254" s="391"/>
      <c r="D254" s="386"/>
      <c r="E254" s="382"/>
      <c r="F254" s="383"/>
      <c r="G254" s="384"/>
      <c r="H254" s="384"/>
      <c r="I254" s="384"/>
      <c r="J254" s="314"/>
      <c r="K254" s="392"/>
      <c r="L254" s="392"/>
      <c r="M254" s="392"/>
      <c r="N254" s="392"/>
      <c r="O254" s="392"/>
      <c r="P254" s="392"/>
    </row>
    <row r="255" spans="3:16" x14ac:dyDescent="0.3">
      <c r="C255" s="385"/>
      <c r="D255" s="386"/>
      <c r="E255" s="382"/>
      <c r="F255" s="383"/>
      <c r="G255" s="384"/>
      <c r="H255" s="384"/>
      <c r="I255" s="384"/>
      <c r="J255" s="314"/>
      <c r="K255" s="387"/>
      <c r="L255" s="387"/>
      <c r="M255" s="387"/>
      <c r="N255" s="387"/>
      <c r="O255" s="387"/>
      <c r="P255" s="387"/>
    </row>
    <row r="256" spans="3:16" x14ac:dyDescent="0.3">
      <c r="C256" s="395"/>
      <c r="D256" s="389"/>
      <c r="E256" s="380"/>
      <c r="F256" s="314"/>
      <c r="G256" s="315"/>
      <c r="H256" s="315"/>
      <c r="I256" s="315"/>
      <c r="J256" s="314"/>
      <c r="K256" s="316"/>
      <c r="L256" s="316"/>
      <c r="M256" s="316"/>
      <c r="N256" s="316"/>
      <c r="O256" s="316"/>
      <c r="P256" s="316"/>
    </row>
    <row r="257" spans="3:16" x14ac:dyDescent="0.3">
      <c r="C257" s="396"/>
      <c r="D257" s="374"/>
      <c r="E257" s="375"/>
      <c r="F257" s="376"/>
      <c r="G257" s="377"/>
      <c r="H257" s="377"/>
      <c r="I257" s="377"/>
      <c r="J257" s="376"/>
      <c r="K257" s="378"/>
      <c r="L257" s="378"/>
      <c r="M257" s="378"/>
      <c r="N257" s="378"/>
      <c r="O257" s="378"/>
      <c r="P257" s="378"/>
    </row>
    <row r="258" spans="3:16" x14ac:dyDescent="0.3">
      <c r="C258" s="379"/>
      <c r="D258" s="312"/>
      <c r="E258" s="380"/>
      <c r="F258" s="314"/>
      <c r="G258" s="315"/>
      <c r="H258" s="315"/>
      <c r="I258" s="315"/>
      <c r="J258" s="314"/>
      <c r="K258" s="316"/>
      <c r="L258" s="316"/>
      <c r="M258" s="316"/>
      <c r="N258" s="316"/>
      <c r="O258" s="316"/>
      <c r="P258" s="316"/>
    </row>
    <row r="259" spans="3:16" x14ac:dyDescent="0.3">
      <c r="C259" s="385"/>
      <c r="D259" s="386"/>
      <c r="E259" s="382"/>
      <c r="F259" s="383"/>
      <c r="G259" s="384"/>
      <c r="H259" s="384"/>
      <c r="I259" s="384"/>
      <c r="J259" s="314"/>
      <c r="K259" s="387"/>
      <c r="L259" s="387"/>
      <c r="M259" s="387"/>
      <c r="N259" s="387"/>
      <c r="O259" s="387"/>
      <c r="P259" s="387"/>
    </row>
    <row r="260" spans="3:16" x14ac:dyDescent="0.3">
      <c r="C260" s="379"/>
      <c r="D260" s="312"/>
      <c r="E260" s="380"/>
      <c r="F260" s="314"/>
      <c r="G260" s="315"/>
      <c r="H260" s="315"/>
      <c r="I260" s="315"/>
      <c r="J260" s="314"/>
      <c r="K260" s="316"/>
      <c r="L260" s="316"/>
      <c r="M260" s="316"/>
      <c r="N260" s="316"/>
      <c r="O260" s="316"/>
      <c r="P260" s="316"/>
    </row>
    <row r="261" spans="3:16" x14ac:dyDescent="0.3">
      <c r="C261" s="373"/>
      <c r="D261" s="374"/>
      <c r="E261" s="375"/>
      <c r="F261" s="376"/>
      <c r="G261" s="377"/>
      <c r="H261" s="377"/>
      <c r="I261" s="377"/>
      <c r="J261" s="376"/>
      <c r="K261" s="378"/>
      <c r="L261" s="378"/>
      <c r="M261" s="378"/>
      <c r="N261" s="378"/>
      <c r="O261" s="378"/>
      <c r="P261" s="378"/>
    </row>
    <row r="262" spans="3:16" x14ac:dyDescent="0.3">
      <c r="C262" s="373"/>
      <c r="D262" s="374"/>
      <c r="E262" s="375"/>
      <c r="F262" s="376"/>
      <c r="G262" s="377"/>
      <c r="H262" s="377"/>
      <c r="I262" s="377"/>
      <c r="J262" s="376"/>
      <c r="K262" s="378"/>
      <c r="L262" s="378"/>
      <c r="M262" s="378"/>
      <c r="N262" s="378"/>
      <c r="O262" s="378"/>
      <c r="P262" s="378"/>
    </row>
    <row r="263" spans="3:16" x14ac:dyDescent="0.3">
      <c r="C263" s="379"/>
      <c r="D263" s="312"/>
      <c r="E263" s="380"/>
      <c r="F263" s="314"/>
      <c r="G263" s="315"/>
      <c r="H263" s="315"/>
      <c r="I263" s="315"/>
      <c r="J263" s="314"/>
      <c r="K263" s="316"/>
      <c r="L263" s="316"/>
      <c r="M263" s="316"/>
      <c r="N263" s="316"/>
      <c r="O263" s="316"/>
      <c r="P263" s="316"/>
    </row>
    <row r="264" spans="3:16" x14ac:dyDescent="0.3">
      <c r="C264" s="373"/>
      <c r="D264" s="374"/>
      <c r="E264" s="375"/>
      <c r="F264" s="376"/>
      <c r="G264" s="377"/>
      <c r="H264" s="377"/>
      <c r="I264" s="377"/>
      <c r="J264" s="376"/>
      <c r="K264" s="378"/>
      <c r="L264" s="378"/>
      <c r="M264" s="378"/>
      <c r="N264" s="378"/>
      <c r="O264" s="378"/>
      <c r="P264" s="378"/>
    </row>
    <row r="265" spans="3:16" x14ac:dyDescent="0.3">
      <c r="C265" s="373"/>
      <c r="D265" s="374"/>
      <c r="E265" s="375"/>
      <c r="F265" s="376"/>
      <c r="G265" s="377"/>
      <c r="H265" s="377"/>
      <c r="I265" s="377"/>
      <c r="J265" s="376"/>
      <c r="K265" s="378"/>
      <c r="L265" s="378"/>
      <c r="M265" s="378"/>
      <c r="N265" s="378"/>
      <c r="O265" s="378"/>
      <c r="P265" s="378"/>
    </row>
    <row r="266" spans="3:16" x14ac:dyDescent="0.3">
      <c r="C266" s="379"/>
      <c r="D266" s="312"/>
      <c r="E266" s="380"/>
      <c r="F266" s="314"/>
      <c r="G266" s="315"/>
      <c r="H266" s="315"/>
      <c r="I266" s="315"/>
      <c r="J266" s="314"/>
      <c r="K266" s="316"/>
      <c r="L266" s="316"/>
      <c r="M266" s="316"/>
      <c r="N266" s="316"/>
      <c r="O266" s="316"/>
      <c r="P266" s="316"/>
    </row>
    <row r="267" spans="3:16" x14ac:dyDescent="0.3">
      <c r="C267" s="373"/>
      <c r="D267" s="374"/>
      <c r="E267" s="375"/>
      <c r="F267" s="376"/>
      <c r="G267" s="377"/>
      <c r="H267" s="377"/>
      <c r="I267" s="377"/>
      <c r="J267" s="376"/>
      <c r="K267" s="378"/>
      <c r="L267" s="378"/>
      <c r="M267" s="378"/>
      <c r="N267" s="378"/>
      <c r="O267" s="378"/>
      <c r="P267" s="378"/>
    </row>
    <row r="268" spans="3:16" x14ac:dyDescent="0.3">
      <c r="C268" s="373"/>
      <c r="D268" s="374"/>
      <c r="E268" s="375"/>
      <c r="F268" s="376"/>
      <c r="G268" s="377"/>
      <c r="H268" s="377"/>
      <c r="I268" s="377"/>
      <c r="J268" s="376"/>
      <c r="K268" s="378"/>
      <c r="L268" s="378"/>
      <c r="M268" s="378"/>
      <c r="N268" s="378"/>
      <c r="O268" s="378"/>
      <c r="P268" s="378"/>
    </row>
    <row r="269" spans="3:16" x14ac:dyDescent="0.3">
      <c r="C269" s="395"/>
      <c r="D269" s="312"/>
      <c r="E269" s="380"/>
      <c r="F269" s="314"/>
      <c r="G269" s="315"/>
      <c r="H269" s="315"/>
      <c r="I269" s="315"/>
      <c r="J269" s="314"/>
      <c r="K269" s="316"/>
      <c r="L269" s="316"/>
      <c r="M269" s="316"/>
      <c r="N269" s="316"/>
      <c r="O269" s="316"/>
      <c r="P269" s="316"/>
    </row>
    <row r="270" spans="3:16" x14ac:dyDescent="0.3">
      <c r="C270" s="152"/>
      <c r="D270" s="312"/>
      <c r="E270" s="380"/>
      <c r="F270" s="314"/>
      <c r="G270" s="315"/>
      <c r="H270" s="315"/>
      <c r="I270" s="315"/>
      <c r="J270" s="314"/>
      <c r="K270" s="316"/>
      <c r="L270" s="316"/>
      <c r="M270" s="316"/>
      <c r="N270" s="316"/>
      <c r="O270" s="316"/>
      <c r="P270" s="316"/>
    </row>
    <row r="271" spans="3:16" x14ac:dyDescent="0.3">
      <c r="C271" s="152"/>
      <c r="D271" s="312"/>
      <c r="E271" s="380"/>
      <c r="F271" s="314"/>
      <c r="G271" s="315"/>
      <c r="H271" s="315"/>
      <c r="I271" s="315"/>
      <c r="J271" s="314"/>
      <c r="K271" s="316"/>
      <c r="L271" s="316"/>
      <c r="M271" s="316"/>
      <c r="N271" s="316"/>
      <c r="O271" s="316"/>
      <c r="P271" s="316"/>
    </row>
    <row r="272" spans="3:16" x14ac:dyDescent="0.3">
      <c r="C272" s="152"/>
      <c r="D272" s="312"/>
      <c r="E272" s="380"/>
      <c r="F272" s="314"/>
      <c r="G272" s="315"/>
      <c r="H272" s="315"/>
      <c r="I272" s="315"/>
      <c r="J272" s="314"/>
      <c r="K272" s="316"/>
      <c r="L272" s="316"/>
      <c r="M272" s="316"/>
      <c r="N272" s="316"/>
      <c r="O272" s="316"/>
      <c r="P272" s="316"/>
    </row>
    <row r="273" spans="3:16" x14ac:dyDescent="0.3">
      <c r="C273" s="152"/>
      <c r="D273" s="312"/>
      <c r="E273" s="380"/>
      <c r="F273" s="314"/>
      <c r="G273" s="315"/>
      <c r="H273" s="315"/>
      <c r="I273" s="315"/>
      <c r="J273" s="314"/>
      <c r="K273" s="316"/>
      <c r="L273" s="316"/>
      <c r="M273" s="316"/>
      <c r="N273" s="316"/>
      <c r="O273" s="316"/>
      <c r="P273" s="316"/>
    </row>
    <row r="274" spans="3:16" x14ac:dyDescent="0.3">
      <c r="C274" s="373"/>
      <c r="D274" s="374"/>
      <c r="E274" s="375"/>
      <c r="F274" s="376"/>
      <c r="G274" s="377"/>
      <c r="H274" s="377"/>
      <c r="I274" s="377"/>
      <c r="J274" s="376"/>
      <c r="K274" s="378"/>
      <c r="L274" s="378"/>
      <c r="M274" s="378"/>
      <c r="N274" s="378"/>
      <c r="O274" s="378"/>
      <c r="P274" s="378"/>
    </row>
    <row r="275" spans="3:16" x14ac:dyDescent="0.3">
      <c r="C275" s="373"/>
      <c r="D275" s="374"/>
      <c r="E275" s="375"/>
      <c r="F275" s="376"/>
      <c r="G275" s="377"/>
      <c r="H275" s="377"/>
      <c r="I275" s="377"/>
      <c r="J275" s="376"/>
      <c r="K275" s="378"/>
      <c r="L275" s="378"/>
      <c r="M275" s="378"/>
      <c r="N275" s="378"/>
      <c r="O275" s="378"/>
      <c r="P275" s="378"/>
    </row>
    <row r="276" spans="3:16" x14ac:dyDescent="0.3">
      <c r="C276" s="381"/>
      <c r="D276" s="393"/>
      <c r="E276" s="382"/>
      <c r="F276" s="383"/>
      <c r="G276" s="384"/>
      <c r="H276" s="384"/>
      <c r="I276" s="384"/>
      <c r="J276" s="314"/>
      <c r="K276" s="316"/>
      <c r="L276" s="316"/>
      <c r="M276" s="316"/>
      <c r="N276" s="316"/>
      <c r="O276" s="316"/>
      <c r="P276" s="316"/>
    </row>
    <row r="277" spans="3:16" x14ac:dyDescent="0.3">
      <c r="C277" s="381"/>
      <c r="D277" s="390"/>
      <c r="E277" s="382"/>
      <c r="F277" s="383"/>
      <c r="G277" s="384"/>
      <c r="H277" s="384"/>
      <c r="I277" s="384"/>
      <c r="J277" s="314"/>
      <c r="K277" s="316"/>
      <c r="L277" s="316"/>
      <c r="M277" s="316"/>
      <c r="N277" s="316"/>
      <c r="O277" s="316"/>
      <c r="P277" s="316"/>
    </row>
    <row r="278" spans="3:16" x14ac:dyDescent="0.3">
      <c r="C278" s="373"/>
      <c r="D278" s="374"/>
      <c r="E278" s="375"/>
      <c r="F278" s="376"/>
      <c r="G278" s="377"/>
      <c r="H278" s="377"/>
      <c r="I278" s="377"/>
      <c r="J278" s="376"/>
      <c r="K278" s="378"/>
      <c r="L278" s="378"/>
      <c r="M278" s="378"/>
      <c r="N278" s="378"/>
      <c r="O278" s="378"/>
      <c r="P278" s="378"/>
    </row>
    <row r="279" spans="3:16" x14ac:dyDescent="0.3">
      <c r="C279" s="381"/>
      <c r="D279" s="393"/>
      <c r="E279" s="382"/>
      <c r="F279" s="383"/>
      <c r="G279" s="384"/>
      <c r="H279" s="384"/>
      <c r="I279" s="384"/>
      <c r="J279" s="314"/>
      <c r="K279" s="316"/>
      <c r="L279" s="316"/>
      <c r="M279" s="316"/>
      <c r="N279" s="316"/>
      <c r="O279" s="316"/>
      <c r="P279" s="316"/>
    </row>
    <row r="280" spans="3:16" x14ac:dyDescent="0.3">
      <c r="C280" s="381"/>
      <c r="D280" s="390"/>
      <c r="E280" s="382"/>
      <c r="F280" s="383"/>
      <c r="G280" s="384"/>
      <c r="H280" s="384"/>
      <c r="I280" s="384"/>
      <c r="J280" s="314"/>
      <c r="K280" s="316"/>
      <c r="L280" s="316"/>
      <c r="M280" s="316"/>
      <c r="N280" s="316"/>
      <c r="O280" s="316"/>
      <c r="P280" s="316"/>
    </row>
    <row r="281" spans="3:16" x14ac:dyDescent="0.3">
      <c r="C281" s="373"/>
      <c r="D281" s="374"/>
      <c r="E281" s="375"/>
      <c r="F281" s="376"/>
      <c r="G281" s="377"/>
      <c r="H281" s="377"/>
      <c r="I281" s="377"/>
      <c r="J281" s="376"/>
      <c r="K281" s="378"/>
      <c r="L281" s="378"/>
      <c r="M281" s="378"/>
      <c r="N281" s="378"/>
      <c r="O281" s="378"/>
      <c r="P281" s="378"/>
    </row>
    <row r="282" spans="3:16" x14ac:dyDescent="0.3">
      <c r="C282" s="373"/>
      <c r="D282" s="374"/>
      <c r="E282" s="375"/>
      <c r="F282" s="376"/>
      <c r="G282" s="377"/>
      <c r="H282" s="377"/>
      <c r="I282" s="377"/>
      <c r="J282" s="376"/>
      <c r="K282" s="378"/>
      <c r="L282" s="378"/>
      <c r="M282" s="378"/>
      <c r="N282" s="378"/>
      <c r="O282" s="378"/>
      <c r="P282" s="378"/>
    </row>
    <row r="283" spans="3:16" x14ac:dyDescent="0.3">
      <c r="C283" s="373"/>
      <c r="D283" s="374"/>
      <c r="E283" s="375"/>
      <c r="F283" s="376"/>
      <c r="G283" s="377"/>
      <c r="H283" s="377"/>
      <c r="I283" s="377"/>
      <c r="J283" s="376"/>
      <c r="K283" s="378"/>
      <c r="L283" s="378"/>
      <c r="M283" s="378"/>
      <c r="N283" s="378"/>
      <c r="O283" s="378"/>
      <c r="P283" s="378"/>
    </row>
    <row r="284" spans="3:16" x14ac:dyDescent="0.3">
      <c r="C284" s="381"/>
      <c r="D284" s="393"/>
      <c r="E284" s="382"/>
      <c r="F284" s="383"/>
      <c r="G284" s="384"/>
      <c r="H284" s="384"/>
      <c r="I284" s="384"/>
      <c r="J284" s="314"/>
      <c r="K284" s="316"/>
      <c r="L284" s="316"/>
      <c r="M284" s="316"/>
      <c r="N284" s="316"/>
      <c r="O284" s="316"/>
      <c r="P284" s="316"/>
    </row>
    <row r="285" spans="3:16" x14ac:dyDescent="0.3">
      <c r="C285" s="381"/>
      <c r="D285" s="390"/>
      <c r="E285" s="382"/>
      <c r="F285" s="383"/>
      <c r="G285" s="384"/>
      <c r="H285" s="384"/>
      <c r="I285" s="384"/>
      <c r="J285" s="314"/>
      <c r="K285" s="316"/>
      <c r="L285" s="316"/>
      <c r="M285" s="316"/>
      <c r="N285" s="316"/>
      <c r="O285" s="316"/>
      <c r="P285" s="316"/>
    </row>
    <row r="286" spans="3:16" x14ac:dyDescent="0.3">
      <c r="C286" s="373"/>
      <c r="D286" s="374"/>
      <c r="E286" s="375"/>
      <c r="F286" s="376"/>
      <c r="G286" s="377"/>
      <c r="H286" s="377"/>
      <c r="I286" s="377"/>
      <c r="J286" s="376"/>
      <c r="K286" s="378"/>
      <c r="L286" s="378"/>
      <c r="M286" s="378"/>
      <c r="N286" s="378"/>
      <c r="O286" s="378"/>
      <c r="P286" s="378"/>
    </row>
    <row r="287" spans="3:16" x14ac:dyDescent="0.3">
      <c r="C287" s="373"/>
      <c r="D287" s="374"/>
      <c r="E287" s="375"/>
      <c r="F287" s="376"/>
      <c r="G287" s="377"/>
      <c r="H287" s="377"/>
      <c r="I287" s="377"/>
      <c r="J287" s="376"/>
      <c r="K287" s="378"/>
      <c r="L287" s="378"/>
      <c r="M287" s="378"/>
      <c r="N287" s="378"/>
      <c r="O287" s="378"/>
      <c r="P287" s="378"/>
    </row>
    <row r="288" spans="3:16" x14ac:dyDescent="0.3">
      <c r="C288" s="381"/>
      <c r="D288" s="390"/>
      <c r="E288" s="382"/>
      <c r="F288" s="383"/>
      <c r="G288" s="384"/>
      <c r="H288" s="384"/>
      <c r="I288" s="384"/>
      <c r="J288" s="314"/>
      <c r="K288" s="316"/>
      <c r="L288" s="316"/>
      <c r="M288" s="316"/>
      <c r="N288" s="316"/>
      <c r="O288" s="316"/>
      <c r="P288" s="316"/>
    </row>
    <row r="289" spans="3:16" x14ac:dyDescent="0.3">
      <c r="C289" s="373"/>
      <c r="D289" s="374"/>
      <c r="E289" s="375"/>
      <c r="F289" s="376"/>
      <c r="G289" s="377"/>
      <c r="H289" s="377"/>
      <c r="I289" s="377"/>
      <c r="J289" s="376"/>
      <c r="K289" s="378"/>
      <c r="L289" s="378"/>
      <c r="M289" s="378"/>
      <c r="N289" s="378"/>
      <c r="O289" s="378"/>
      <c r="P289" s="378"/>
    </row>
    <row r="290" spans="3:16" x14ac:dyDescent="0.3">
      <c r="C290" s="379"/>
      <c r="D290" s="312"/>
      <c r="E290" s="380"/>
      <c r="F290" s="314"/>
      <c r="G290" s="315"/>
      <c r="H290" s="315"/>
      <c r="I290" s="315"/>
      <c r="J290" s="314"/>
      <c r="K290" s="316"/>
      <c r="L290" s="316"/>
      <c r="M290" s="316"/>
      <c r="N290" s="316"/>
      <c r="O290" s="316"/>
      <c r="P290" s="316"/>
    </row>
    <row r="291" spans="3:16" x14ac:dyDescent="0.3">
      <c r="C291" s="385"/>
      <c r="D291" s="386"/>
      <c r="E291" s="382"/>
      <c r="F291" s="383"/>
      <c r="G291" s="384"/>
      <c r="H291" s="384"/>
      <c r="I291" s="384"/>
      <c r="J291" s="314"/>
      <c r="K291" s="387"/>
      <c r="L291" s="387"/>
      <c r="M291" s="387"/>
      <c r="N291" s="387"/>
      <c r="O291" s="387"/>
      <c r="P291" s="387"/>
    </row>
    <row r="292" spans="3:16" x14ac:dyDescent="0.3">
      <c r="C292" s="381"/>
      <c r="D292" s="393"/>
      <c r="E292" s="382"/>
      <c r="F292" s="383"/>
      <c r="G292" s="384"/>
      <c r="H292" s="384"/>
      <c r="I292" s="384"/>
      <c r="J292" s="314"/>
      <c r="K292" s="316"/>
      <c r="L292" s="316"/>
      <c r="M292" s="316"/>
      <c r="N292" s="316"/>
      <c r="O292" s="316"/>
      <c r="P292" s="316"/>
    </row>
    <row r="293" spans="3:16" x14ac:dyDescent="0.3">
      <c r="C293" s="381"/>
      <c r="D293" s="390"/>
      <c r="E293" s="382"/>
      <c r="F293" s="383"/>
      <c r="G293" s="384"/>
      <c r="H293" s="384"/>
      <c r="I293" s="384"/>
      <c r="J293" s="314"/>
      <c r="K293" s="316"/>
      <c r="L293" s="316"/>
      <c r="M293" s="316"/>
      <c r="N293" s="316"/>
      <c r="O293" s="316"/>
      <c r="P293" s="316"/>
    </row>
    <row r="294" spans="3:16" x14ac:dyDescent="0.3">
      <c r="C294" s="373"/>
      <c r="D294" s="374"/>
      <c r="E294" s="375"/>
      <c r="F294" s="376"/>
      <c r="G294" s="377"/>
      <c r="H294" s="377"/>
      <c r="I294" s="377"/>
      <c r="J294" s="376"/>
      <c r="K294" s="378"/>
      <c r="L294" s="378"/>
      <c r="M294" s="378"/>
      <c r="N294" s="378"/>
      <c r="O294" s="378"/>
      <c r="P294" s="378"/>
    </row>
    <row r="295" spans="3:16" x14ac:dyDescent="0.3">
      <c r="C295" s="381"/>
      <c r="D295" s="390"/>
      <c r="E295" s="382"/>
      <c r="F295" s="383"/>
      <c r="G295" s="384"/>
      <c r="H295" s="384"/>
      <c r="I295" s="384"/>
      <c r="J295" s="314"/>
      <c r="K295" s="316"/>
      <c r="L295" s="316"/>
      <c r="M295" s="316"/>
      <c r="N295" s="316"/>
      <c r="O295" s="316"/>
      <c r="P295" s="316"/>
    </row>
    <row r="296" spans="3:16" x14ac:dyDescent="0.3">
      <c r="C296" s="373"/>
      <c r="D296" s="374"/>
      <c r="E296" s="375"/>
      <c r="F296" s="376"/>
      <c r="G296" s="377"/>
      <c r="H296" s="377"/>
      <c r="I296" s="377"/>
      <c r="J296" s="376"/>
      <c r="K296" s="378"/>
      <c r="L296" s="378"/>
      <c r="M296" s="378"/>
      <c r="N296" s="378"/>
      <c r="O296" s="378"/>
      <c r="P296" s="378"/>
    </row>
    <row r="297" spans="3:16" x14ac:dyDescent="0.3">
      <c r="C297" s="381"/>
      <c r="D297" s="393"/>
      <c r="E297" s="382"/>
      <c r="F297" s="383"/>
      <c r="G297" s="384"/>
      <c r="H297" s="384"/>
      <c r="I297" s="384"/>
      <c r="J297" s="314"/>
      <c r="K297" s="316"/>
      <c r="L297" s="316"/>
      <c r="M297" s="316"/>
      <c r="N297" s="316"/>
      <c r="O297" s="316"/>
      <c r="P297" s="316"/>
    </row>
    <row r="298" spans="3:16" x14ac:dyDescent="0.3">
      <c r="C298" s="381"/>
      <c r="D298" s="390"/>
      <c r="E298" s="382"/>
      <c r="F298" s="383"/>
      <c r="G298" s="384"/>
      <c r="H298" s="384"/>
      <c r="I298" s="384"/>
      <c r="J298" s="314"/>
      <c r="K298" s="316"/>
      <c r="L298" s="316"/>
      <c r="M298" s="316"/>
      <c r="N298" s="316"/>
      <c r="O298" s="316"/>
      <c r="P298" s="316"/>
    </row>
    <row r="299" spans="3:16" x14ac:dyDescent="0.3">
      <c r="C299" s="373"/>
      <c r="D299" s="374"/>
      <c r="E299" s="375"/>
      <c r="F299" s="376"/>
      <c r="G299" s="377"/>
      <c r="H299" s="377"/>
      <c r="I299" s="377"/>
      <c r="J299" s="376"/>
      <c r="K299" s="378"/>
      <c r="L299" s="378"/>
      <c r="M299" s="378"/>
      <c r="N299" s="378"/>
      <c r="O299" s="378"/>
      <c r="P299" s="378"/>
    </row>
    <row r="300" spans="3:16" x14ac:dyDescent="0.3">
      <c r="C300" s="381"/>
      <c r="D300" s="390"/>
      <c r="E300" s="382"/>
      <c r="F300" s="383"/>
      <c r="G300" s="384"/>
      <c r="H300" s="384"/>
      <c r="I300" s="384"/>
      <c r="J300" s="314"/>
      <c r="K300" s="316"/>
      <c r="L300" s="316"/>
      <c r="M300" s="316"/>
      <c r="N300" s="316"/>
      <c r="O300" s="316"/>
      <c r="P300" s="316"/>
    </row>
    <row r="301" spans="3:16" x14ac:dyDescent="0.3">
      <c r="C301" s="373"/>
      <c r="D301" s="374"/>
      <c r="E301" s="375"/>
      <c r="F301" s="376"/>
      <c r="G301" s="377"/>
      <c r="H301" s="377"/>
      <c r="I301" s="377"/>
      <c r="J301" s="376"/>
      <c r="K301" s="378"/>
      <c r="L301" s="378"/>
      <c r="M301" s="378"/>
      <c r="N301" s="378"/>
      <c r="O301" s="378"/>
      <c r="P301" s="378"/>
    </row>
    <row r="302" spans="3:16" x14ac:dyDescent="0.3">
      <c r="C302" s="373"/>
      <c r="D302" s="374"/>
      <c r="E302" s="375"/>
      <c r="F302" s="376"/>
      <c r="G302" s="377"/>
      <c r="H302" s="377"/>
      <c r="I302" s="377"/>
      <c r="J302" s="376"/>
      <c r="K302" s="378"/>
      <c r="L302" s="378"/>
      <c r="M302" s="378"/>
      <c r="N302" s="378"/>
      <c r="O302" s="378"/>
      <c r="P302" s="378"/>
    </row>
    <row r="303" spans="3:16" x14ac:dyDescent="0.3">
      <c r="C303" s="379"/>
      <c r="D303" s="312"/>
      <c r="E303" s="380"/>
      <c r="F303" s="314"/>
      <c r="G303" s="315"/>
      <c r="H303" s="315"/>
      <c r="I303" s="315"/>
      <c r="J303" s="314"/>
      <c r="K303" s="316"/>
      <c r="L303" s="316"/>
      <c r="M303" s="316"/>
      <c r="N303" s="316"/>
      <c r="O303" s="316"/>
      <c r="P303" s="316"/>
    </row>
    <row r="304" spans="3:16" x14ac:dyDescent="0.3">
      <c r="C304" s="385"/>
      <c r="D304" s="386"/>
      <c r="E304" s="382"/>
      <c r="F304" s="383"/>
      <c r="G304" s="384"/>
      <c r="H304" s="384"/>
      <c r="I304" s="384"/>
      <c r="J304" s="314"/>
      <c r="K304" s="387"/>
      <c r="L304" s="387"/>
      <c r="M304" s="387"/>
      <c r="N304" s="387"/>
      <c r="O304" s="387"/>
      <c r="P304" s="387"/>
    </row>
    <row r="305" spans="3:16" x14ac:dyDescent="0.3">
      <c r="C305" s="381"/>
      <c r="D305" s="393"/>
      <c r="E305" s="382"/>
      <c r="F305" s="383"/>
      <c r="G305" s="384"/>
      <c r="H305" s="384"/>
      <c r="I305" s="384"/>
      <c r="J305" s="314"/>
      <c r="K305" s="316"/>
      <c r="L305" s="316"/>
      <c r="M305" s="316"/>
      <c r="N305" s="316"/>
      <c r="O305" s="316"/>
      <c r="P305" s="316"/>
    </row>
    <row r="306" spans="3:16" x14ac:dyDescent="0.3">
      <c r="C306" s="381"/>
      <c r="D306" s="390"/>
      <c r="E306" s="382"/>
      <c r="F306" s="383"/>
      <c r="G306" s="384"/>
      <c r="H306" s="384"/>
      <c r="I306" s="384"/>
      <c r="J306" s="314"/>
      <c r="K306" s="316"/>
      <c r="L306" s="316"/>
      <c r="M306" s="316"/>
      <c r="N306" s="316"/>
      <c r="O306" s="316"/>
      <c r="P306" s="316"/>
    </row>
    <row r="307" spans="3:16" x14ac:dyDescent="0.3">
      <c r="C307" s="373"/>
      <c r="D307" s="374"/>
      <c r="E307" s="375"/>
      <c r="F307" s="376"/>
      <c r="G307" s="377"/>
      <c r="H307" s="377"/>
      <c r="I307" s="377"/>
      <c r="J307" s="376"/>
      <c r="K307" s="378"/>
      <c r="L307" s="378"/>
      <c r="M307" s="378"/>
      <c r="N307" s="378"/>
      <c r="O307" s="378"/>
      <c r="P307" s="378"/>
    </row>
    <row r="308" spans="3:16" x14ac:dyDescent="0.3">
      <c r="C308" s="373"/>
      <c r="D308" s="374"/>
      <c r="E308" s="375"/>
      <c r="F308" s="376"/>
      <c r="G308" s="377"/>
      <c r="H308" s="377"/>
      <c r="I308" s="377"/>
      <c r="J308" s="376"/>
      <c r="K308" s="378"/>
      <c r="L308" s="378"/>
      <c r="M308" s="378"/>
      <c r="N308" s="378"/>
      <c r="O308" s="378"/>
      <c r="P308" s="378"/>
    </row>
    <row r="309" spans="3:16" x14ac:dyDescent="0.3">
      <c r="C309" s="373"/>
      <c r="D309" s="374"/>
      <c r="E309" s="375"/>
      <c r="F309" s="376"/>
      <c r="G309" s="377"/>
      <c r="H309" s="377"/>
      <c r="I309" s="377"/>
      <c r="J309" s="376"/>
      <c r="K309" s="378"/>
      <c r="L309" s="378"/>
      <c r="M309" s="378"/>
      <c r="N309" s="378"/>
      <c r="O309" s="378"/>
      <c r="P309" s="378"/>
    </row>
    <row r="310" spans="3:16" x14ac:dyDescent="0.3">
      <c r="C310" s="381"/>
      <c r="D310" s="393"/>
      <c r="E310" s="382"/>
      <c r="F310" s="383"/>
      <c r="G310" s="384"/>
      <c r="H310" s="384"/>
      <c r="I310" s="384"/>
      <c r="J310" s="314"/>
      <c r="K310" s="316"/>
      <c r="L310" s="316"/>
      <c r="M310" s="316"/>
      <c r="N310" s="316"/>
      <c r="O310" s="316"/>
      <c r="P310" s="316"/>
    </row>
    <row r="311" spans="3:16" x14ac:dyDescent="0.3">
      <c r="C311" s="381"/>
      <c r="D311" s="390"/>
      <c r="E311" s="382"/>
      <c r="F311" s="383"/>
      <c r="G311" s="384"/>
      <c r="H311" s="384"/>
      <c r="I311" s="384"/>
      <c r="J311" s="314"/>
      <c r="K311" s="316"/>
      <c r="L311" s="316"/>
      <c r="M311" s="316"/>
      <c r="N311" s="316"/>
      <c r="O311" s="316"/>
      <c r="P311" s="316"/>
    </row>
    <row r="312" spans="3:16" x14ac:dyDescent="0.3">
      <c r="C312" s="373"/>
      <c r="D312" s="374"/>
      <c r="E312" s="375"/>
      <c r="F312" s="376"/>
      <c r="G312" s="377"/>
      <c r="H312" s="377"/>
      <c r="I312" s="377"/>
      <c r="J312" s="376"/>
      <c r="K312" s="378"/>
      <c r="L312" s="378"/>
      <c r="M312" s="378"/>
      <c r="N312" s="378"/>
      <c r="O312" s="378"/>
      <c r="P312" s="378"/>
    </row>
    <row r="313" spans="3:16" x14ac:dyDescent="0.3">
      <c r="C313" s="373"/>
      <c r="D313" s="374"/>
      <c r="E313" s="375"/>
      <c r="F313" s="376"/>
      <c r="G313" s="377"/>
      <c r="H313" s="377"/>
      <c r="I313" s="377"/>
      <c r="J313" s="376"/>
      <c r="K313" s="378"/>
      <c r="L313" s="378"/>
      <c r="M313" s="378"/>
      <c r="N313" s="378"/>
      <c r="O313" s="378"/>
      <c r="P313" s="378"/>
    </row>
    <row r="314" spans="3:16" x14ac:dyDescent="0.3">
      <c r="C314" s="381"/>
      <c r="D314" s="390"/>
      <c r="E314" s="382"/>
      <c r="F314" s="383"/>
      <c r="G314" s="384"/>
      <c r="H314" s="384"/>
      <c r="I314" s="384"/>
      <c r="J314" s="314"/>
      <c r="K314" s="316"/>
      <c r="L314" s="316"/>
      <c r="M314" s="316"/>
      <c r="N314" s="316"/>
      <c r="O314" s="316"/>
      <c r="P314" s="316"/>
    </row>
    <row r="315" spans="3:16" x14ac:dyDescent="0.3">
      <c r="C315" s="373"/>
      <c r="D315" s="374"/>
      <c r="E315" s="375"/>
      <c r="F315" s="376"/>
      <c r="G315" s="377"/>
      <c r="H315" s="377"/>
      <c r="I315" s="377"/>
      <c r="J315" s="376"/>
      <c r="K315" s="378"/>
      <c r="L315" s="378"/>
      <c r="M315" s="378"/>
      <c r="N315" s="378"/>
      <c r="O315" s="378"/>
      <c r="P315" s="378"/>
    </row>
    <row r="316" spans="3:16" x14ac:dyDescent="0.3">
      <c r="C316" s="379"/>
      <c r="D316" s="312"/>
      <c r="E316" s="380"/>
      <c r="F316" s="314"/>
      <c r="G316" s="315"/>
      <c r="H316" s="315"/>
      <c r="I316" s="315"/>
      <c r="J316" s="314"/>
      <c r="K316" s="316"/>
      <c r="L316" s="316"/>
      <c r="M316" s="316"/>
      <c r="N316" s="316"/>
      <c r="O316" s="316"/>
      <c r="P316" s="316"/>
    </row>
    <row r="317" spans="3:16" x14ac:dyDescent="0.3">
      <c r="C317" s="385"/>
      <c r="D317" s="386"/>
      <c r="E317" s="382"/>
      <c r="F317" s="383"/>
      <c r="G317" s="384"/>
      <c r="H317" s="384"/>
      <c r="I317" s="384"/>
      <c r="J317" s="314"/>
      <c r="K317" s="387"/>
      <c r="L317" s="387"/>
      <c r="M317" s="387"/>
      <c r="N317" s="387"/>
      <c r="O317" s="387"/>
      <c r="P317" s="387"/>
    </row>
    <row r="318" spans="3:16" x14ac:dyDescent="0.3">
      <c r="C318" s="381"/>
      <c r="D318" s="397"/>
      <c r="E318" s="382"/>
      <c r="F318" s="383"/>
      <c r="G318" s="384"/>
      <c r="H318" s="384"/>
      <c r="I318" s="384"/>
      <c r="J318" s="314"/>
      <c r="K318" s="316"/>
      <c r="L318" s="316"/>
      <c r="M318" s="316"/>
      <c r="N318" s="316"/>
      <c r="O318" s="316"/>
      <c r="P318" s="316"/>
    </row>
    <row r="319" spans="3:16" x14ac:dyDescent="0.3">
      <c r="C319" s="373"/>
      <c r="D319" s="374"/>
      <c r="E319" s="375"/>
      <c r="F319" s="376"/>
      <c r="G319" s="377"/>
      <c r="H319" s="377"/>
      <c r="I319" s="377"/>
      <c r="J319" s="376"/>
      <c r="K319" s="378"/>
      <c r="L319" s="378"/>
      <c r="M319" s="378"/>
      <c r="N319" s="378"/>
      <c r="O319" s="378"/>
      <c r="P319" s="378"/>
    </row>
    <row r="320" spans="3:16" x14ac:dyDescent="0.3">
      <c r="C320" s="379"/>
      <c r="D320" s="312"/>
      <c r="E320" s="380"/>
      <c r="F320" s="314"/>
      <c r="G320" s="315"/>
      <c r="H320" s="315"/>
      <c r="I320" s="315"/>
      <c r="J320" s="314"/>
      <c r="K320" s="316"/>
      <c r="L320" s="316"/>
      <c r="M320" s="316"/>
      <c r="N320" s="316"/>
      <c r="O320" s="316"/>
      <c r="P320" s="316"/>
    </row>
    <row r="321" spans="3:16" x14ac:dyDescent="0.3">
      <c r="C321" s="385"/>
      <c r="D321" s="386"/>
      <c r="E321" s="382"/>
      <c r="F321" s="383"/>
      <c r="G321" s="384"/>
      <c r="H321" s="384"/>
      <c r="I321" s="384"/>
      <c r="J321" s="314"/>
      <c r="K321" s="387"/>
      <c r="L321" s="387"/>
      <c r="M321" s="387"/>
      <c r="N321" s="387"/>
      <c r="O321" s="387"/>
      <c r="P321" s="387"/>
    </row>
    <row r="322" spans="3:16" x14ac:dyDescent="0.3">
      <c r="C322" s="381"/>
      <c r="D322" s="397"/>
      <c r="E322" s="382"/>
      <c r="F322" s="383"/>
      <c r="G322" s="384"/>
      <c r="H322" s="384"/>
      <c r="I322" s="384"/>
      <c r="J322" s="314"/>
      <c r="K322" s="316"/>
      <c r="L322" s="316"/>
      <c r="M322" s="316"/>
      <c r="N322" s="316"/>
      <c r="O322" s="316"/>
      <c r="P322" s="316"/>
    </row>
    <row r="323" spans="3:16" x14ac:dyDescent="0.3">
      <c r="C323" s="373"/>
      <c r="D323" s="374"/>
      <c r="E323" s="375"/>
      <c r="F323" s="376"/>
      <c r="G323" s="377"/>
      <c r="H323" s="377"/>
      <c r="I323" s="377"/>
      <c r="J323" s="376"/>
      <c r="K323" s="378"/>
      <c r="L323" s="378"/>
      <c r="M323" s="378"/>
      <c r="N323" s="378"/>
      <c r="O323" s="378"/>
      <c r="P323" s="378"/>
    </row>
    <row r="324" spans="3:16" x14ac:dyDescent="0.3">
      <c r="C324" s="379"/>
      <c r="D324" s="312"/>
      <c r="E324" s="380"/>
      <c r="F324" s="314"/>
      <c r="G324" s="315"/>
      <c r="H324" s="315"/>
      <c r="I324" s="315"/>
      <c r="J324" s="314"/>
      <c r="K324" s="316"/>
      <c r="L324" s="316"/>
      <c r="M324" s="316"/>
      <c r="N324" s="316"/>
      <c r="O324" s="316"/>
      <c r="P324" s="316"/>
    </row>
    <row r="325" spans="3:16" x14ac:dyDescent="0.3">
      <c r="C325" s="385"/>
      <c r="D325" s="398"/>
      <c r="E325" s="382"/>
      <c r="F325" s="383"/>
      <c r="G325" s="384"/>
      <c r="H325" s="384"/>
      <c r="I325" s="384"/>
      <c r="J325" s="314"/>
      <c r="K325" s="387"/>
      <c r="L325" s="387"/>
      <c r="M325" s="387"/>
      <c r="N325" s="387"/>
      <c r="O325" s="387"/>
      <c r="P325" s="387"/>
    </row>
    <row r="326" spans="3:16" x14ac:dyDescent="0.3">
      <c r="C326" s="381"/>
      <c r="D326" s="393"/>
      <c r="E326" s="382"/>
      <c r="F326" s="383"/>
      <c r="G326" s="384"/>
      <c r="H326" s="384"/>
      <c r="I326" s="384"/>
      <c r="J326" s="314"/>
      <c r="K326" s="316"/>
      <c r="L326" s="316"/>
      <c r="M326" s="316"/>
      <c r="N326" s="316"/>
      <c r="O326" s="316"/>
      <c r="P326" s="316"/>
    </row>
    <row r="327" spans="3:16" x14ac:dyDescent="0.3">
      <c r="C327" s="381"/>
      <c r="D327" s="390"/>
      <c r="E327" s="382"/>
      <c r="F327" s="383"/>
      <c r="G327" s="384"/>
      <c r="H327" s="384"/>
      <c r="I327" s="384"/>
      <c r="J327" s="314"/>
      <c r="K327" s="316"/>
      <c r="L327" s="316"/>
      <c r="M327" s="316"/>
      <c r="N327" s="316"/>
      <c r="O327" s="316"/>
      <c r="P327" s="316"/>
    </row>
    <row r="328" spans="3:16" x14ac:dyDescent="0.3">
      <c r="C328" s="373"/>
      <c r="D328" s="374"/>
      <c r="E328" s="375"/>
      <c r="F328" s="376"/>
      <c r="G328" s="377"/>
      <c r="H328" s="377"/>
      <c r="I328" s="377"/>
      <c r="J328" s="376"/>
      <c r="K328" s="378"/>
      <c r="L328" s="378"/>
      <c r="M328" s="378"/>
      <c r="N328" s="378"/>
      <c r="O328" s="378"/>
      <c r="P328" s="378"/>
    </row>
    <row r="329" spans="3:16" x14ac:dyDescent="0.3">
      <c r="C329" s="379"/>
      <c r="D329" s="312"/>
      <c r="E329" s="380"/>
      <c r="F329" s="314"/>
      <c r="G329" s="315"/>
      <c r="H329" s="315"/>
      <c r="I329" s="315"/>
      <c r="J329" s="314"/>
      <c r="K329" s="316"/>
      <c r="L329" s="316"/>
      <c r="M329" s="316"/>
      <c r="N329" s="316"/>
      <c r="O329" s="316"/>
      <c r="P329" s="316"/>
    </row>
    <row r="330" spans="3:16" x14ac:dyDescent="0.3">
      <c r="C330" s="391"/>
      <c r="D330" s="386"/>
      <c r="E330" s="382"/>
      <c r="F330" s="383"/>
      <c r="G330" s="384"/>
      <c r="H330" s="384"/>
      <c r="I330" s="384"/>
      <c r="J330" s="314"/>
      <c r="K330" s="392"/>
      <c r="L330" s="392"/>
      <c r="M330" s="392"/>
      <c r="N330" s="392"/>
      <c r="O330" s="392"/>
      <c r="P330" s="392"/>
    </row>
    <row r="331" spans="3:16" x14ac:dyDescent="0.3">
      <c r="C331" s="385"/>
      <c r="D331" s="386"/>
      <c r="E331" s="382"/>
      <c r="F331" s="383"/>
      <c r="G331" s="384"/>
      <c r="H331" s="384"/>
      <c r="I331" s="384"/>
      <c r="J331" s="314"/>
      <c r="K331" s="387"/>
      <c r="L331" s="387"/>
      <c r="M331" s="387"/>
      <c r="N331" s="387"/>
      <c r="O331" s="387"/>
      <c r="P331" s="387"/>
    </row>
    <row r="332" spans="3:16" x14ac:dyDescent="0.3">
      <c r="C332" s="381"/>
      <c r="D332" s="397"/>
      <c r="E332" s="382"/>
      <c r="F332" s="383"/>
      <c r="G332" s="384"/>
      <c r="H332" s="384"/>
      <c r="I332" s="384"/>
      <c r="J332" s="314"/>
      <c r="K332" s="316"/>
      <c r="L332" s="316"/>
      <c r="M332" s="316"/>
      <c r="N332" s="316"/>
      <c r="O332" s="316"/>
      <c r="P332" s="316"/>
    </row>
    <row r="333" spans="3:16" x14ac:dyDescent="0.3">
      <c r="C333" s="381"/>
      <c r="D333" s="390"/>
      <c r="E333" s="382"/>
      <c r="F333" s="383"/>
      <c r="G333" s="384"/>
      <c r="H333" s="384"/>
      <c r="I333" s="384"/>
      <c r="J333" s="314"/>
      <c r="K333" s="316"/>
      <c r="L333" s="316"/>
      <c r="M333" s="316"/>
      <c r="N333" s="316"/>
      <c r="O333" s="316"/>
      <c r="P333" s="316"/>
    </row>
    <row r="334" spans="3:16" x14ac:dyDescent="0.3">
      <c r="C334" s="373"/>
      <c r="D334" s="374"/>
      <c r="E334" s="375"/>
      <c r="F334" s="376"/>
      <c r="G334" s="377"/>
      <c r="H334" s="377"/>
      <c r="I334" s="377"/>
      <c r="J334" s="376"/>
      <c r="K334" s="378"/>
      <c r="L334" s="378"/>
      <c r="M334" s="378"/>
      <c r="N334" s="378"/>
      <c r="O334" s="378"/>
      <c r="P334" s="378"/>
    </row>
    <row r="335" spans="3:16" x14ac:dyDescent="0.3">
      <c r="C335" s="373"/>
      <c r="D335" s="374"/>
      <c r="E335" s="375"/>
      <c r="F335" s="376"/>
      <c r="G335" s="377"/>
      <c r="H335" s="377"/>
      <c r="I335" s="377"/>
      <c r="J335" s="376"/>
      <c r="K335" s="378"/>
      <c r="L335" s="378"/>
      <c r="M335" s="378"/>
      <c r="N335" s="378"/>
      <c r="O335" s="378"/>
      <c r="P335" s="378"/>
    </row>
    <row r="336" spans="3:16" x14ac:dyDescent="0.3">
      <c r="C336" s="373"/>
      <c r="D336" s="374"/>
      <c r="E336" s="375"/>
      <c r="F336" s="376"/>
      <c r="G336" s="377"/>
      <c r="H336" s="377"/>
      <c r="I336" s="377"/>
      <c r="J336" s="376"/>
      <c r="K336" s="378"/>
      <c r="L336" s="378"/>
      <c r="M336" s="378"/>
      <c r="N336" s="378"/>
      <c r="O336" s="378"/>
      <c r="P336" s="378"/>
    </row>
    <row r="337" spans="3:16" x14ac:dyDescent="0.3">
      <c r="C337" s="373"/>
      <c r="D337" s="374"/>
      <c r="E337" s="375"/>
      <c r="F337" s="376"/>
      <c r="G337" s="377"/>
      <c r="H337" s="377"/>
      <c r="I337" s="377"/>
      <c r="J337" s="376"/>
      <c r="K337" s="378"/>
      <c r="L337" s="378"/>
      <c r="M337" s="378"/>
      <c r="N337" s="378"/>
      <c r="O337" s="378"/>
      <c r="P337" s="378"/>
    </row>
    <row r="338" spans="3:16" x14ac:dyDescent="0.3">
      <c r="C338" s="373"/>
      <c r="D338" s="374"/>
      <c r="E338" s="375"/>
      <c r="F338" s="376"/>
      <c r="G338" s="377"/>
      <c r="H338" s="377"/>
      <c r="I338" s="377"/>
      <c r="J338" s="376"/>
      <c r="K338" s="378"/>
      <c r="L338" s="378"/>
      <c r="M338" s="378"/>
      <c r="N338" s="378"/>
      <c r="O338" s="378"/>
      <c r="P338" s="378"/>
    </row>
    <row r="339" spans="3:16" x14ac:dyDescent="0.3">
      <c r="C339" s="373"/>
      <c r="D339" s="374"/>
      <c r="E339" s="375"/>
      <c r="F339" s="376"/>
      <c r="G339" s="377"/>
      <c r="H339" s="377"/>
      <c r="I339" s="377"/>
      <c r="J339" s="376"/>
      <c r="K339" s="378"/>
      <c r="L339" s="378"/>
      <c r="M339" s="378"/>
      <c r="N339" s="378"/>
      <c r="O339" s="378"/>
      <c r="P339" s="378"/>
    </row>
    <row r="340" spans="3:16" x14ac:dyDescent="0.3">
      <c r="C340" s="373"/>
      <c r="D340" s="374"/>
      <c r="E340" s="375"/>
      <c r="F340" s="376"/>
      <c r="G340" s="377"/>
      <c r="H340" s="377"/>
      <c r="I340" s="377"/>
      <c r="J340" s="376"/>
      <c r="K340" s="378"/>
      <c r="L340" s="378"/>
      <c r="M340" s="378"/>
      <c r="N340" s="378"/>
      <c r="O340" s="378"/>
      <c r="P340" s="378"/>
    </row>
    <row r="341" spans="3:16" x14ac:dyDescent="0.3">
      <c r="C341" s="373"/>
      <c r="D341" s="374"/>
      <c r="E341" s="375"/>
      <c r="F341" s="376"/>
      <c r="G341" s="377"/>
      <c r="H341" s="377"/>
      <c r="I341" s="377"/>
      <c r="J341" s="376"/>
      <c r="K341" s="378"/>
      <c r="L341" s="378"/>
      <c r="M341" s="378"/>
      <c r="N341" s="378"/>
      <c r="O341" s="378"/>
      <c r="P341" s="378"/>
    </row>
    <row r="342" spans="3:16" x14ac:dyDescent="0.3">
      <c r="C342" s="381"/>
      <c r="D342" s="397"/>
      <c r="E342" s="382"/>
      <c r="F342" s="383"/>
      <c r="G342" s="384"/>
      <c r="H342" s="384"/>
      <c r="I342" s="384"/>
      <c r="J342" s="314"/>
      <c r="K342" s="316"/>
      <c r="L342" s="316"/>
      <c r="M342" s="316"/>
      <c r="N342" s="316"/>
      <c r="O342" s="316"/>
      <c r="P342" s="316"/>
    </row>
    <row r="343" spans="3:16" x14ac:dyDescent="0.3">
      <c r="C343" s="381"/>
      <c r="D343" s="390"/>
      <c r="E343" s="382"/>
      <c r="F343" s="383"/>
      <c r="G343" s="384"/>
      <c r="H343" s="384"/>
      <c r="I343" s="384"/>
      <c r="J343" s="314"/>
      <c r="K343" s="316"/>
      <c r="L343" s="316"/>
      <c r="M343" s="316"/>
      <c r="N343" s="316"/>
      <c r="O343" s="316"/>
      <c r="P343" s="316"/>
    </row>
    <row r="344" spans="3:16" x14ac:dyDescent="0.3">
      <c r="C344" s="373"/>
      <c r="D344" s="374"/>
      <c r="E344" s="375"/>
      <c r="F344" s="376"/>
      <c r="G344" s="377"/>
      <c r="H344" s="377"/>
      <c r="I344" s="377"/>
      <c r="J344" s="376"/>
      <c r="K344" s="378"/>
      <c r="L344" s="378"/>
      <c r="M344" s="378"/>
      <c r="N344" s="378"/>
      <c r="O344" s="378"/>
      <c r="P344" s="378"/>
    </row>
    <row r="345" spans="3:16" x14ac:dyDescent="0.3">
      <c r="C345" s="373"/>
      <c r="D345" s="374"/>
      <c r="E345" s="375"/>
      <c r="F345" s="376"/>
      <c r="G345" s="377"/>
      <c r="H345" s="377"/>
      <c r="I345" s="377"/>
      <c r="J345" s="376"/>
      <c r="K345" s="378"/>
      <c r="L345" s="378"/>
      <c r="M345" s="378"/>
      <c r="N345" s="378"/>
      <c r="O345" s="378"/>
      <c r="P345" s="378"/>
    </row>
    <row r="346" spans="3:16" x14ac:dyDescent="0.3">
      <c r="C346" s="381"/>
      <c r="D346" s="397"/>
      <c r="E346" s="382"/>
      <c r="F346" s="383"/>
      <c r="G346" s="384"/>
      <c r="H346" s="384"/>
      <c r="I346" s="384"/>
      <c r="J346" s="314"/>
      <c r="K346" s="316"/>
      <c r="L346" s="316"/>
      <c r="M346" s="316"/>
      <c r="N346" s="316"/>
      <c r="O346" s="316"/>
      <c r="P346" s="316"/>
    </row>
    <row r="347" spans="3:16" x14ac:dyDescent="0.3">
      <c r="C347" s="381"/>
      <c r="D347" s="390"/>
      <c r="E347" s="382"/>
      <c r="F347" s="383"/>
      <c r="G347" s="384"/>
      <c r="H347" s="384"/>
      <c r="I347" s="384"/>
      <c r="J347" s="314"/>
      <c r="K347" s="316"/>
      <c r="L347" s="316"/>
      <c r="M347" s="316"/>
      <c r="N347" s="316"/>
      <c r="O347" s="316"/>
      <c r="P347" s="316"/>
    </row>
    <row r="348" spans="3:16" x14ac:dyDescent="0.3">
      <c r="C348" s="373"/>
      <c r="D348" s="374"/>
      <c r="E348" s="375"/>
      <c r="F348" s="376"/>
      <c r="G348" s="377"/>
      <c r="H348" s="377"/>
      <c r="I348" s="377"/>
      <c r="J348" s="376"/>
      <c r="K348" s="378"/>
      <c r="L348" s="378"/>
      <c r="M348" s="378"/>
      <c r="N348" s="378"/>
      <c r="O348" s="378"/>
      <c r="P348" s="378"/>
    </row>
    <row r="349" spans="3:16" x14ac:dyDescent="0.3">
      <c r="C349" s="373"/>
      <c r="D349" s="374"/>
      <c r="E349" s="375"/>
      <c r="F349" s="376"/>
      <c r="G349" s="377"/>
      <c r="H349" s="377"/>
      <c r="I349" s="377"/>
      <c r="J349" s="376"/>
      <c r="K349" s="378"/>
      <c r="L349" s="378"/>
      <c r="M349" s="378"/>
      <c r="N349" s="378"/>
      <c r="O349" s="378"/>
      <c r="P349" s="378"/>
    </row>
    <row r="350" spans="3:16" x14ac:dyDescent="0.3">
      <c r="C350" s="381"/>
      <c r="D350" s="397"/>
      <c r="E350" s="382"/>
      <c r="F350" s="383"/>
      <c r="G350" s="384"/>
      <c r="H350" s="384"/>
      <c r="I350" s="384"/>
      <c r="J350" s="314"/>
      <c r="K350" s="316"/>
      <c r="L350" s="316"/>
      <c r="M350" s="316"/>
      <c r="N350" s="316"/>
      <c r="O350" s="316"/>
      <c r="P350" s="316"/>
    </row>
    <row r="351" spans="3:16" x14ac:dyDescent="0.3">
      <c r="C351" s="381"/>
      <c r="D351" s="390"/>
      <c r="E351" s="382"/>
      <c r="F351" s="383"/>
      <c r="G351" s="384"/>
      <c r="H351" s="384"/>
      <c r="I351" s="384"/>
      <c r="J351" s="314"/>
      <c r="K351" s="316"/>
      <c r="L351" s="316"/>
      <c r="M351" s="316"/>
      <c r="N351" s="316"/>
      <c r="O351" s="316"/>
      <c r="P351" s="316"/>
    </row>
    <row r="352" spans="3:16" x14ac:dyDescent="0.3">
      <c r="C352" s="373"/>
      <c r="D352" s="374"/>
      <c r="E352" s="375"/>
      <c r="F352" s="376"/>
      <c r="G352" s="377"/>
      <c r="H352" s="377"/>
      <c r="I352" s="377"/>
      <c r="J352" s="376"/>
      <c r="K352" s="378"/>
      <c r="L352" s="378"/>
      <c r="M352" s="378"/>
      <c r="N352" s="378"/>
      <c r="O352" s="378"/>
      <c r="P352" s="378"/>
    </row>
    <row r="353" spans="3:16" x14ac:dyDescent="0.3">
      <c r="C353" s="373"/>
      <c r="D353" s="374"/>
      <c r="E353" s="375"/>
      <c r="F353" s="376"/>
      <c r="G353" s="377"/>
      <c r="H353" s="377"/>
      <c r="I353" s="377"/>
      <c r="J353" s="376"/>
      <c r="K353" s="378"/>
      <c r="L353" s="378"/>
      <c r="M353" s="378"/>
      <c r="N353" s="378"/>
      <c r="O353" s="378"/>
      <c r="P353" s="378"/>
    </row>
    <row r="354" spans="3:16" x14ac:dyDescent="0.3">
      <c r="C354" s="379"/>
      <c r="D354" s="312"/>
      <c r="E354" s="380"/>
      <c r="F354" s="314"/>
      <c r="G354" s="315"/>
      <c r="H354" s="315"/>
      <c r="I354" s="315"/>
      <c r="J354" s="314"/>
      <c r="K354" s="316"/>
      <c r="L354" s="316"/>
      <c r="M354" s="316"/>
      <c r="N354" s="316"/>
      <c r="O354" s="316"/>
      <c r="P354" s="316"/>
    </row>
    <row r="355" spans="3:16" x14ac:dyDescent="0.3">
      <c r="C355" s="385"/>
      <c r="D355" s="386"/>
      <c r="E355" s="382"/>
      <c r="F355" s="383"/>
      <c r="G355" s="384"/>
      <c r="H355" s="384"/>
      <c r="I355" s="384"/>
      <c r="J355" s="314"/>
      <c r="K355" s="387"/>
      <c r="L355" s="387"/>
      <c r="M355" s="387"/>
      <c r="N355" s="387"/>
      <c r="O355" s="387"/>
      <c r="P355" s="387"/>
    </row>
    <row r="356" spans="3:16" x14ac:dyDescent="0.3">
      <c r="C356" s="381"/>
      <c r="D356" s="397"/>
      <c r="E356" s="382"/>
      <c r="F356" s="383"/>
      <c r="G356" s="384"/>
      <c r="H356" s="384"/>
      <c r="I356" s="384"/>
      <c r="J356" s="314"/>
      <c r="K356" s="316"/>
      <c r="L356" s="316"/>
      <c r="M356" s="316"/>
      <c r="N356" s="316"/>
      <c r="O356" s="316"/>
      <c r="P356" s="316"/>
    </row>
    <row r="357" spans="3:16" x14ac:dyDescent="0.3">
      <c r="C357" s="381"/>
      <c r="D357" s="390"/>
      <c r="E357" s="382"/>
      <c r="F357" s="383"/>
      <c r="G357" s="384"/>
      <c r="H357" s="384"/>
      <c r="I357" s="384"/>
      <c r="J357" s="314"/>
      <c r="K357" s="316"/>
      <c r="L357" s="316"/>
      <c r="M357" s="316"/>
      <c r="N357" s="316"/>
      <c r="O357" s="316"/>
      <c r="P357" s="316"/>
    </row>
    <row r="358" spans="3:16" x14ac:dyDescent="0.3">
      <c r="C358" s="373"/>
      <c r="D358" s="374"/>
      <c r="E358" s="375"/>
      <c r="F358" s="376"/>
      <c r="G358" s="377"/>
      <c r="H358" s="377"/>
      <c r="I358" s="377"/>
      <c r="J358" s="376"/>
      <c r="K358" s="378"/>
      <c r="L358" s="378"/>
      <c r="M358" s="378"/>
      <c r="N358" s="378"/>
      <c r="O358" s="378"/>
      <c r="P358" s="378"/>
    </row>
    <row r="359" spans="3:16" x14ac:dyDescent="0.3">
      <c r="C359" s="379"/>
      <c r="D359" s="312"/>
      <c r="E359" s="380"/>
      <c r="F359" s="314"/>
      <c r="G359" s="315"/>
      <c r="H359" s="315"/>
      <c r="I359" s="315"/>
      <c r="J359" s="314"/>
      <c r="K359" s="316"/>
      <c r="L359" s="316"/>
      <c r="M359" s="316"/>
      <c r="N359" s="316"/>
      <c r="O359" s="316"/>
      <c r="P359" s="316"/>
    </row>
    <row r="360" spans="3:16" x14ac:dyDescent="0.3">
      <c r="C360" s="391"/>
      <c r="D360" s="386"/>
      <c r="E360" s="382"/>
      <c r="F360" s="383"/>
      <c r="G360" s="384"/>
      <c r="H360" s="384"/>
      <c r="I360" s="384"/>
      <c r="J360" s="314"/>
      <c r="K360" s="392"/>
      <c r="L360" s="392"/>
      <c r="M360" s="392"/>
      <c r="N360" s="392"/>
      <c r="O360" s="392"/>
      <c r="P360" s="392"/>
    </row>
    <row r="361" spans="3:16" x14ac:dyDescent="0.3">
      <c r="C361" s="385"/>
      <c r="D361" s="386"/>
      <c r="E361" s="382"/>
      <c r="F361" s="383"/>
      <c r="G361" s="384"/>
      <c r="H361" s="384"/>
      <c r="I361" s="384"/>
      <c r="J361" s="314"/>
      <c r="K361" s="387"/>
      <c r="L361" s="387"/>
      <c r="M361" s="387"/>
      <c r="N361" s="387"/>
      <c r="O361" s="387"/>
      <c r="P361" s="387"/>
    </row>
    <row r="362" spans="3:16" x14ac:dyDescent="0.3">
      <c r="C362" s="379"/>
      <c r="D362" s="312"/>
      <c r="E362" s="380"/>
      <c r="F362" s="314"/>
      <c r="G362" s="315"/>
      <c r="H362" s="315"/>
      <c r="I362" s="315"/>
      <c r="J362" s="314"/>
      <c r="K362" s="316"/>
      <c r="L362" s="316"/>
      <c r="M362" s="316"/>
      <c r="N362" s="316"/>
      <c r="O362" s="316"/>
      <c r="P362" s="316"/>
    </row>
    <row r="363" spans="3:16" x14ac:dyDescent="0.3">
      <c r="C363" s="373"/>
      <c r="D363" s="374"/>
      <c r="E363" s="375"/>
      <c r="F363" s="376"/>
      <c r="G363" s="377"/>
      <c r="H363" s="377"/>
      <c r="I363" s="377"/>
      <c r="J363" s="376"/>
      <c r="K363" s="378"/>
      <c r="L363" s="378"/>
      <c r="M363" s="378"/>
      <c r="N363" s="378"/>
      <c r="O363" s="378"/>
      <c r="P363" s="378"/>
    </row>
    <row r="364" spans="3:16" x14ac:dyDescent="0.3">
      <c r="C364" s="373"/>
      <c r="D364" s="374"/>
      <c r="E364" s="375"/>
      <c r="F364" s="376"/>
      <c r="G364" s="377"/>
      <c r="H364" s="377"/>
      <c r="I364" s="377"/>
      <c r="J364" s="376"/>
      <c r="K364" s="378"/>
      <c r="L364" s="378"/>
      <c r="M364" s="378"/>
      <c r="N364" s="378"/>
      <c r="O364" s="378"/>
      <c r="P364" s="378"/>
    </row>
    <row r="365" spans="3:16" x14ac:dyDescent="0.3">
      <c r="C365" s="373"/>
      <c r="D365" s="374"/>
      <c r="E365" s="375"/>
      <c r="F365" s="376"/>
      <c r="G365" s="377"/>
      <c r="H365" s="377"/>
      <c r="I365" s="377"/>
      <c r="J365" s="376"/>
      <c r="K365" s="378"/>
      <c r="L365" s="378"/>
      <c r="M365" s="378"/>
      <c r="N365" s="378"/>
      <c r="O365" s="378"/>
      <c r="P365" s="378"/>
    </row>
    <row r="366" spans="3:16" x14ac:dyDescent="0.3">
      <c r="C366" s="373"/>
      <c r="D366" s="374"/>
      <c r="E366" s="375"/>
      <c r="F366" s="376"/>
      <c r="G366" s="377"/>
      <c r="H366" s="377"/>
      <c r="I366" s="377"/>
      <c r="J366" s="376"/>
      <c r="K366" s="378"/>
      <c r="L366" s="378"/>
      <c r="M366" s="378"/>
      <c r="N366" s="378"/>
      <c r="O366" s="378"/>
      <c r="P366" s="378"/>
    </row>
    <row r="367" spans="3:16" x14ac:dyDescent="0.3">
      <c r="C367" s="373"/>
      <c r="D367" s="374"/>
      <c r="E367" s="375"/>
      <c r="F367" s="376"/>
      <c r="G367" s="377"/>
      <c r="H367" s="377"/>
      <c r="I367" s="377"/>
      <c r="J367" s="376"/>
      <c r="K367" s="378"/>
      <c r="L367" s="378"/>
      <c r="M367" s="378"/>
      <c r="N367" s="378"/>
      <c r="O367" s="378"/>
      <c r="P367" s="378"/>
    </row>
    <row r="368" spans="3:16" x14ac:dyDescent="0.3">
      <c r="C368" s="373"/>
      <c r="D368" s="374"/>
      <c r="E368" s="375"/>
      <c r="F368" s="376"/>
      <c r="G368" s="377"/>
      <c r="H368" s="377"/>
      <c r="I368" s="377"/>
      <c r="J368" s="376"/>
      <c r="K368" s="378"/>
      <c r="L368" s="378"/>
      <c r="M368" s="378"/>
      <c r="N368" s="378"/>
      <c r="O368" s="378"/>
      <c r="P368" s="378"/>
    </row>
    <row r="369" spans="3:16" x14ac:dyDescent="0.3">
      <c r="C369" s="373"/>
      <c r="D369" s="374"/>
      <c r="E369" s="375"/>
      <c r="F369" s="376"/>
      <c r="G369" s="377"/>
      <c r="H369" s="377"/>
      <c r="I369" s="377"/>
      <c r="J369" s="376"/>
      <c r="K369" s="378"/>
      <c r="L369" s="378"/>
      <c r="M369" s="378"/>
      <c r="N369" s="378"/>
      <c r="O369" s="378"/>
      <c r="P369" s="378"/>
    </row>
    <row r="370" spans="3:16" x14ac:dyDescent="0.3">
      <c r="C370" s="379"/>
      <c r="D370" s="312"/>
      <c r="E370" s="380"/>
      <c r="F370" s="314"/>
      <c r="G370" s="315"/>
      <c r="H370" s="315"/>
      <c r="I370" s="315"/>
      <c r="J370" s="314"/>
      <c r="K370" s="316"/>
      <c r="L370" s="316"/>
      <c r="M370" s="316"/>
      <c r="N370" s="316"/>
      <c r="O370" s="316"/>
      <c r="P370" s="316"/>
    </row>
    <row r="371" spans="3:16" x14ac:dyDescent="0.3">
      <c r="C371" s="373"/>
      <c r="D371" s="374"/>
      <c r="E371" s="375"/>
      <c r="F371" s="376"/>
      <c r="G371" s="377"/>
      <c r="H371" s="377"/>
      <c r="I371" s="377"/>
      <c r="J371" s="376"/>
      <c r="K371" s="378"/>
      <c r="L371" s="378"/>
      <c r="M371" s="378"/>
      <c r="N371" s="378"/>
      <c r="O371" s="378"/>
      <c r="P371" s="378"/>
    </row>
    <row r="372" spans="3:16" x14ac:dyDescent="0.3">
      <c r="C372" s="373"/>
      <c r="D372" s="374"/>
      <c r="E372" s="375"/>
      <c r="F372" s="376"/>
      <c r="G372" s="377"/>
      <c r="H372" s="377"/>
      <c r="I372" s="377"/>
      <c r="J372" s="376"/>
      <c r="K372" s="378"/>
      <c r="L372" s="378"/>
      <c r="M372" s="378"/>
      <c r="N372" s="378"/>
      <c r="O372" s="378"/>
      <c r="P372" s="378"/>
    </row>
    <row r="373" spans="3:16" x14ac:dyDescent="0.3">
      <c r="C373" s="373"/>
      <c r="D373" s="374"/>
      <c r="E373" s="375"/>
      <c r="F373" s="376"/>
      <c r="G373" s="377"/>
      <c r="H373" s="377"/>
      <c r="I373" s="377"/>
      <c r="J373" s="376"/>
      <c r="K373" s="378"/>
      <c r="L373" s="378"/>
      <c r="M373" s="378"/>
      <c r="N373" s="378"/>
      <c r="O373" s="378"/>
      <c r="P373" s="378"/>
    </row>
    <row r="374" spans="3:16" x14ac:dyDescent="0.3">
      <c r="C374" s="373"/>
      <c r="D374" s="374"/>
      <c r="E374" s="375"/>
      <c r="F374" s="376"/>
      <c r="G374" s="377"/>
      <c r="H374" s="377"/>
      <c r="I374" s="377"/>
      <c r="J374" s="376"/>
      <c r="K374" s="378"/>
      <c r="L374" s="378"/>
      <c r="M374" s="378"/>
      <c r="N374" s="378"/>
      <c r="O374" s="378"/>
      <c r="P374" s="378"/>
    </row>
    <row r="375" spans="3:16" x14ac:dyDescent="0.3">
      <c r="C375" s="379"/>
      <c r="D375" s="312"/>
      <c r="E375" s="380"/>
      <c r="F375" s="314"/>
      <c r="G375" s="315"/>
      <c r="H375" s="315"/>
      <c r="I375" s="315"/>
      <c r="J375" s="314"/>
      <c r="K375" s="316"/>
      <c r="L375" s="316"/>
      <c r="M375" s="316"/>
      <c r="N375" s="316"/>
      <c r="O375" s="316"/>
      <c r="P375" s="316"/>
    </row>
    <row r="376" spans="3:16" x14ac:dyDescent="0.3">
      <c r="C376" s="373"/>
      <c r="D376" s="374"/>
      <c r="E376" s="375"/>
      <c r="F376" s="376"/>
      <c r="G376" s="377"/>
      <c r="H376" s="377"/>
      <c r="I376" s="377"/>
      <c r="J376" s="376"/>
      <c r="K376" s="378"/>
      <c r="L376" s="378"/>
      <c r="M376" s="378"/>
      <c r="N376" s="378"/>
      <c r="O376" s="378"/>
      <c r="P376" s="378"/>
    </row>
    <row r="377" spans="3:16" x14ac:dyDescent="0.3">
      <c r="C377" s="373"/>
      <c r="D377" s="374"/>
      <c r="E377" s="375"/>
      <c r="F377" s="376"/>
      <c r="G377" s="377"/>
      <c r="H377" s="377"/>
      <c r="I377" s="377"/>
      <c r="J377" s="376"/>
      <c r="K377" s="378"/>
      <c r="L377" s="378"/>
      <c r="M377" s="378"/>
      <c r="N377" s="378"/>
      <c r="O377" s="378"/>
      <c r="P377" s="378"/>
    </row>
    <row r="378" spans="3:16" x14ac:dyDescent="0.3">
      <c r="C378" s="373"/>
      <c r="D378" s="374"/>
      <c r="E378" s="375"/>
      <c r="F378" s="376"/>
      <c r="G378" s="377"/>
      <c r="H378" s="377"/>
      <c r="I378" s="377"/>
      <c r="J378" s="376"/>
      <c r="K378" s="378"/>
      <c r="L378" s="378"/>
      <c r="M378" s="378"/>
      <c r="N378" s="378"/>
      <c r="O378" s="378"/>
      <c r="P378" s="378"/>
    </row>
    <row r="379" spans="3:16" x14ac:dyDescent="0.3">
      <c r="C379" s="379"/>
      <c r="D379" s="312"/>
      <c r="E379" s="380"/>
      <c r="F379" s="314"/>
      <c r="G379" s="315"/>
      <c r="H379" s="315"/>
      <c r="I379" s="315"/>
      <c r="J379" s="314"/>
      <c r="K379" s="316"/>
      <c r="L379" s="316"/>
      <c r="M379" s="316"/>
      <c r="N379" s="316"/>
      <c r="O379" s="316"/>
      <c r="P379" s="316"/>
    </row>
    <row r="380" spans="3:16" x14ac:dyDescent="0.3">
      <c r="C380" s="373"/>
      <c r="D380" s="374"/>
      <c r="E380" s="375"/>
      <c r="F380" s="376"/>
      <c r="G380" s="377"/>
      <c r="H380" s="377"/>
      <c r="I380" s="377"/>
      <c r="J380" s="376"/>
      <c r="K380" s="378"/>
      <c r="L380" s="378"/>
      <c r="M380" s="378"/>
      <c r="N380" s="378"/>
      <c r="O380" s="378"/>
      <c r="P380" s="378"/>
    </row>
    <row r="381" spans="3:16" x14ac:dyDescent="0.3">
      <c r="C381" s="379"/>
      <c r="D381" s="312"/>
      <c r="E381" s="380"/>
      <c r="F381" s="314"/>
      <c r="G381" s="315"/>
      <c r="H381" s="315"/>
      <c r="I381" s="315"/>
      <c r="J381" s="314"/>
      <c r="K381" s="316"/>
      <c r="L381" s="316"/>
      <c r="M381" s="316"/>
      <c r="N381" s="316"/>
      <c r="O381" s="316"/>
      <c r="P381" s="316"/>
    </row>
    <row r="382" spans="3:16" x14ac:dyDescent="0.3">
      <c r="C382" s="385"/>
      <c r="D382" s="386"/>
      <c r="E382" s="382"/>
      <c r="F382" s="383"/>
      <c r="G382" s="384"/>
      <c r="H382" s="384"/>
      <c r="I382" s="384"/>
      <c r="J382" s="314"/>
      <c r="K382" s="387"/>
      <c r="L382" s="387"/>
      <c r="M382" s="387"/>
      <c r="N382" s="387"/>
      <c r="O382" s="387"/>
      <c r="P382" s="387"/>
    </row>
    <row r="383" spans="3:16" x14ac:dyDescent="0.3">
      <c r="C383" s="381"/>
      <c r="D383" s="393"/>
      <c r="E383" s="382"/>
      <c r="F383" s="383"/>
      <c r="G383" s="384"/>
      <c r="H383" s="384"/>
      <c r="I383" s="384"/>
      <c r="J383" s="314"/>
      <c r="K383" s="316"/>
      <c r="L383" s="316"/>
      <c r="M383" s="316"/>
      <c r="N383" s="316"/>
      <c r="O383" s="316"/>
      <c r="P383" s="316"/>
    </row>
    <row r="384" spans="3:16" x14ac:dyDescent="0.3">
      <c r="C384" s="379"/>
      <c r="D384" s="312"/>
      <c r="E384" s="380"/>
      <c r="F384" s="314"/>
      <c r="G384" s="315"/>
      <c r="H384" s="315"/>
      <c r="I384" s="315"/>
      <c r="J384" s="314"/>
      <c r="K384" s="316"/>
      <c r="L384" s="316"/>
      <c r="M384" s="316"/>
      <c r="N384" s="316"/>
      <c r="O384" s="316"/>
      <c r="P384" s="316"/>
    </row>
    <row r="385" spans="3:16" x14ac:dyDescent="0.3">
      <c r="C385" s="373"/>
      <c r="D385" s="374"/>
      <c r="E385" s="375"/>
      <c r="F385" s="376"/>
      <c r="G385" s="377"/>
      <c r="H385" s="377"/>
      <c r="I385" s="377"/>
      <c r="J385" s="376"/>
      <c r="K385" s="378"/>
      <c r="L385" s="378"/>
      <c r="M385" s="378"/>
      <c r="N385" s="378"/>
      <c r="O385" s="378"/>
      <c r="P385" s="378"/>
    </row>
    <row r="386" spans="3:16" x14ac:dyDescent="0.3">
      <c r="C386" s="373"/>
      <c r="D386" s="374"/>
      <c r="E386" s="375"/>
      <c r="F386" s="376"/>
      <c r="G386" s="377"/>
      <c r="H386" s="377"/>
      <c r="I386" s="377"/>
      <c r="J386" s="376"/>
      <c r="K386" s="378"/>
      <c r="L386" s="378"/>
      <c r="M386" s="378"/>
      <c r="N386" s="378"/>
      <c r="O386" s="378"/>
      <c r="P386" s="378"/>
    </row>
    <row r="387" spans="3:16" x14ac:dyDescent="0.3">
      <c r="C387" s="373"/>
      <c r="D387" s="374"/>
      <c r="E387" s="375"/>
      <c r="F387" s="376"/>
      <c r="G387" s="377"/>
      <c r="H387" s="377"/>
      <c r="I387" s="377"/>
      <c r="J387" s="376"/>
      <c r="K387" s="378"/>
      <c r="L387" s="378"/>
      <c r="M387" s="378"/>
      <c r="N387" s="378"/>
      <c r="O387" s="378"/>
      <c r="P387" s="378"/>
    </row>
    <row r="388" spans="3:16" x14ac:dyDescent="0.3">
      <c r="C388" s="373"/>
      <c r="D388" s="374"/>
      <c r="E388" s="375"/>
      <c r="F388" s="376"/>
      <c r="G388" s="377"/>
      <c r="H388" s="377"/>
      <c r="I388" s="377"/>
      <c r="J388" s="376"/>
      <c r="K388" s="378"/>
      <c r="L388" s="378"/>
      <c r="M388" s="378"/>
      <c r="N388" s="378"/>
      <c r="O388" s="378"/>
      <c r="P388" s="378"/>
    </row>
    <row r="389" spans="3:16" x14ac:dyDescent="0.3">
      <c r="C389" s="373"/>
      <c r="D389" s="374"/>
      <c r="E389" s="375"/>
      <c r="F389" s="376"/>
      <c r="G389" s="377"/>
      <c r="H389" s="377"/>
      <c r="I389" s="377"/>
      <c r="J389" s="376"/>
      <c r="K389" s="378"/>
      <c r="L389" s="378"/>
      <c r="M389" s="378"/>
      <c r="N389" s="378"/>
      <c r="O389" s="378"/>
      <c r="P389" s="378"/>
    </row>
    <row r="390" spans="3:16" x14ac:dyDescent="0.3">
      <c r="C390" s="373"/>
      <c r="D390" s="374"/>
      <c r="E390" s="375"/>
      <c r="F390" s="376"/>
      <c r="G390" s="377"/>
      <c r="H390" s="377"/>
      <c r="I390" s="377"/>
      <c r="J390" s="376"/>
      <c r="K390" s="378"/>
      <c r="L390" s="378"/>
      <c r="M390" s="378"/>
      <c r="N390" s="378"/>
      <c r="O390" s="378"/>
      <c r="P390" s="378"/>
    </row>
    <row r="391" spans="3:16" x14ac:dyDescent="0.3">
      <c r="C391" s="373"/>
      <c r="D391" s="374"/>
      <c r="E391" s="375"/>
      <c r="F391" s="376"/>
      <c r="G391" s="377"/>
      <c r="H391" s="377"/>
      <c r="I391" s="377"/>
      <c r="J391" s="376"/>
      <c r="K391" s="378"/>
      <c r="L391" s="378"/>
      <c r="M391" s="378"/>
      <c r="N391" s="378"/>
      <c r="O391" s="378"/>
      <c r="P391" s="378"/>
    </row>
    <row r="392" spans="3:16" x14ac:dyDescent="0.3">
      <c r="C392" s="373"/>
      <c r="D392" s="374"/>
      <c r="E392" s="375"/>
      <c r="F392" s="376"/>
      <c r="G392" s="377"/>
      <c r="H392" s="377"/>
      <c r="I392" s="377"/>
      <c r="J392" s="376"/>
      <c r="K392" s="378"/>
      <c r="L392" s="378"/>
      <c r="M392" s="378"/>
      <c r="N392" s="378"/>
      <c r="O392" s="378"/>
      <c r="P392" s="378"/>
    </row>
    <row r="393" spans="3:16" x14ac:dyDescent="0.3">
      <c r="C393" s="373"/>
      <c r="D393" s="374"/>
      <c r="E393" s="375"/>
      <c r="F393" s="376"/>
      <c r="G393" s="377"/>
      <c r="H393" s="377"/>
      <c r="I393" s="377"/>
      <c r="J393" s="376"/>
      <c r="K393" s="378"/>
      <c r="L393" s="378"/>
      <c r="M393" s="378"/>
      <c r="N393" s="378"/>
      <c r="O393" s="378"/>
      <c r="P393" s="378"/>
    </row>
    <row r="394" spans="3:16" x14ac:dyDescent="0.3">
      <c r="C394" s="373"/>
      <c r="D394" s="374"/>
      <c r="E394" s="375"/>
      <c r="F394" s="376"/>
      <c r="G394" s="377"/>
      <c r="H394" s="377"/>
      <c r="I394" s="377"/>
      <c r="J394" s="376"/>
      <c r="K394" s="378"/>
      <c r="L394" s="378"/>
      <c r="M394" s="378"/>
      <c r="N394" s="378"/>
      <c r="O394" s="378"/>
      <c r="P394" s="378"/>
    </row>
    <row r="395" spans="3:16" x14ac:dyDescent="0.3">
      <c r="C395" s="373"/>
      <c r="D395" s="374"/>
      <c r="E395" s="375"/>
      <c r="F395" s="376"/>
      <c r="G395" s="377"/>
      <c r="H395" s="377"/>
      <c r="I395" s="377"/>
      <c r="J395" s="376"/>
      <c r="K395" s="378"/>
      <c r="L395" s="378"/>
      <c r="M395" s="378"/>
      <c r="N395" s="378"/>
      <c r="O395" s="378"/>
      <c r="P395" s="378"/>
    </row>
    <row r="396" spans="3:16" x14ac:dyDescent="0.3">
      <c r="C396" s="379"/>
      <c r="D396" s="312"/>
      <c r="E396" s="380"/>
      <c r="F396" s="314"/>
      <c r="G396" s="315"/>
      <c r="H396" s="315"/>
      <c r="I396" s="315"/>
      <c r="J396" s="314"/>
      <c r="K396" s="316"/>
      <c r="L396" s="316"/>
      <c r="M396" s="316"/>
      <c r="N396" s="316"/>
      <c r="O396" s="316"/>
      <c r="P396" s="316"/>
    </row>
    <row r="397" spans="3:16" x14ac:dyDescent="0.3">
      <c r="C397" s="373"/>
      <c r="D397" s="374"/>
      <c r="E397" s="375"/>
      <c r="F397" s="376"/>
      <c r="G397" s="377"/>
      <c r="H397" s="377"/>
      <c r="I397" s="377"/>
      <c r="J397" s="376"/>
      <c r="K397" s="378"/>
      <c r="L397" s="378"/>
      <c r="M397" s="378"/>
      <c r="N397" s="378"/>
      <c r="O397" s="378"/>
      <c r="P397" s="378"/>
    </row>
    <row r="398" spans="3:16" x14ac:dyDescent="0.3">
      <c r="C398" s="373"/>
      <c r="D398" s="374"/>
      <c r="E398" s="375"/>
      <c r="F398" s="376"/>
      <c r="G398" s="377"/>
      <c r="H398" s="377"/>
      <c r="I398" s="377"/>
      <c r="J398" s="376"/>
      <c r="K398" s="378"/>
      <c r="L398" s="378"/>
      <c r="M398" s="378"/>
      <c r="N398" s="378"/>
      <c r="O398" s="378"/>
      <c r="P398" s="378"/>
    </row>
    <row r="399" spans="3:16" x14ac:dyDescent="0.3">
      <c r="C399" s="373"/>
      <c r="D399" s="374"/>
      <c r="E399" s="375"/>
      <c r="F399" s="376"/>
      <c r="G399" s="377"/>
      <c r="H399" s="377"/>
      <c r="I399" s="377"/>
      <c r="J399" s="376"/>
      <c r="K399" s="378"/>
      <c r="L399" s="378"/>
      <c r="M399" s="378"/>
      <c r="N399" s="378"/>
      <c r="O399" s="378"/>
      <c r="P399" s="378"/>
    </row>
    <row r="400" spans="3:16" x14ac:dyDescent="0.3">
      <c r="C400" s="373"/>
      <c r="D400" s="374"/>
      <c r="E400" s="375"/>
      <c r="F400" s="376"/>
      <c r="G400" s="377"/>
      <c r="H400" s="377"/>
      <c r="I400" s="377"/>
      <c r="J400" s="376"/>
      <c r="K400" s="378"/>
      <c r="L400" s="378"/>
      <c r="M400" s="378"/>
      <c r="N400" s="378"/>
      <c r="O400" s="378"/>
      <c r="P400" s="378"/>
    </row>
    <row r="401" spans="3:16" x14ac:dyDescent="0.3">
      <c r="C401" s="373"/>
      <c r="D401" s="374"/>
      <c r="E401" s="375"/>
      <c r="F401" s="376"/>
      <c r="G401" s="377"/>
      <c r="H401" s="377"/>
      <c r="I401" s="377"/>
      <c r="J401" s="376"/>
      <c r="K401" s="378"/>
      <c r="L401" s="378"/>
      <c r="M401" s="378"/>
      <c r="N401" s="378"/>
      <c r="O401" s="378"/>
      <c r="P401" s="378"/>
    </row>
    <row r="402" spans="3:16" x14ac:dyDescent="0.3">
      <c r="C402" s="373"/>
      <c r="D402" s="374"/>
      <c r="E402" s="375"/>
      <c r="F402" s="376"/>
      <c r="G402" s="377"/>
      <c r="H402" s="377"/>
      <c r="I402" s="377"/>
      <c r="J402" s="376"/>
      <c r="K402" s="378"/>
      <c r="L402" s="378"/>
      <c r="M402" s="378"/>
      <c r="N402" s="378"/>
      <c r="O402" s="378"/>
      <c r="P402" s="378"/>
    </row>
    <row r="403" spans="3:16" x14ac:dyDescent="0.3">
      <c r="C403" s="379"/>
      <c r="D403" s="312"/>
      <c r="E403" s="380"/>
      <c r="F403" s="314"/>
      <c r="G403" s="315"/>
      <c r="H403" s="315"/>
      <c r="I403" s="315"/>
      <c r="J403" s="314"/>
      <c r="K403" s="316"/>
      <c r="L403" s="316"/>
      <c r="M403" s="316"/>
      <c r="N403" s="316"/>
      <c r="O403" s="316"/>
      <c r="P403" s="316"/>
    </row>
    <row r="404" spans="3:16" x14ac:dyDescent="0.3">
      <c r="C404" s="373"/>
      <c r="D404" s="374"/>
      <c r="E404" s="375"/>
      <c r="F404" s="376"/>
      <c r="G404" s="377"/>
      <c r="H404" s="377"/>
      <c r="I404" s="377"/>
      <c r="J404" s="376"/>
      <c r="K404" s="378"/>
      <c r="L404" s="378"/>
      <c r="M404" s="378"/>
      <c r="N404" s="378"/>
      <c r="O404" s="378"/>
      <c r="P404" s="378"/>
    </row>
    <row r="405" spans="3:16" x14ac:dyDescent="0.3">
      <c r="C405" s="373"/>
      <c r="D405" s="374"/>
      <c r="E405" s="375"/>
      <c r="F405" s="376"/>
      <c r="G405" s="377"/>
      <c r="H405" s="377"/>
      <c r="I405" s="377"/>
      <c r="J405" s="376"/>
      <c r="K405" s="378"/>
      <c r="L405" s="378"/>
      <c r="M405" s="378"/>
      <c r="N405" s="378"/>
      <c r="O405" s="378"/>
      <c r="P405" s="378"/>
    </row>
    <row r="406" spans="3:16" x14ac:dyDescent="0.3">
      <c r="C406" s="379"/>
      <c r="D406" s="312"/>
      <c r="E406" s="380"/>
      <c r="F406" s="314"/>
      <c r="G406" s="315"/>
      <c r="H406" s="315"/>
      <c r="I406" s="315"/>
      <c r="J406" s="314"/>
      <c r="K406" s="316"/>
      <c r="L406" s="316"/>
      <c r="M406" s="316"/>
      <c r="N406" s="316"/>
      <c r="O406" s="316"/>
      <c r="P406" s="316"/>
    </row>
    <row r="407" spans="3:16" x14ac:dyDescent="0.3">
      <c r="C407" s="381"/>
      <c r="D407" s="393"/>
      <c r="E407" s="382"/>
      <c r="F407" s="383"/>
      <c r="G407" s="384"/>
      <c r="H407" s="384"/>
      <c r="I407" s="384"/>
      <c r="J407" s="314"/>
      <c r="K407" s="316"/>
      <c r="L407" s="316"/>
      <c r="M407" s="316"/>
      <c r="N407" s="316"/>
      <c r="O407" s="316"/>
      <c r="P407" s="316"/>
    </row>
    <row r="408" spans="3:16" x14ac:dyDescent="0.3">
      <c r="C408" s="379"/>
      <c r="D408" s="312"/>
      <c r="E408" s="380"/>
      <c r="F408" s="314"/>
      <c r="G408" s="315"/>
      <c r="H408" s="315"/>
      <c r="I408" s="315"/>
      <c r="J408" s="314"/>
      <c r="K408" s="316"/>
      <c r="L408" s="316"/>
      <c r="M408" s="316"/>
      <c r="N408" s="316"/>
      <c r="O408" s="316"/>
      <c r="P408" s="316"/>
    </row>
    <row r="409" spans="3:16" x14ac:dyDescent="0.3">
      <c r="C409" s="373"/>
      <c r="D409" s="374"/>
      <c r="E409" s="375"/>
      <c r="F409" s="376"/>
      <c r="G409" s="377"/>
      <c r="H409" s="377"/>
      <c r="I409" s="377"/>
      <c r="J409" s="376"/>
      <c r="K409" s="378"/>
      <c r="L409" s="378"/>
      <c r="M409" s="378"/>
      <c r="N409" s="378"/>
      <c r="O409" s="378"/>
      <c r="P409" s="378"/>
    </row>
    <row r="410" spans="3:16" x14ac:dyDescent="0.3">
      <c r="C410" s="373"/>
      <c r="D410" s="374"/>
      <c r="E410" s="375"/>
      <c r="F410" s="376"/>
      <c r="G410" s="377"/>
      <c r="H410" s="377"/>
      <c r="I410" s="377"/>
      <c r="J410" s="376"/>
      <c r="K410" s="378"/>
      <c r="L410" s="378"/>
      <c r="M410" s="378"/>
      <c r="N410" s="378"/>
      <c r="O410" s="378"/>
      <c r="P410" s="378"/>
    </row>
    <row r="411" spans="3:16" x14ac:dyDescent="0.3">
      <c r="C411" s="373"/>
      <c r="D411" s="374"/>
      <c r="E411" s="375"/>
      <c r="F411" s="376"/>
      <c r="G411" s="377"/>
      <c r="H411" s="377"/>
      <c r="I411" s="377"/>
      <c r="J411" s="376"/>
      <c r="K411" s="378"/>
      <c r="L411" s="378"/>
      <c r="M411" s="378"/>
      <c r="N411" s="378"/>
      <c r="O411" s="378"/>
      <c r="P411" s="378"/>
    </row>
    <row r="412" spans="3:16" x14ac:dyDescent="0.3">
      <c r="C412" s="373"/>
      <c r="D412" s="374"/>
      <c r="E412" s="375"/>
      <c r="F412" s="376"/>
      <c r="G412" s="377"/>
      <c r="H412" s="377"/>
      <c r="I412" s="377"/>
      <c r="J412" s="376"/>
      <c r="K412" s="378"/>
      <c r="L412" s="378"/>
      <c r="M412" s="378"/>
      <c r="N412" s="378"/>
      <c r="O412" s="378"/>
      <c r="P412" s="378"/>
    </row>
    <row r="413" spans="3:16" x14ac:dyDescent="0.3">
      <c r="C413" s="373"/>
      <c r="D413" s="374"/>
      <c r="E413" s="375"/>
      <c r="F413" s="376"/>
      <c r="G413" s="377"/>
      <c r="H413" s="377"/>
      <c r="I413" s="377"/>
      <c r="J413" s="376"/>
      <c r="K413" s="378"/>
      <c r="L413" s="378"/>
      <c r="M413" s="378"/>
      <c r="N413" s="378"/>
      <c r="O413" s="378"/>
      <c r="P413" s="378"/>
    </row>
    <row r="414" spans="3:16" x14ac:dyDescent="0.3">
      <c r="C414" s="373"/>
      <c r="D414" s="374"/>
      <c r="E414" s="375"/>
      <c r="F414" s="376"/>
      <c r="G414" s="377"/>
      <c r="H414" s="377"/>
      <c r="I414" s="377"/>
      <c r="J414" s="376"/>
      <c r="K414" s="378"/>
      <c r="L414" s="378"/>
      <c r="M414" s="378"/>
      <c r="N414" s="378"/>
      <c r="O414" s="378"/>
      <c r="P414" s="378"/>
    </row>
    <row r="415" spans="3:16" x14ac:dyDescent="0.3">
      <c r="C415" s="373"/>
      <c r="D415" s="374"/>
      <c r="E415" s="375"/>
      <c r="F415" s="376"/>
      <c r="G415" s="377"/>
      <c r="H415" s="377"/>
      <c r="I415" s="377"/>
      <c r="J415" s="376"/>
      <c r="K415" s="378"/>
      <c r="L415" s="378"/>
      <c r="M415" s="378"/>
      <c r="N415" s="378"/>
      <c r="O415" s="378"/>
      <c r="P415" s="378"/>
    </row>
    <row r="416" spans="3:16" x14ac:dyDescent="0.3">
      <c r="C416" s="373"/>
      <c r="D416" s="374"/>
      <c r="E416" s="375"/>
      <c r="F416" s="376"/>
      <c r="G416" s="377"/>
      <c r="H416" s="377"/>
      <c r="I416" s="377"/>
      <c r="J416" s="376"/>
      <c r="K416" s="378"/>
      <c r="L416" s="378"/>
      <c r="M416" s="378"/>
      <c r="N416" s="378"/>
      <c r="O416" s="378"/>
      <c r="P416" s="378"/>
    </row>
    <row r="417" spans="3:16" x14ac:dyDescent="0.3">
      <c r="C417" s="379"/>
      <c r="D417" s="312"/>
      <c r="E417" s="380"/>
      <c r="F417" s="314"/>
      <c r="G417" s="315"/>
      <c r="H417" s="315"/>
      <c r="I417" s="315"/>
      <c r="J417" s="314"/>
      <c r="K417" s="316"/>
      <c r="L417" s="316"/>
      <c r="M417" s="316"/>
      <c r="N417" s="316"/>
      <c r="O417" s="316"/>
      <c r="P417" s="316"/>
    </row>
    <row r="418" spans="3:16" x14ac:dyDescent="0.3">
      <c r="C418" s="373"/>
      <c r="D418" s="374"/>
      <c r="E418" s="375"/>
      <c r="F418" s="376"/>
      <c r="G418" s="377"/>
      <c r="H418" s="377"/>
      <c r="I418" s="377"/>
      <c r="J418" s="376"/>
      <c r="K418" s="378"/>
      <c r="L418" s="378"/>
      <c r="M418" s="378"/>
      <c r="N418" s="378"/>
      <c r="O418" s="378"/>
      <c r="P418" s="378"/>
    </row>
    <row r="419" spans="3:16" x14ac:dyDescent="0.3">
      <c r="C419" s="373"/>
      <c r="D419" s="374"/>
      <c r="E419" s="375"/>
      <c r="F419" s="376"/>
      <c r="G419" s="377"/>
      <c r="H419" s="377"/>
      <c r="I419" s="377"/>
      <c r="J419" s="376"/>
      <c r="K419" s="378"/>
      <c r="L419" s="378"/>
      <c r="M419" s="378"/>
      <c r="N419" s="378"/>
      <c r="O419" s="378"/>
      <c r="P419" s="378"/>
    </row>
    <row r="420" spans="3:16" x14ac:dyDescent="0.3">
      <c r="C420" s="373"/>
      <c r="D420" s="374"/>
      <c r="E420" s="375"/>
      <c r="F420" s="376"/>
      <c r="G420" s="377"/>
      <c r="H420" s="377"/>
      <c r="I420" s="377"/>
      <c r="J420" s="376"/>
      <c r="K420" s="378"/>
      <c r="L420" s="378"/>
      <c r="M420" s="378"/>
      <c r="N420" s="378"/>
      <c r="O420" s="378"/>
      <c r="P420" s="378"/>
    </row>
    <row r="421" spans="3:16" x14ac:dyDescent="0.3">
      <c r="C421" s="373"/>
      <c r="D421" s="374"/>
      <c r="E421" s="375"/>
      <c r="F421" s="376"/>
      <c r="G421" s="377"/>
      <c r="H421" s="377"/>
      <c r="I421" s="377"/>
      <c r="J421" s="376"/>
      <c r="K421" s="378"/>
      <c r="L421" s="378"/>
      <c r="M421" s="378"/>
      <c r="N421" s="378"/>
      <c r="O421" s="378"/>
      <c r="P421" s="378"/>
    </row>
    <row r="422" spans="3:16" x14ac:dyDescent="0.3">
      <c r="C422" s="373"/>
      <c r="D422" s="374"/>
      <c r="E422" s="375"/>
      <c r="F422" s="376"/>
      <c r="G422" s="377"/>
      <c r="H422" s="377"/>
      <c r="I422" s="377"/>
      <c r="J422" s="376"/>
      <c r="K422" s="378"/>
      <c r="L422" s="378"/>
      <c r="M422" s="378"/>
      <c r="N422" s="378"/>
      <c r="O422" s="378"/>
      <c r="P422" s="378"/>
    </row>
    <row r="423" spans="3:16" x14ac:dyDescent="0.3">
      <c r="C423" s="373"/>
      <c r="D423" s="374"/>
      <c r="E423" s="375"/>
      <c r="F423" s="376"/>
      <c r="G423" s="377"/>
      <c r="H423" s="377"/>
      <c r="I423" s="377"/>
      <c r="J423" s="376"/>
      <c r="K423" s="378"/>
      <c r="L423" s="378"/>
      <c r="M423" s="378"/>
      <c r="N423" s="378"/>
      <c r="O423" s="378"/>
      <c r="P423" s="378"/>
    </row>
    <row r="424" spans="3:16" x14ac:dyDescent="0.3">
      <c r="C424" s="373"/>
      <c r="D424" s="374"/>
      <c r="E424" s="375"/>
      <c r="F424" s="376"/>
      <c r="G424" s="377"/>
      <c r="H424" s="377"/>
      <c r="I424" s="377"/>
      <c r="J424" s="376"/>
      <c r="K424" s="378"/>
      <c r="L424" s="378"/>
      <c r="M424" s="378"/>
      <c r="N424" s="378"/>
      <c r="O424" s="378"/>
      <c r="P424" s="378"/>
    </row>
    <row r="425" spans="3:16" x14ac:dyDescent="0.3">
      <c r="C425" s="373"/>
      <c r="D425" s="374"/>
      <c r="E425" s="375"/>
      <c r="F425" s="376"/>
      <c r="G425" s="377"/>
      <c r="H425" s="377"/>
      <c r="I425" s="377"/>
      <c r="J425" s="376"/>
      <c r="K425" s="378"/>
      <c r="L425" s="378"/>
      <c r="M425" s="378"/>
      <c r="N425" s="378"/>
      <c r="O425" s="378"/>
      <c r="P425" s="378"/>
    </row>
    <row r="426" spans="3:16" x14ac:dyDescent="0.3">
      <c r="C426" s="373"/>
      <c r="D426" s="374"/>
      <c r="E426" s="375"/>
      <c r="F426" s="376"/>
      <c r="G426" s="377"/>
      <c r="H426" s="377"/>
      <c r="I426" s="377"/>
      <c r="J426" s="376"/>
      <c r="K426" s="378"/>
      <c r="L426" s="378"/>
      <c r="M426" s="378"/>
      <c r="N426" s="378"/>
      <c r="O426" s="378"/>
      <c r="P426" s="378"/>
    </row>
    <row r="427" spans="3:16" x14ac:dyDescent="0.3">
      <c r="C427" s="373"/>
      <c r="D427" s="374"/>
      <c r="E427" s="375"/>
      <c r="F427" s="376"/>
      <c r="G427" s="377"/>
      <c r="H427" s="377"/>
      <c r="I427" s="377"/>
      <c r="J427" s="376"/>
      <c r="K427" s="378"/>
      <c r="L427" s="378"/>
      <c r="M427" s="378"/>
      <c r="N427" s="378"/>
      <c r="O427" s="378"/>
      <c r="P427" s="378"/>
    </row>
    <row r="428" spans="3:16" x14ac:dyDescent="0.3">
      <c r="C428" s="373"/>
      <c r="D428" s="374"/>
      <c r="E428" s="375"/>
      <c r="F428" s="376"/>
      <c r="G428" s="377"/>
      <c r="H428" s="377"/>
      <c r="I428" s="377"/>
      <c r="J428" s="376"/>
      <c r="K428" s="378"/>
      <c r="L428" s="378"/>
      <c r="M428" s="378"/>
      <c r="N428" s="378"/>
      <c r="O428" s="378"/>
      <c r="P428" s="378"/>
    </row>
    <row r="429" spans="3:16" x14ac:dyDescent="0.3">
      <c r="C429" s="373"/>
      <c r="D429" s="374"/>
      <c r="E429" s="375"/>
      <c r="F429" s="376"/>
      <c r="G429" s="377"/>
      <c r="H429" s="377"/>
      <c r="I429" s="377"/>
      <c r="J429" s="376"/>
      <c r="K429" s="378"/>
      <c r="L429" s="378"/>
      <c r="M429" s="378"/>
      <c r="N429" s="378"/>
      <c r="O429" s="378"/>
      <c r="P429" s="378"/>
    </row>
    <row r="430" spans="3:16" x14ac:dyDescent="0.3">
      <c r="C430" s="373"/>
      <c r="D430" s="374"/>
      <c r="E430" s="375"/>
      <c r="F430" s="376"/>
      <c r="G430" s="377"/>
      <c r="H430" s="377"/>
      <c r="I430" s="377"/>
      <c r="J430" s="376"/>
      <c r="K430" s="378"/>
      <c r="L430" s="378"/>
      <c r="M430" s="378"/>
      <c r="N430" s="378"/>
      <c r="O430" s="378"/>
      <c r="P430" s="378"/>
    </row>
    <row r="431" spans="3:16" x14ac:dyDescent="0.3">
      <c r="C431" s="373"/>
      <c r="D431" s="374"/>
      <c r="E431" s="375"/>
      <c r="F431" s="376"/>
      <c r="G431" s="377"/>
      <c r="H431" s="377"/>
      <c r="I431" s="377"/>
      <c r="J431" s="376"/>
      <c r="K431" s="378"/>
      <c r="L431" s="378"/>
      <c r="M431" s="378"/>
      <c r="N431" s="378"/>
      <c r="O431" s="378"/>
      <c r="P431" s="378"/>
    </row>
    <row r="432" spans="3:16" x14ac:dyDescent="0.3">
      <c r="C432" s="373"/>
      <c r="D432" s="374"/>
      <c r="E432" s="375"/>
      <c r="F432" s="376"/>
      <c r="G432" s="377"/>
      <c r="H432" s="377"/>
      <c r="I432" s="377"/>
      <c r="J432" s="376"/>
      <c r="K432" s="378"/>
      <c r="L432" s="378"/>
      <c r="M432" s="378"/>
      <c r="N432" s="378"/>
      <c r="O432" s="378"/>
      <c r="P432" s="378"/>
    </row>
    <row r="433" spans="3:16" x14ac:dyDescent="0.3">
      <c r="C433" s="373"/>
      <c r="D433" s="374"/>
      <c r="E433" s="375"/>
      <c r="F433" s="376"/>
      <c r="G433" s="377"/>
      <c r="H433" s="377"/>
      <c r="I433" s="377"/>
      <c r="J433" s="376"/>
      <c r="K433" s="378"/>
      <c r="L433" s="378"/>
      <c r="M433" s="378"/>
      <c r="N433" s="378"/>
      <c r="O433" s="378"/>
      <c r="P433" s="378"/>
    </row>
    <row r="434" spans="3:16" x14ac:dyDescent="0.3">
      <c r="C434" s="373"/>
      <c r="D434" s="399"/>
      <c r="E434" s="375"/>
      <c r="F434" s="376"/>
      <c r="G434" s="377"/>
      <c r="H434" s="377"/>
      <c r="I434" s="377"/>
      <c r="J434" s="376"/>
      <c r="K434" s="378"/>
      <c r="L434" s="378"/>
      <c r="M434" s="378"/>
      <c r="N434" s="378"/>
      <c r="O434" s="378"/>
      <c r="P434" s="378"/>
    </row>
    <row r="435" spans="3:16" x14ac:dyDescent="0.3">
      <c r="C435" s="373"/>
      <c r="D435" s="374"/>
      <c r="E435" s="375"/>
      <c r="F435" s="376"/>
      <c r="G435" s="377"/>
      <c r="H435" s="377"/>
      <c r="I435" s="377"/>
      <c r="J435" s="376"/>
      <c r="K435" s="378"/>
      <c r="L435" s="378"/>
      <c r="M435" s="378"/>
      <c r="N435" s="378"/>
      <c r="O435" s="378"/>
      <c r="P435" s="378"/>
    </row>
    <row r="436" spans="3:16" x14ac:dyDescent="0.3">
      <c r="C436" s="373"/>
      <c r="D436" s="374"/>
      <c r="E436" s="375"/>
      <c r="F436" s="376"/>
      <c r="G436" s="377"/>
      <c r="H436" s="377"/>
      <c r="I436" s="377"/>
      <c r="J436" s="376"/>
      <c r="K436" s="378"/>
      <c r="L436" s="378"/>
      <c r="M436" s="378"/>
      <c r="N436" s="378"/>
      <c r="O436" s="378"/>
      <c r="P436" s="378"/>
    </row>
    <row r="437" spans="3:16" x14ac:dyDescent="0.3">
      <c r="C437" s="373"/>
      <c r="D437" s="374"/>
      <c r="E437" s="375"/>
      <c r="F437" s="376"/>
      <c r="G437" s="377"/>
      <c r="H437" s="377"/>
      <c r="I437" s="377"/>
      <c r="J437" s="376"/>
      <c r="K437" s="378"/>
      <c r="L437" s="378"/>
      <c r="M437" s="378"/>
      <c r="N437" s="378"/>
      <c r="O437" s="378"/>
      <c r="P437" s="378"/>
    </row>
    <row r="438" spans="3:16" x14ac:dyDescent="0.3">
      <c r="C438" s="373"/>
      <c r="D438" s="374"/>
      <c r="E438" s="375"/>
      <c r="F438" s="376"/>
      <c r="G438" s="377"/>
      <c r="H438" s="377"/>
      <c r="I438" s="377"/>
      <c r="J438" s="376"/>
      <c r="K438" s="378"/>
      <c r="L438" s="378"/>
      <c r="M438" s="378"/>
      <c r="N438" s="378"/>
      <c r="O438" s="378"/>
      <c r="P438" s="378"/>
    </row>
    <row r="439" spans="3:16" x14ac:dyDescent="0.3">
      <c r="C439" s="373"/>
      <c r="D439" s="374"/>
      <c r="E439" s="375"/>
      <c r="F439" s="376"/>
      <c r="G439" s="377"/>
      <c r="H439" s="377"/>
      <c r="I439" s="377"/>
      <c r="J439" s="376"/>
      <c r="K439" s="378"/>
      <c r="L439" s="378"/>
      <c r="M439" s="378"/>
      <c r="N439" s="378"/>
      <c r="O439" s="378"/>
      <c r="P439" s="378"/>
    </row>
    <row r="440" spans="3:16" x14ac:dyDescent="0.3">
      <c r="C440" s="373"/>
      <c r="D440" s="374"/>
      <c r="E440" s="375"/>
      <c r="F440" s="376"/>
      <c r="G440" s="377"/>
      <c r="H440" s="377"/>
      <c r="I440" s="377"/>
      <c r="J440" s="376"/>
      <c r="K440" s="378"/>
      <c r="L440" s="378"/>
      <c r="M440" s="378"/>
      <c r="N440" s="378"/>
      <c r="O440" s="378"/>
      <c r="P440" s="378"/>
    </row>
    <row r="441" spans="3:16" x14ac:dyDescent="0.3">
      <c r="C441" s="373"/>
      <c r="D441" s="374"/>
      <c r="E441" s="375"/>
      <c r="F441" s="376"/>
      <c r="G441" s="377"/>
      <c r="H441" s="377"/>
      <c r="I441" s="377"/>
      <c r="J441" s="376"/>
      <c r="K441" s="378"/>
      <c r="L441" s="378"/>
      <c r="M441" s="378"/>
      <c r="N441" s="378"/>
      <c r="O441" s="378"/>
      <c r="P441" s="378"/>
    </row>
    <row r="442" spans="3:16" x14ac:dyDescent="0.3">
      <c r="C442" s="373"/>
      <c r="D442" s="374"/>
      <c r="E442" s="375"/>
      <c r="F442" s="376"/>
      <c r="G442" s="377"/>
      <c r="H442" s="377"/>
      <c r="I442" s="377"/>
      <c r="J442" s="376"/>
      <c r="K442" s="378"/>
      <c r="L442" s="378"/>
      <c r="M442" s="378"/>
      <c r="N442" s="378"/>
      <c r="O442" s="378"/>
      <c r="P442" s="378"/>
    </row>
    <row r="443" spans="3:16" x14ac:dyDescent="0.3">
      <c r="C443" s="373"/>
      <c r="D443" s="374"/>
      <c r="E443" s="375"/>
      <c r="F443" s="376"/>
      <c r="G443" s="377"/>
      <c r="H443" s="377"/>
      <c r="I443" s="377"/>
      <c r="J443" s="376"/>
      <c r="K443" s="378"/>
      <c r="L443" s="378"/>
      <c r="M443" s="378"/>
      <c r="N443" s="378"/>
      <c r="O443" s="378"/>
      <c r="P443" s="378"/>
    </row>
    <row r="444" spans="3:16" x14ac:dyDescent="0.3">
      <c r="C444" s="373"/>
      <c r="D444" s="374"/>
      <c r="E444" s="375"/>
      <c r="F444" s="376"/>
      <c r="G444" s="377"/>
      <c r="H444" s="377"/>
      <c r="I444" s="377"/>
      <c r="J444" s="376"/>
      <c r="K444" s="378"/>
      <c r="L444" s="378"/>
      <c r="M444" s="378"/>
      <c r="N444" s="378"/>
      <c r="O444" s="378"/>
      <c r="P444" s="378"/>
    </row>
    <row r="445" spans="3:16" x14ac:dyDescent="0.3">
      <c r="C445" s="373"/>
      <c r="D445" s="374"/>
      <c r="E445" s="375"/>
      <c r="F445" s="376"/>
      <c r="G445" s="377"/>
      <c r="H445" s="377"/>
      <c r="I445" s="377"/>
      <c r="J445" s="376"/>
      <c r="K445" s="378"/>
      <c r="L445" s="378"/>
      <c r="M445" s="378"/>
      <c r="N445" s="378"/>
      <c r="O445" s="378"/>
      <c r="P445" s="378"/>
    </row>
    <row r="446" spans="3:16" x14ac:dyDescent="0.3">
      <c r="C446" s="373"/>
      <c r="D446" s="374"/>
      <c r="E446" s="375"/>
      <c r="F446" s="376"/>
      <c r="G446" s="377"/>
      <c r="H446" s="377"/>
      <c r="I446" s="377"/>
      <c r="J446" s="376"/>
      <c r="K446" s="378"/>
      <c r="L446" s="378"/>
      <c r="M446" s="378"/>
      <c r="N446" s="378"/>
      <c r="O446" s="378"/>
      <c r="P446" s="378"/>
    </row>
    <row r="447" spans="3:16" x14ac:dyDescent="0.3">
      <c r="C447" s="373"/>
      <c r="D447" s="374"/>
      <c r="E447" s="375"/>
      <c r="F447" s="376"/>
      <c r="G447" s="377"/>
      <c r="H447" s="377"/>
      <c r="I447" s="377"/>
      <c r="J447" s="376"/>
      <c r="K447" s="378"/>
      <c r="L447" s="378"/>
      <c r="M447" s="378"/>
      <c r="N447" s="378"/>
      <c r="O447" s="378"/>
      <c r="P447" s="378"/>
    </row>
    <row r="448" spans="3:16" x14ac:dyDescent="0.3">
      <c r="C448" s="379"/>
      <c r="D448" s="312"/>
      <c r="E448" s="380"/>
      <c r="F448" s="314"/>
      <c r="G448" s="315"/>
      <c r="H448" s="315"/>
      <c r="I448" s="315"/>
      <c r="J448" s="314"/>
      <c r="K448" s="316"/>
      <c r="L448" s="316"/>
      <c r="M448" s="316"/>
      <c r="N448" s="316"/>
      <c r="O448" s="316"/>
      <c r="P448" s="316"/>
    </row>
    <row r="449" spans="3:16" x14ac:dyDescent="0.3">
      <c r="C449" s="400"/>
      <c r="D449" s="374"/>
      <c r="E449" s="375"/>
      <c r="F449" s="376"/>
      <c r="G449" s="377"/>
      <c r="H449" s="377"/>
      <c r="I449" s="377"/>
      <c r="J449" s="376"/>
      <c r="K449" s="401"/>
      <c r="L449" s="401"/>
      <c r="M449" s="401"/>
      <c r="N449" s="401"/>
      <c r="O449" s="401"/>
      <c r="P449" s="401"/>
    </row>
    <row r="450" spans="3:16" x14ac:dyDescent="0.3">
      <c r="C450" s="373"/>
      <c r="D450" s="374"/>
      <c r="E450" s="375"/>
      <c r="F450" s="376"/>
      <c r="G450" s="377"/>
      <c r="H450" s="377"/>
      <c r="I450" s="377"/>
      <c r="J450" s="376"/>
      <c r="K450" s="378"/>
      <c r="L450" s="378"/>
      <c r="M450" s="378"/>
      <c r="N450" s="378"/>
      <c r="O450" s="378"/>
      <c r="P450" s="378"/>
    </row>
    <row r="451" spans="3:16" x14ac:dyDescent="0.3">
      <c r="C451" s="373"/>
      <c r="D451" s="374"/>
      <c r="E451" s="375"/>
      <c r="F451" s="376"/>
      <c r="G451" s="377"/>
      <c r="H451" s="377"/>
      <c r="I451" s="377"/>
      <c r="J451" s="376"/>
      <c r="K451" s="378"/>
      <c r="L451" s="378"/>
      <c r="M451" s="378"/>
      <c r="N451" s="378"/>
      <c r="O451" s="378"/>
      <c r="P451" s="378"/>
    </row>
    <row r="452" spans="3:16" x14ac:dyDescent="0.3">
      <c r="C452" s="373"/>
      <c r="D452" s="374"/>
      <c r="E452" s="375"/>
      <c r="F452" s="376"/>
      <c r="G452" s="377"/>
      <c r="H452" s="377"/>
      <c r="I452" s="377"/>
      <c r="J452" s="376"/>
      <c r="K452" s="378"/>
      <c r="L452" s="378"/>
      <c r="M452" s="378"/>
      <c r="N452" s="378"/>
      <c r="O452" s="378"/>
      <c r="P452" s="378"/>
    </row>
    <row r="453" spans="3:16" x14ac:dyDescent="0.3">
      <c r="C453" s="373"/>
      <c r="D453" s="374"/>
      <c r="E453" s="375"/>
      <c r="F453" s="376"/>
      <c r="G453" s="377"/>
      <c r="H453" s="377"/>
      <c r="I453" s="377"/>
      <c r="J453" s="376"/>
      <c r="K453" s="378"/>
      <c r="L453" s="378"/>
      <c r="M453" s="378"/>
      <c r="N453" s="378"/>
      <c r="O453" s="378"/>
      <c r="P453" s="378"/>
    </row>
    <row r="454" spans="3:16" x14ac:dyDescent="0.3">
      <c r="C454" s="373"/>
      <c r="D454" s="374"/>
      <c r="E454" s="375"/>
      <c r="F454" s="376"/>
      <c r="G454" s="377"/>
      <c r="H454" s="377"/>
      <c r="I454" s="377"/>
      <c r="J454" s="376"/>
      <c r="K454" s="378"/>
      <c r="L454" s="378"/>
      <c r="M454" s="378"/>
      <c r="N454" s="378"/>
      <c r="O454" s="378"/>
      <c r="P454" s="378"/>
    </row>
    <row r="455" spans="3:16" x14ac:dyDescent="0.3">
      <c r="C455" s="373"/>
      <c r="D455" s="374"/>
      <c r="E455" s="375"/>
      <c r="F455" s="376"/>
      <c r="G455" s="377"/>
      <c r="H455" s="377"/>
      <c r="I455" s="377"/>
      <c r="J455" s="376"/>
      <c r="K455" s="378"/>
      <c r="L455" s="378"/>
      <c r="M455" s="378"/>
      <c r="N455" s="378"/>
      <c r="O455" s="378"/>
      <c r="P455" s="378"/>
    </row>
    <row r="456" spans="3:16" x14ac:dyDescent="0.3">
      <c r="C456" s="373"/>
      <c r="D456" s="374"/>
      <c r="E456" s="375"/>
      <c r="F456" s="376"/>
      <c r="G456" s="377"/>
      <c r="H456" s="377"/>
      <c r="I456" s="377"/>
      <c r="J456" s="376"/>
      <c r="K456" s="378"/>
      <c r="L456" s="378"/>
      <c r="M456" s="378"/>
      <c r="N456" s="378"/>
      <c r="O456" s="378"/>
      <c r="P456" s="378"/>
    </row>
    <row r="457" spans="3:16" x14ac:dyDescent="0.3">
      <c r="C457" s="373"/>
      <c r="D457" s="374"/>
      <c r="E457" s="375"/>
      <c r="F457" s="376"/>
      <c r="G457" s="377"/>
      <c r="H457" s="377"/>
      <c r="I457" s="377"/>
      <c r="J457" s="376"/>
      <c r="K457" s="378"/>
      <c r="L457" s="378"/>
      <c r="M457" s="378"/>
      <c r="N457" s="378"/>
      <c r="O457" s="378"/>
      <c r="P457" s="378"/>
    </row>
    <row r="458" spans="3:16" x14ac:dyDescent="0.3">
      <c r="C458" s="373"/>
      <c r="D458" s="374"/>
      <c r="E458" s="375"/>
      <c r="F458" s="376"/>
      <c r="G458" s="377"/>
      <c r="H458" s="377"/>
      <c r="I458" s="377"/>
      <c r="J458" s="376"/>
      <c r="K458" s="378"/>
      <c r="L458" s="378"/>
      <c r="M458" s="378"/>
      <c r="N458" s="378"/>
      <c r="O458" s="378"/>
      <c r="P458" s="378"/>
    </row>
    <row r="459" spans="3:16" x14ac:dyDescent="0.3">
      <c r="C459" s="373"/>
      <c r="D459" s="374"/>
      <c r="E459" s="375"/>
      <c r="F459" s="376"/>
      <c r="G459" s="377"/>
      <c r="H459" s="377"/>
      <c r="I459" s="377"/>
      <c r="J459" s="376"/>
      <c r="K459" s="378"/>
      <c r="L459" s="378"/>
      <c r="M459" s="378"/>
      <c r="N459" s="378"/>
      <c r="O459" s="378"/>
      <c r="P459" s="378"/>
    </row>
    <row r="460" spans="3:16" x14ac:dyDescent="0.3">
      <c r="C460" s="379"/>
      <c r="D460" s="312"/>
      <c r="E460" s="380"/>
      <c r="F460" s="314"/>
      <c r="G460" s="315"/>
      <c r="H460" s="315"/>
      <c r="I460" s="315"/>
      <c r="J460" s="314"/>
      <c r="K460" s="316"/>
      <c r="L460" s="316"/>
      <c r="M460" s="316"/>
      <c r="N460" s="316"/>
      <c r="O460" s="316"/>
      <c r="P460" s="316"/>
    </row>
    <row r="461" spans="3:16" x14ac:dyDescent="0.3">
      <c r="C461" s="373"/>
      <c r="D461" s="374"/>
      <c r="E461" s="375"/>
      <c r="F461" s="376"/>
      <c r="G461" s="377"/>
      <c r="H461" s="377"/>
      <c r="I461" s="377"/>
      <c r="J461" s="376"/>
      <c r="K461" s="378"/>
      <c r="L461" s="378"/>
      <c r="M461" s="378"/>
      <c r="N461" s="378"/>
      <c r="O461" s="378"/>
      <c r="P461" s="378"/>
    </row>
    <row r="462" spans="3:16" x14ac:dyDescent="0.3">
      <c r="C462" s="373"/>
      <c r="D462" s="374"/>
      <c r="E462" s="375"/>
      <c r="F462" s="376"/>
      <c r="G462" s="377"/>
      <c r="H462" s="377"/>
      <c r="I462" s="377"/>
      <c r="J462" s="376"/>
      <c r="K462" s="378"/>
      <c r="L462" s="378"/>
      <c r="M462" s="378"/>
      <c r="N462" s="378"/>
      <c r="O462" s="378"/>
      <c r="P462" s="378"/>
    </row>
    <row r="463" spans="3:16" x14ac:dyDescent="0.3">
      <c r="C463" s="373"/>
      <c r="D463" s="374"/>
      <c r="E463" s="375"/>
      <c r="F463" s="376"/>
      <c r="G463" s="377"/>
      <c r="H463" s="377"/>
      <c r="I463" s="377"/>
      <c r="J463" s="376"/>
      <c r="K463" s="378"/>
      <c r="L463" s="378"/>
      <c r="M463" s="378"/>
      <c r="N463" s="378"/>
      <c r="O463" s="378"/>
      <c r="P463" s="378"/>
    </row>
    <row r="464" spans="3:16" x14ac:dyDescent="0.3">
      <c r="C464" s="373"/>
      <c r="D464" s="374"/>
      <c r="E464" s="375"/>
      <c r="F464" s="376"/>
      <c r="G464" s="377"/>
      <c r="H464" s="377"/>
      <c r="I464" s="377"/>
      <c r="J464" s="376"/>
      <c r="K464" s="378"/>
      <c r="L464" s="378"/>
      <c r="M464" s="378"/>
      <c r="N464" s="378"/>
      <c r="O464" s="378"/>
      <c r="P464" s="378"/>
    </row>
    <row r="465" spans="3:16" x14ac:dyDescent="0.3">
      <c r="C465" s="373"/>
      <c r="D465" s="374"/>
      <c r="E465" s="375"/>
      <c r="F465" s="376"/>
      <c r="G465" s="377"/>
      <c r="H465" s="377"/>
      <c r="I465" s="377"/>
      <c r="J465" s="376"/>
      <c r="K465" s="378"/>
      <c r="L465" s="378"/>
      <c r="M465" s="378"/>
      <c r="N465" s="378"/>
      <c r="O465" s="378"/>
      <c r="P465" s="378"/>
    </row>
    <row r="466" spans="3:16" x14ac:dyDescent="0.3">
      <c r="C466" s="373"/>
      <c r="D466" s="374"/>
      <c r="E466" s="375"/>
      <c r="F466" s="376"/>
      <c r="G466" s="377"/>
      <c r="H466" s="377"/>
      <c r="I466" s="377"/>
      <c r="J466" s="376"/>
      <c r="K466" s="378"/>
      <c r="L466" s="378"/>
      <c r="M466" s="378"/>
      <c r="N466" s="378"/>
      <c r="O466" s="378"/>
      <c r="P466" s="378"/>
    </row>
    <row r="467" spans="3:16" x14ac:dyDescent="0.3">
      <c r="C467" s="373"/>
      <c r="D467" s="374"/>
      <c r="E467" s="375"/>
      <c r="F467" s="376"/>
      <c r="G467" s="377"/>
      <c r="H467" s="377"/>
      <c r="I467" s="377"/>
      <c r="J467" s="376"/>
      <c r="K467" s="378"/>
      <c r="L467" s="378"/>
      <c r="M467" s="378"/>
      <c r="N467" s="378"/>
      <c r="O467" s="378"/>
      <c r="P467" s="378"/>
    </row>
    <row r="468" spans="3:16" x14ac:dyDescent="0.3">
      <c r="C468" s="373"/>
      <c r="D468" s="374"/>
      <c r="E468" s="375"/>
      <c r="F468" s="376"/>
      <c r="G468" s="377"/>
      <c r="H468" s="377"/>
      <c r="I468" s="377"/>
      <c r="J468" s="376"/>
      <c r="K468" s="378"/>
      <c r="L468" s="378"/>
      <c r="M468" s="378"/>
      <c r="N468" s="378"/>
      <c r="O468" s="378"/>
      <c r="P468" s="378"/>
    </row>
    <row r="469" spans="3:16" x14ac:dyDescent="0.3">
      <c r="C469" s="373"/>
      <c r="D469" s="374"/>
      <c r="E469" s="375"/>
      <c r="F469" s="376"/>
      <c r="G469" s="377"/>
      <c r="H469" s="377"/>
      <c r="I469" s="377"/>
      <c r="J469" s="376"/>
      <c r="K469" s="378"/>
      <c r="L469" s="378"/>
      <c r="M469" s="378"/>
      <c r="N469" s="378"/>
      <c r="O469" s="378"/>
      <c r="P469" s="378"/>
    </row>
    <row r="470" spans="3:16" x14ac:dyDescent="0.3">
      <c r="C470" s="373"/>
      <c r="D470" s="374"/>
      <c r="E470" s="375"/>
      <c r="F470" s="376"/>
      <c r="G470" s="377"/>
      <c r="H470" s="377"/>
      <c r="I470" s="377"/>
      <c r="J470" s="376"/>
      <c r="K470" s="378"/>
      <c r="L470" s="378"/>
      <c r="M470" s="378"/>
      <c r="N470" s="378"/>
      <c r="O470" s="378"/>
      <c r="P470" s="378"/>
    </row>
    <row r="471" spans="3:16" x14ac:dyDescent="0.3">
      <c r="C471" s="379"/>
      <c r="D471" s="374"/>
      <c r="E471" s="375"/>
      <c r="F471" s="376"/>
      <c r="G471" s="377"/>
      <c r="H471" s="315"/>
      <c r="I471" s="377"/>
      <c r="J471" s="314"/>
      <c r="K471" s="316"/>
      <c r="L471" s="316"/>
      <c r="M471" s="316"/>
      <c r="N471" s="316"/>
      <c r="O471" s="316"/>
      <c r="P471" s="316"/>
    </row>
    <row r="472" spans="3:16" x14ac:dyDescent="0.3">
      <c r="C472" s="373"/>
      <c r="D472" s="399"/>
      <c r="E472" s="375"/>
      <c r="F472" s="376"/>
      <c r="G472" s="377"/>
      <c r="H472" s="377"/>
      <c r="I472" s="377"/>
      <c r="J472" s="376"/>
      <c r="K472" s="378"/>
      <c r="L472" s="378"/>
      <c r="M472" s="378"/>
      <c r="N472" s="378"/>
      <c r="O472" s="378"/>
      <c r="P472" s="378"/>
    </row>
    <row r="473" spans="3:16" x14ac:dyDescent="0.3">
      <c r="C473" s="373"/>
      <c r="D473" s="374"/>
      <c r="E473" s="375"/>
      <c r="F473" s="376"/>
      <c r="G473" s="377"/>
      <c r="H473" s="377"/>
      <c r="I473" s="377"/>
      <c r="J473" s="376"/>
      <c r="K473" s="378"/>
      <c r="L473" s="378"/>
      <c r="M473" s="378"/>
      <c r="N473" s="378"/>
      <c r="O473" s="378"/>
      <c r="P473" s="378"/>
    </row>
    <row r="474" spans="3:16" x14ac:dyDescent="0.3">
      <c r="C474" s="373"/>
      <c r="D474" s="374"/>
      <c r="E474" s="375"/>
      <c r="F474" s="376"/>
      <c r="G474" s="377"/>
      <c r="H474" s="377"/>
      <c r="I474" s="377"/>
      <c r="J474" s="376"/>
      <c r="K474" s="378"/>
      <c r="L474" s="378"/>
      <c r="M474" s="378"/>
      <c r="N474" s="378"/>
      <c r="O474" s="378"/>
      <c r="P474" s="378"/>
    </row>
    <row r="475" spans="3:16" x14ac:dyDescent="0.3">
      <c r="C475" s="373"/>
      <c r="D475" s="374"/>
      <c r="E475" s="375"/>
      <c r="F475" s="376"/>
      <c r="G475" s="377"/>
      <c r="H475" s="377"/>
      <c r="I475" s="377"/>
      <c r="J475" s="376"/>
      <c r="K475" s="378"/>
      <c r="L475" s="378"/>
      <c r="M475" s="378"/>
      <c r="N475" s="378"/>
      <c r="O475" s="378"/>
      <c r="P475" s="378"/>
    </row>
    <row r="476" spans="3:16" x14ac:dyDescent="0.3">
      <c r="C476" s="373"/>
      <c r="D476" s="374"/>
      <c r="E476" s="375"/>
      <c r="F476" s="376"/>
      <c r="G476" s="377"/>
      <c r="H476" s="377"/>
      <c r="I476" s="377"/>
      <c r="J476" s="376"/>
      <c r="K476" s="378"/>
      <c r="L476" s="378"/>
      <c r="M476" s="378"/>
      <c r="N476" s="378"/>
      <c r="O476" s="378"/>
      <c r="P476" s="378"/>
    </row>
    <row r="477" spans="3:16" x14ac:dyDescent="0.3">
      <c r="C477" s="373"/>
      <c r="D477" s="374"/>
      <c r="E477" s="375"/>
      <c r="F477" s="376"/>
      <c r="G477" s="377"/>
      <c r="H477" s="377"/>
      <c r="I477" s="377"/>
      <c r="J477" s="376"/>
      <c r="K477" s="378"/>
      <c r="L477" s="378"/>
      <c r="M477" s="378"/>
      <c r="N477" s="378"/>
      <c r="O477" s="378"/>
      <c r="P477" s="378"/>
    </row>
    <row r="478" spans="3:16" x14ac:dyDescent="0.3">
      <c r="C478" s="373"/>
      <c r="D478" s="374"/>
      <c r="E478" s="375"/>
      <c r="F478" s="376"/>
      <c r="G478" s="377"/>
      <c r="H478" s="377"/>
      <c r="I478" s="377"/>
      <c r="J478" s="376"/>
      <c r="K478" s="378"/>
      <c r="L478" s="378"/>
      <c r="M478" s="378"/>
      <c r="N478" s="378"/>
      <c r="O478" s="378"/>
      <c r="P478" s="378"/>
    </row>
    <row r="479" spans="3:16" x14ac:dyDescent="0.3">
      <c r="C479" s="373"/>
      <c r="D479" s="374"/>
      <c r="E479" s="375"/>
      <c r="F479" s="376"/>
      <c r="G479" s="377"/>
      <c r="H479" s="377"/>
      <c r="I479" s="377"/>
      <c r="J479" s="376"/>
      <c r="K479" s="378"/>
      <c r="L479" s="378"/>
      <c r="M479" s="378"/>
      <c r="N479" s="378"/>
      <c r="O479" s="378"/>
      <c r="P479" s="378"/>
    </row>
    <row r="480" spans="3:16" x14ac:dyDescent="0.3">
      <c r="C480" s="379"/>
      <c r="D480" s="374"/>
      <c r="E480" s="375"/>
      <c r="F480" s="376"/>
      <c r="G480" s="377"/>
      <c r="H480" s="315"/>
      <c r="I480" s="377"/>
      <c r="J480" s="314"/>
      <c r="K480" s="316"/>
      <c r="L480" s="316"/>
      <c r="M480" s="316"/>
      <c r="N480" s="316"/>
      <c r="O480" s="316"/>
      <c r="P480" s="316"/>
    </row>
    <row r="481" spans="3:16" x14ac:dyDescent="0.3">
      <c r="C481" s="381"/>
      <c r="D481" s="393"/>
      <c r="E481" s="382"/>
      <c r="F481" s="383"/>
      <c r="G481" s="384"/>
      <c r="H481" s="384"/>
      <c r="I481" s="384"/>
      <c r="J481" s="314"/>
      <c r="K481" s="316"/>
      <c r="L481" s="316"/>
      <c r="M481" s="316"/>
      <c r="N481" s="316"/>
      <c r="O481" s="316"/>
      <c r="P481" s="316"/>
    </row>
    <row r="482" spans="3:16" x14ac:dyDescent="0.3">
      <c r="C482" s="379"/>
      <c r="D482" s="312"/>
      <c r="E482" s="380"/>
      <c r="F482" s="314"/>
      <c r="G482" s="315"/>
      <c r="H482" s="315"/>
      <c r="I482" s="315"/>
      <c r="J482" s="314"/>
      <c r="K482" s="316"/>
      <c r="L482" s="316"/>
      <c r="M482" s="316"/>
      <c r="N482" s="316"/>
      <c r="O482" s="316"/>
      <c r="P482" s="316"/>
    </row>
    <row r="483" spans="3:16" x14ac:dyDescent="0.3">
      <c r="C483" s="373"/>
      <c r="D483" s="374"/>
      <c r="E483" s="375"/>
      <c r="F483" s="376"/>
      <c r="G483" s="377"/>
      <c r="H483" s="377"/>
      <c r="I483" s="377"/>
      <c r="J483" s="376"/>
      <c r="K483" s="378"/>
      <c r="L483" s="378"/>
      <c r="M483" s="378"/>
      <c r="N483" s="378"/>
      <c r="O483" s="378"/>
      <c r="P483" s="378"/>
    </row>
    <row r="484" spans="3:16" x14ac:dyDescent="0.3">
      <c r="C484" s="373"/>
      <c r="D484" s="374"/>
      <c r="E484" s="375"/>
      <c r="F484" s="376"/>
      <c r="G484" s="377"/>
      <c r="H484" s="377"/>
      <c r="I484" s="377"/>
      <c r="J484" s="376"/>
      <c r="K484" s="378"/>
      <c r="L484" s="378"/>
      <c r="M484" s="378"/>
      <c r="N484" s="378"/>
      <c r="O484" s="378"/>
      <c r="P484" s="378"/>
    </row>
    <row r="485" spans="3:16" x14ac:dyDescent="0.3">
      <c r="C485" s="373"/>
      <c r="D485" s="374"/>
      <c r="E485" s="375"/>
      <c r="F485" s="376"/>
      <c r="G485" s="377"/>
      <c r="H485" s="377"/>
      <c r="I485" s="377"/>
      <c r="J485" s="376"/>
      <c r="K485" s="378"/>
      <c r="L485" s="378"/>
      <c r="M485" s="378"/>
      <c r="N485" s="378"/>
      <c r="O485" s="378"/>
      <c r="P485" s="378"/>
    </row>
    <row r="486" spans="3:16" x14ac:dyDescent="0.3">
      <c r="C486" s="379"/>
      <c r="D486" s="312"/>
      <c r="E486" s="380"/>
      <c r="F486" s="314"/>
      <c r="G486" s="315"/>
      <c r="H486" s="315"/>
      <c r="I486" s="315"/>
      <c r="J486" s="314"/>
      <c r="K486" s="316"/>
      <c r="L486" s="316"/>
      <c r="M486" s="316"/>
      <c r="N486" s="316"/>
      <c r="O486" s="316"/>
      <c r="P486" s="316"/>
    </row>
    <row r="487" spans="3:16" x14ac:dyDescent="0.3">
      <c r="C487" s="373"/>
      <c r="D487" s="374"/>
      <c r="E487" s="375"/>
      <c r="F487" s="376"/>
      <c r="G487" s="377"/>
      <c r="H487" s="377"/>
      <c r="I487" s="377"/>
      <c r="J487" s="376"/>
      <c r="K487" s="378"/>
      <c r="L487" s="378"/>
      <c r="M487" s="378"/>
      <c r="N487" s="378"/>
      <c r="O487" s="378"/>
      <c r="P487" s="378"/>
    </row>
    <row r="488" spans="3:16" x14ac:dyDescent="0.3">
      <c r="C488" s="385"/>
      <c r="D488" s="386"/>
      <c r="E488" s="382"/>
      <c r="F488" s="383"/>
      <c r="G488" s="384"/>
      <c r="H488" s="384"/>
      <c r="I488" s="384"/>
      <c r="J488" s="314"/>
      <c r="K488" s="387"/>
      <c r="L488" s="387"/>
      <c r="M488" s="387"/>
      <c r="N488" s="387"/>
      <c r="O488" s="387"/>
      <c r="P488" s="387"/>
    </row>
    <row r="489" spans="3:16" x14ac:dyDescent="0.3">
      <c r="C489" s="381"/>
      <c r="D489" s="393"/>
      <c r="E489" s="382"/>
      <c r="F489" s="383"/>
      <c r="G489" s="384"/>
      <c r="H489" s="384"/>
      <c r="I489" s="384"/>
      <c r="J489" s="314"/>
      <c r="K489" s="316"/>
      <c r="L489" s="316"/>
      <c r="M489" s="316"/>
      <c r="N489" s="316"/>
      <c r="O489" s="316"/>
      <c r="P489" s="316"/>
    </row>
    <row r="490" spans="3:16" x14ac:dyDescent="0.3">
      <c r="C490" s="379"/>
      <c r="D490" s="312"/>
      <c r="E490" s="380"/>
      <c r="F490" s="314"/>
      <c r="G490" s="315"/>
      <c r="H490" s="315"/>
      <c r="I490" s="315"/>
      <c r="J490" s="314"/>
      <c r="K490" s="316"/>
      <c r="L490" s="316"/>
      <c r="M490" s="316"/>
      <c r="N490" s="316"/>
      <c r="O490" s="316"/>
      <c r="P490" s="316"/>
    </row>
    <row r="491" spans="3:16" x14ac:dyDescent="0.3">
      <c r="C491" s="373"/>
      <c r="D491" s="374"/>
      <c r="E491" s="375"/>
      <c r="F491" s="376"/>
      <c r="G491" s="377"/>
      <c r="H491" s="377"/>
      <c r="I491" s="377"/>
      <c r="J491" s="376"/>
      <c r="K491" s="378"/>
      <c r="L491" s="378"/>
      <c r="M491" s="378"/>
      <c r="N491" s="378"/>
      <c r="O491" s="378"/>
      <c r="P491" s="378"/>
    </row>
    <row r="492" spans="3:16" x14ac:dyDescent="0.3">
      <c r="C492" s="373"/>
      <c r="D492" s="374"/>
      <c r="E492" s="375"/>
      <c r="F492" s="376"/>
      <c r="G492" s="377"/>
      <c r="H492" s="377"/>
      <c r="I492" s="377"/>
      <c r="J492" s="376"/>
      <c r="K492" s="378"/>
      <c r="L492" s="378"/>
      <c r="M492" s="378"/>
      <c r="N492" s="378"/>
      <c r="O492" s="378"/>
      <c r="P492" s="378"/>
    </row>
    <row r="493" spans="3:16" x14ac:dyDescent="0.3">
      <c r="C493" s="373"/>
      <c r="D493" s="374"/>
      <c r="E493" s="375"/>
      <c r="F493" s="376"/>
      <c r="G493" s="377"/>
      <c r="H493" s="377"/>
      <c r="I493" s="377"/>
      <c r="J493" s="376"/>
      <c r="K493" s="378"/>
      <c r="L493" s="378"/>
      <c r="M493" s="378"/>
      <c r="N493" s="378"/>
      <c r="O493" s="378"/>
      <c r="P493" s="378"/>
    </row>
    <row r="494" spans="3:16" x14ac:dyDescent="0.3">
      <c r="C494" s="373"/>
      <c r="D494" s="374"/>
      <c r="E494" s="375"/>
      <c r="F494" s="376"/>
      <c r="G494" s="377"/>
      <c r="H494" s="377"/>
      <c r="I494" s="377"/>
      <c r="J494" s="376"/>
      <c r="K494" s="378"/>
      <c r="L494" s="378"/>
      <c r="M494" s="378"/>
      <c r="N494" s="378"/>
      <c r="O494" s="378"/>
      <c r="P494" s="378"/>
    </row>
    <row r="495" spans="3:16" x14ac:dyDescent="0.3">
      <c r="C495" s="373"/>
      <c r="D495" s="374"/>
      <c r="E495" s="375"/>
      <c r="F495" s="376"/>
      <c r="G495" s="377"/>
      <c r="H495" s="377"/>
      <c r="I495" s="377"/>
      <c r="J495" s="376"/>
      <c r="K495" s="378"/>
      <c r="L495" s="378"/>
      <c r="M495" s="378"/>
      <c r="N495" s="378"/>
      <c r="O495" s="378"/>
      <c r="P495" s="378"/>
    </row>
    <row r="496" spans="3:16" x14ac:dyDescent="0.3">
      <c r="C496" s="373"/>
      <c r="D496" s="374"/>
      <c r="E496" s="375"/>
      <c r="F496" s="376"/>
      <c r="G496" s="377"/>
      <c r="H496" s="377"/>
      <c r="I496" s="377"/>
      <c r="J496" s="376"/>
      <c r="K496" s="378"/>
      <c r="L496" s="378"/>
      <c r="M496" s="378"/>
      <c r="N496" s="378"/>
      <c r="O496" s="378"/>
      <c r="P496" s="378"/>
    </row>
    <row r="497" spans="3:16" x14ac:dyDescent="0.3">
      <c r="C497" s="373"/>
      <c r="D497" s="374"/>
      <c r="E497" s="375"/>
      <c r="F497" s="376"/>
      <c r="G497" s="377"/>
      <c r="H497" s="377"/>
      <c r="I497" s="377"/>
      <c r="J497" s="376"/>
      <c r="K497" s="378"/>
      <c r="L497" s="378"/>
      <c r="M497" s="378"/>
      <c r="N497" s="378"/>
      <c r="O497" s="378"/>
      <c r="P497" s="378"/>
    </row>
    <row r="498" spans="3:16" x14ac:dyDescent="0.3">
      <c r="C498" s="373"/>
      <c r="D498" s="374"/>
      <c r="E498" s="375"/>
      <c r="F498" s="376"/>
      <c r="G498" s="377"/>
      <c r="H498" s="377"/>
      <c r="I498" s="377"/>
      <c r="J498" s="376"/>
      <c r="K498" s="378"/>
      <c r="L498" s="378"/>
      <c r="M498" s="378"/>
      <c r="N498" s="378"/>
      <c r="O498" s="378"/>
      <c r="P498" s="378"/>
    </row>
    <row r="499" spans="3:16" x14ac:dyDescent="0.3">
      <c r="C499" s="379"/>
      <c r="D499" s="312"/>
      <c r="E499" s="380"/>
      <c r="F499" s="314"/>
      <c r="G499" s="315"/>
      <c r="H499" s="315"/>
      <c r="I499" s="315"/>
      <c r="J499" s="314"/>
      <c r="K499" s="316"/>
      <c r="L499" s="316"/>
      <c r="M499" s="316"/>
      <c r="N499" s="316"/>
      <c r="O499" s="316"/>
      <c r="P499" s="316"/>
    </row>
    <row r="500" spans="3:16" x14ac:dyDescent="0.3">
      <c r="C500" s="373"/>
      <c r="D500" s="374"/>
      <c r="E500" s="375"/>
      <c r="F500" s="376"/>
      <c r="G500" s="377"/>
      <c r="H500" s="377"/>
      <c r="I500" s="377"/>
      <c r="J500" s="376"/>
      <c r="K500" s="378"/>
      <c r="L500" s="378"/>
      <c r="M500" s="378"/>
      <c r="N500" s="378"/>
      <c r="O500" s="378"/>
      <c r="P500" s="378"/>
    </row>
    <row r="501" spans="3:16" x14ac:dyDescent="0.3">
      <c r="C501" s="373"/>
      <c r="D501" s="374"/>
      <c r="E501" s="375"/>
      <c r="F501" s="376"/>
      <c r="G501" s="377"/>
      <c r="H501" s="377"/>
      <c r="I501" s="377"/>
      <c r="J501" s="376"/>
      <c r="K501" s="378"/>
      <c r="L501" s="378"/>
      <c r="M501" s="378"/>
      <c r="N501" s="378"/>
      <c r="O501" s="378"/>
      <c r="P501" s="378"/>
    </row>
    <row r="502" spans="3:16" x14ac:dyDescent="0.3">
      <c r="C502" s="373"/>
      <c r="D502" s="374"/>
      <c r="E502" s="375"/>
      <c r="F502" s="376"/>
      <c r="G502" s="377"/>
      <c r="H502" s="377"/>
      <c r="I502" s="377"/>
      <c r="J502" s="376"/>
      <c r="K502" s="378"/>
      <c r="L502" s="378"/>
      <c r="M502" s="378"/>
      <c r="N502" s="378"/>
      <c r="O502" s="378"/>
      <c r="P502" s="378"/>
    </row>
    <row r="503" spans="3:16" x14ac:dyDescent="0.3">
      <c r="C503" s="373"/>
      <c r="D503" s="374"/>
      <c r="E503" s="375"/>
      <c r="F503" s="376"/>
      <c r="G503" s="377"/>
      <c r="H503" s="377"/>
      <c r="I503" s="377"/>
      <c r="J503" s="376"/>
      <c r="K503" s="378"/>
      <c r="L503" s="378"/>
      <c r="M503" s="378"/>
      <c r="N503" s="378"/>
      <c r="O503" s="378"/>
      <c r="P503" s="378"/>
    </row>
    <row r="504" spans="3:16" x14ac:dyDescent="0.3">
      <c r="C504" s="373"/>
      <c r="D504" s="374"/>
      <c r="E504" s="375"/>
      <c r="F504" s="376"/>
      <c r="G504" s="377"/>
      <c r="H504" s="377"/>
      <c r="I504" s="377"/>
      <c r="J504" s="376"/>
      <c r="K504" s="378"/>
      <c r="L504" s="378"/>
      <c r="M504" s="378"/>
      <c r="N504" s="378"/>
      <c r="O504" s="378"/>
      <c r="P504" s="378"/>
    </row>
    <row r="505" spans="3:16" x14ac:dyDescent="0.3">
      <c r="C505" s="373"/>
      <c r="D505" s="374"/>
      <c r="E505" s="375"/>
      <c r="F505" s="376"/>
      <c r="G505" s="377"/>
      <c r="H505" s="377"/>
      <c r="I505" s="377"/>
      <c r="J505" s="376"/>
      <c r="K505" s="378"/>
      <c r="L505" s="378"/>
      <c r="M505" s="378"/>
      <c r="N505" s="378"/>
      <c r="O505" s="378"/>
      <c r="P505" s="378"/>
    </row>
    <row r="506" spans="3:16" x14ac:dyDescent="0.3">
      <c r="C506" s="373"/>
      <c r="D506" s="374"/>
      <c r="E506" s="375"/>
      <c r="F506" s="376"/>
      <c r="G506" s="377"/>
      <c r="H506" s="377"/>
      <c r="I506" s="377"/>
      <c r="J506" s="376"/>
      <c r="K506" s="378"/>
      <c r="L506" s="378"/>
      <c r="M506" s="378"/>
      <c r="N506" s="378"/>
      <c r="O506" s="378"/>
      <c r="P506" s="378"/>
    </row>
    <row r="507" spans="3:16" x14ac:dyDescent="0.3">
      <c r="C507" s="373"/>
      <c r="D507" s="374"/>
      <c r="E507" s="375"/>
      <c r="F507" s="376"/>
      <c r="G507" s="377"/>
      <c r="H507" s="377"/>
      <c r="I507" s="377"/>
      <c r="J507" s="376"/>
      <c r="K507" s="378"/>
      <c r="L507" s="378"/>
      <c r="M507" s="378"/>
      <c r="N507" s="378"/>
      <c r="O507" s="378"/>
      <c r="P507" s="378"/>
    </row>
    <row r="508" spans="3:16" x14ac:dyDescent="0.3">
      <c r="C508" s="373"/>
      <c r="D508" s="374"/>
      <c r="E508" s="375"/>
      <c r="F508" s="376"/>
      <c r="G508" s="377"/>
      <c r="H508" s="377"/>
      <c r="I508" s="377"/>
      <c r="J508" s="376"/>
      <c r="K508" s="378"/>
      <c r="L508" s="378"/>
      <c r="M508" s="378"/>
      <c r="N508" s="378"/>
      <c r="O508" s="378"/>
      <c r="P508" s="378"/>
    </row>
    <row r="509" spans="3:16" x14ac:dyDescent="0.3">
      <c r="C509" s="373"/>
      <c r="D509" s="374"/>
      <c r="E509" s="375"/>
      <c r="F509" s="376"/>
      <c r="G509" s="377"/>
      <c r="H509" s="377"/>
      <c r="I509" s="377"/>
      <c r="J509" s="376"/>
      <c r="K509" s="378"/>
      <c r="L509" s="378"/>
      <c r="M509" s="378"/>
      <c r="N509" s="378"/>
      <c r="O509" s="378"/>
      <c r="P509" s="378"/>
    </row>
    <row r="510" spans="3:16" x14ac:dyDescent="0.3">
      <c r="C510" s="373"/>
      <c r="D510" s="374"/>
      <c r="E510" s="375"/>
      <c r="F510" s="376"/>
      <c r="G510" s="377"/>
      <c r="H510" s="377"/>
      <c r="I510" s="377"/>
      <c r="J510" s="376"/>
      <c r="K510" s="378"/>
      <c r="L510" s="378"/>
      <c r="M510" s="378"/>
      <c r="N510" s="378"/>
      <c r="O510" s="378"/>
      <c r="P510" s="378"/>
    </row>
    <row r="511" spans="3:16" x14ac:dyDescent="0.3">
      <c r="C511" s="373"/>
      <c r="D511" s="374"/>
      <c r="E511" s="375"/>
      <c r="F511" s="376"/>
      <c r="G511" s="377"/>
      <c r="H511" s="377"/>
      <c r="I511" s="377"/>
      <c r="J511" s="376"/>
      <c r="K511" s="378"/>
      <c r="L511" s="378"/>
      <c r="M511" s="378"/>
      <c r="N511" s="378"/>
      <c r="O511" s="378"/>
      <c r="P511" s="378"/>
    </row>
    <row r="512" spans="3:16" x14ac:dyDescent="0.3">
      <c r="C512" s="373"/>
      <c r="D512" s="374"/>
      <c r="E512" s="375"/>
      <c r="F512" s="376"/>
      <c r="G512" s="377"/>
      <c r="H512" s="377"/>
      <c r="I512" s="377"/>
      <c r="J512" s="376"/>
      <c r="K512" s="378"/>
      <c r="L512" s="378"/>
      <c r="M512" s="378"/>
      <c r="N512" s="378"/>
      <c r="O512" s="378"/>
      <c r="P512" s="378"/>
    </row>
    <row r="513" spans="3:16" x14ac:dyDescent="0.3">
      <c r="C513" s="373"/>
      <c r="D513" s="374"/>
      <c r="E513" s="375"/>
      <c r="F513" s="376"/>
      <c r="G513" s="377"/>
      <c r="H513" s="377"/>
      <c r="I513" s="377"/>
      <c r="J513" s="376"/>
      <c r="K513" s="378"/>
      <c r="L513" s="378"/>
      <c r="M513" s="378"/>
      <c r="N513" s="378"/>
      <c r="O513" s="378"/>
      <c r="P513" s="378"/>
    </row>
    <row r="514" spans="3:16" x14ac:dyDescent="0.3">
      <c r="C514" s="373"/>
      <c r="D514" s="374"/>
      <c r="E514" s="375"/>
      <c r="F514" s="376"/>
      <c r="G514" s="377"/>
      <c r="H514" s="377"/>
      <c r="I514" s="377"/>
      <c r="J514" s="376"/>
      <c r="K514" s="378"/>
      <c r="L514" s="378"/>
      <c r="M514" s="378"/>
      <c r="N514" s="378"/>
      <c r="O514" s="378"/>
      <c r="P514" s="378"/>
    </row>
    <row r="515" spans="3:16" x14ac:dyDescent="0.3">
      <c r="C515" s="373"/>
      <c r="D515" s="374"/>
      <c r="E515" s="375"/>
      <c r="F515" s="376"/>
      <c r="G515" s="377"/>
      <c r="H515" s="377"/>
      <c r="I515" s="377"/>
      <c r="J515" s="376"/>
      <c r="K515" s="378"/>
      <c r="L515" s="378"/>
      <c r="M515" s="378"/>
      <c r="N515" s="378"/>
      <c r="O515" s="378"/>
      <c r="P515" s="378"/>
    </row>
    <row r="516" spans="3:16" x14ac:dyDescent="0.3">
      <c r="C516" s="373"/>
      <c r="D516" s="399"/>
      <c r="E516" s="375"/>
      <c r="F516" s="376"/>
      <c r="G516" s="377"/>
      <c r="H516" s="377"/>
      <c r="I516" s="377"/>
      <c r="J516" s="376"/>
      <c r="K516" s="378"/>
      <c r="L516" s="378"/>
      <c r="M516" s="378"/>
      <c r="N516" s="378"/>
      <c r="O516" s="378"/>
      <c r="P516" s="378"/>
    </row>
    <row r="517" spans="3:16" x14ac:dyDescent="0.3">
      <c r="C517" s="373"/>
      <c r="D517" s="374"/>
      <c r="E517" s="375"/>
      <c r="F517" s="376"/>
      <c r="G517" s="377"/>
      <c r="H517" s="377"/>
      <c r="I517" s="377"/>
      <c r="J517" s="376"/>
      <c r="K517" s="378"/>
      <c r="L517" s="378"/>
      <c r="M517" s="378"/>
      <c r="N517" s="378"/>
      <c r="O517" s="378"/>
      <c r="P517" s="378"/>
    </row>
    <row r="518" spans="3:16" x14ac:dyDescent="0.3">
      <c r="C518" s="373"/>
      <c r="D518" s="374"/>
      <c r="E518" s="375"/>
      <c r="F518" s="376"/>
      <c r="G518" s="377"/>
      <c r="H518" s="377"/>
      <c r="I518" s="377"/>
      <c r="J518" s="376"/>
      <c r="K518" s="378"/>
      <c r="L518" s="378"/>
      <c r="M518" s="378"/>
      <c r="N518" s="378"/>
      <c r="O518" s="378"/>
      <c r="P518" s="378"/>
    </row>
    <row r="519" spans="3:16" x14ac:dyDescent="0.3">
      <c r="C519" s="373"/>
      <c r="D519" s="374"/>
      <c r="E519" s="375"/>
      <c r="F519" s="376"/>
      <c r="G519" s="377"/>
      <c r="H519" s="377"/>
      <c r="I519" s="377"/>
      <c r="J519" s="376"/>
      <c r="K519" s="378"/>
      <c r="L519" s="378"/>
      <c r="M519" s="378"/>
      <c r="N519" s="378"/>
      <c r="O519" s="378"/>
      <c r="P519" s="378"/>
    </row>
    <row r="520" spans="3:16" x14ac:dyDescent="0.3">
      <c r="C520" s="373"/>
      <c r="D520" s="374"/>
      <c r="E520" s="375"/>
      <c r="F520" s="376"/>
      <c r="G520" s="377"/>
      <c r="H520" s="377"/>
      <c r="I520" s="377"/>
      <c r="J520" s="376"/>
      <c r="K520" s="378"/>
      <c r="L520" s="378"/>
      <c r="M520" s="378"/>
      <c r="N520" s="378"/>
      <c r="O520" s="378"/>
      <c r="P520" s="378"/>
    </row>
    <row r="521" spans="3:16" x14ac:dyDescent="0.3">
      <c r="C521" s="373"/>
      <c r="D521" s="374"/>
      <c r="E521" s="375"/>
      <c r="F521" s="376"/>
      <c r="G521" s="377"/>
      <c r="H521" s="377"/>
      <c r="I521" s="377"/>
      <c r="J521" s="376"/>
      <c r="K521" s="378"/>
      <c r="L521" s="378"/>
      <c r="M521" s="378"/>
      <c r="N521" s="378"/>
      <c r="O521" s="378"/>
      <c r="P521" s="378"/>
    </row>
    <row r="522" spans="3:16" x14ac:dyDescent="0.3">
      <c r="C522" s="373"/>
      <c r="D522" s="374"/>
      <c r="E522" s="375"/>
      <c r="F522" s="376"/>
      <c r="G522" s="377"/>
      <c r="H522" s="377"/>
      <c r="I522" s="377"/>
      <c r="J522" s="376"/>
      <c r="K522" s="378"/>
      <c r="L522" s="378"/>
      <c r="M522" s="378"/>
      <c r="N522" s="378"/>
      <c r="O522" s="378"/>
      <c r="P522" s="378"/>
    </row>
    <row r="523" spans="3:16" x14ac:dyDescent="0.3">
      <c r="C523" s="373"/>
      <c r="D523" s="374"/>
      <c r="E523" s="375"/>
      <c r="F523" s="376"/>
      <c r="G523" s="377"/>
      <c r="H523" s="377"/>
      <c r="I523" s="377"/>
      <c r="J523" s="376"/>
      <c r="K523" s="378"/>
      <c r="L523" s="378"/>
      <c r="M523" s="378"/>
      <c r="N523" s="378"/>
      <c r="O523" s="378"/>
      <c r="P523" s="378"/>
    </row>
    <row r="524" spans="3:16" x14ac:dyDescent="0.3">
      <c r="C524" s="373"/>
      <c r="D524" s="374"/>
      <c r="E524" s="375"/>
      <c r="F524" s="376"/>
      <c r="G524" s="377"/>
      <c r="H524" s="377"/>
      <c r="I524" s="377"/>
      <c r="J524" s="376"/>
      <c r="K524" s="378"/>
      <c r="L524" s="378"/>
      <c r="M524" s="378"/>
      <c r="N524" s="378"/>
      <c r="O524" s="378"/>
      <c r="P524" s="378"/>
    </row>
    <row r="525" spans="3:16" x14ac:dyDescent="0.3">
      <c r="C525" s="373"/>
      <c r="D525" s="374"/>
      <c r="E525" s="375"/>
      <c r="F525" s="376"/>
      <c r="G525" s="377"/>
      <c r="H525" s="377"/>
      <c r="I525" s="377"/>
      <c r="J525" s="376"/>
      <c r="K525" s="378"/>
      <c r="L525" s="378"/>
      <c r="M525" s="378"/>
      <c r="N525" s="378"/>
      <c r="O525" s="378"/>
      <c r="P525" s="378"/>
    </row>
    <row r="526" spans="3:16" x14ac:dyDescent="0.3">
      <c r="C526" s="373"/>
      <c r="D526" s="374"/>
      <c r="E526" s="375"/>
      <c r="F526" s="376"/>
      <c r="G526" s="377"/>
      <c r="H526" s="377"/>
      <c r="I526" s="377"/>
      <c r="J526" s="376"/>
      <c r="K526" s="378"/>
      <c r="L526" s="378"/>
      <c r="M526" s="378"/>
      <c r="N526" s="378"/>
      <c r="O526" s="378"/>
      <c r="P526" s="378"/>
    </row>
    <row r="527" spans="3:16" x14ac:dyDescent="0.3">
      <c r="C527" s="373"/>
      <c r="D527" s="374"/>
      <c r="E527" s="375"/>
      <c r="F527" s="376"/>
      <c r="G527" s="377"/>
      <c r="H527" s="377"/>
      <c r="I527" s="377"/>
      <c r="J527" s="376"/>
      <c r="K527" s="378"/>
      <c r="L527" s="378"/>
      <c r="M527" s="378"/>
      <c r="N527" s="378"/>
      <c r="O527" s="378"/>
      <c r="P527" s="378"/>
    </row>
    <row r="528" spans="3:16" x14ac:dyDescent="0.3">
      <c r="C528" s="373"/>
      <c r="D528" s="374"/>
      <c r="E528" s="375"/>
      <c r="F528" s="376"/>
      <c r="G528" s="377"/>
      <c r="H528" s="377"/>
      <c r="I528" s="377"/>
      <c r="J528" s="376"/>
      <c r="K528" s="378"/>
      <c r="L528" s="378"/>
      <c r="M528" s="378"/>
      <c r="N528" s="378"/>
      <c r="O528" s="378"/>
      <c r="P528" s="378"/>
    </row>
    <row r="529" spans="3:16" x14ac:dyDescent="0.3">
      <c r="C529" s="373"/>
      <c r="D529" s="374"/>
      <c r="E529" s="375"/>
      <c r="F529" s="376"/>
      <c r="G529" s="377"/>
      <c r="H529" s="377"/>
      <c r="I529" s="377"/>
      <c r="J529" s="376"/>
      <c r="K529" s="378"/>
      <c r="L529" s="378"/>
      <c r="M529" s="378"/>
      <c r="N529" s="378"/>
      <c r="O529" s="378"/>
      <c r="P529" s="378"/>
    </row>
    <row r="530" spans="3:16" x14ac:dyDescent="0.3">
      <c r="C530" s="379"/>
      <c r="D530" s="312"/>
      <c r="E530" s="380"/>
      <c r="F530" s="314"/>
      <c r="G530" s="315"/>
      <c r="H530" s="315"/>
      <c r="I530" s="315"/>
      <c r="J530" s="314"/>
      <c r="K530" s="316"/>
      <c r="L530" s="316"/>
      <c r="M530" s="316"/>
      <c r="N530" s="316"/>
      <c r="O530" s="316"/>
      <c r="P530" s="316"/>
    </row>
    <row r="531" spans="3:16" x14ac:dyDescent="0.3">
      <c r="C531" s="373"/>
      <c r="D531" s="374"/>
      <c r="E531" s="375"/>
      <c r="F531" s="376"/>
      <c r="G531" s="377"/>
      <c r="H531" s="377"/>
      <c r="I531" s="377"/>
      <c r="J531" s="376"/>
      <c r="K531" s="378"/>
      <c r="L531" s="378"/>
      <c r="M531" s="378"/>
      <c r="N531" s="378"/>
      <c r="O531" s="378"/>
      <c r="P531" s="378"/>
    </row>
    <row r="532" spans="3:16" x14ac:dyDescent="0.3">
      <c r="C532" s="373"/>
      <c r="D532" s="374"/>
      <c r="E532" s="375"/>
      <c r="F532" s="376"/>
      <c r="G532" s="377"/>
      <c r="H532" s="377"/>
      <c r="I532" s="377"/>
      <c r="J532" s="376"/>
      <c r="K532" s="378"/>
      <c r="L532" s="378"/>
      <c r="M532" s="378"/>
      <c r="N532" s="378"/>
      <c r="O532" s="378"/>
      <c r="P532" s="378"/>
    </row>
    <row r="533" spans="3:16" x14ac:dyDescent="0.3">
      <c r="C533" s="373"/>
      <c r="D533" s="374"/>
      <c r="E533" s="375"/>
      <c r="F533" s="376"/>
      <c r="G533" s="377"/>
      <c r="H533" s="377"/>
      <c r="I533" s="377"/>
      <c r="J533" s="376"/>
      <c r="K533" s="378"/>
      <c r="L533" s="378"/>
      <c r="M533" s="378"/>
      <c r="N533" s="378"/>
      <c r="O533" s="378"/>
      <c r="P533" s="378"/>
    </row>
    <row r="534" spans="3:16" x14ac:dyDescent="0.3">
      <c r="C534" s="373"/>
      <c r="D534" s="374"/>
      <c r="E534" s="375"/>
      <c r="F534" s="376"/>
      <c r="G534" s="377"/>
      <c r="H534" s="377"/>
      <c r="I534" s="377"/>
      <c r="J534" s="376"/>
      <c r="K534" s="378"/>
      <c r="L534" s="378"/>
      <c r="M534" s="378"/>
      <c r="N534" s="378"/>
      <c r="O534" s="378"/>
      <c r="P534" s="378"/>
    </row>
    <row r="535" spans="3:16" x14ac:dyDescent="0.3">
      <c r="C535" s="373"/>
      <c r="D535" s="374"/>
      <c r="E535" s="375"/>
      <c r="F535" s="376"/>
      <c r="G535" s="377"/>
      <c r="H535" s="377"/>
      <c r="I535" s="377"/>
      <c r="J535" s="376"/>
      <c r="K535" s="378"/>
      <c r="L535" s="378"/>
      <c r="M535" s="378"/>
      <c r="N535" s="378"/>
      <c r="O535" s="378"/>
      <c r="P535" s="378"/>
    </row>
    <row r="536" spans="3:16" x14ac:dyDescent="0.3">
      <c r="C536" s="373"/>
      <c r="D536" s="374"/>
      <c r="E536" s="375"/>
      <c r="F536" s="376"/>
      <c r="G536" s="377"/>
      <c r="H536" s="377"/>
      <c r="I536" s="377"/>
      <c r="J536" s="376"/>
      <c r="K536" s="378"/>
      <c r="L536" s="378"/>
      <c r="M536" s="378"/>
      <c r="N536" s="378"/>
      <c r="O536" s="378"/>
      <c r="P536" s="378"/>
    </row>
    <row r="537" spans="3:16" x14ac:dyDescent="0.3">
      <c r="C537" s="373"/>
      <c r="D537" s="374"/>
      <c r="E537" s="375"/>
      <c r="F537" s="376"/>
      <c r="G537" s="377"/>
      <c r="H537" s="377"/>
      <c r="I537" s="377"/>
      <c r="J537" s="376"/>
      <c r="K537" s="378"/>
      <c r="L537" s="378"/>
      <c r="M537" s="378"/>
      <c r="N537" s="378"/>
      <c r="O537" s="378"/>
      <c r="P537" s="378"/>
    </row>
    <row r="538" spans="3:16" x14ac:dyDescent="0.3">
      <c r="C538" s="373"/>
      <c r="D538" s="374"/>
      <c r="E538" s="375"/>
      <c r="F538" s="376"/>
      <c r="G538" s="377"/>
      <c r="H538" s="377"/>
      <c r="I538" s="377"/>
      <c r="J538" s="376"/>
      <c r="K538" s="378"/>
      <c r="L538" s="378"/>
      <c r="M538" s="378"/>
      <c r="N538" s="378"/>
      <c r="O538" s="378"/>
      <c r="P538" s="378"/>
    </row>
    <row r="539" spans="3:16" x14ac:dyDescent="0.3">
      <c r="C539" s="373"/>
      <c r="D539" s="374"/>
      <c r="E539" s="375"/>
      <c r="F539" s="376"/>
      <c r="G539" s="377"/>
      <c r="H539" s="377"/>
      <c r="I539" s="377"/>
      <c r="J539" s="376"/>
      <c r="K539" s="378"/>
      <c r="L539" s="378"/>
      <c r="M539" s="378"/>
      <c r="N539" s="378"/>
      <c r="O539" s="378"/>
      <c r="P539" s="378"/>
    </row>
    <row r="540" spans="3:16" x14ac:dyDescent="0.3">
      <c r="C540" s="373"/>
      <c r="D540" s="374"/>
      <c r="E540" s="375"/>
      <c r="F540" s="376"/>
      <c r="G540" s="377"/>
      <c r="H540" s="377"/>
      <c r="I540" s="377"/>
      <c r="J540" s="376"/>
      <c r="K540" s="378"/>
      <c r="L540" s="378"/>
      <c r="M540" s="378"/>
      <c r="N540" s="378"/>
      <c r="O540" s="378"/>
      <c r="P540" s="378"/>
    </row>
    <row r="541" spans="3:16" x14ac:dyDescent="0.3">
      <c r="C541" s="373"/>
      <c r="D541" s="374"/>
      <c r="E541" s="375"/>
      <c r="F541" s="376"/>
      <c r="G541" s="377"/>
      <c r="H541" s="377"/>
      <c r="I541" s="377"/>
      <c r="J541" s="376"/>
      <c r="K541" s="378"/>
      <c r="L541" s="378"/>
      <c r="M541" s="378"/>
      <c r="N541" s="378"/>
      <c r="O541" s="378"/>
      <c r="P541" s="378"/>
    </row>
    <row r="542" spans="3:16" x14ac:dyDescent="0.3">
      <c r="C542" s="379"/>
      <c r="D542" s="312"/>
      <c r="E542" s="380"/>
      <c r="F542" s="314"/>
      <c r="G542" s="315"/>
      <c r="H542" s="315"/>
      <c r="I542" s="315"/>
      <c r="J542" s="314"/>
      <c r="K542" s="316"/>
      <c r="L542" s="316"/>
      <c r="M542" s="316"/>
      <c r="N542" s="316"/>
      <c r="O542" s="316"/>
      <c r="P542" s="316"/>
    </row>
    <row r="543" spans="3:16" x14ac:dyDescent="0.3">
      <c r="C543" s="373"/>
      <c r="D543" s="374"/>
      <c r="E543" s="375"/>
      <c r="F543" s="376"/>
      <c r="G543" s="377"/>
      <c r="H543" s="377"/>
      <c r="I543" s="377"/>
      <c r="J543" s="376"/>
      <c r="K543" s="378"/>
      <c r="L543" s="378"/>
      <c r="M543" s="378"/>
      <c r="N543" s="378"/>
      <c r="O543" s="378"/>
      <c r="P543" s="378"/>
    </row>
    <row r="544" spans="3:16" x14ac:dyDescent="0.3">
      <c r="C544" s="373"/>
      <c r="D544" s="374"/>
      <c r="E544" s="375"/>
      <c r="F544" s="376"/>
      <c r="G544" s="377"/>
      <c r="H544" s="377"/>
      <c r="I544" s="377"/>
      <c r="J544" s="376"/>
      <c r="K544" s="378"/>
      <c r="L544" s="378"/>
      <c r="M544" s="378"/>
      <c r="N544" s="378"/>
      <c r="O544" s="378"/>
      <c r="P544" s="378"/>
    </row>
    <row r="545" spans="3:16" x14ac:dyDescent="0.3">
      <c r="C545" s="373"/>
      <c r="D545" s="374"/>
      <c r="E545" s="375"/>
      <c r="F545" s="376"/>
      <c r="G545" s="377"/>
      <c r="H545" s="377"/>
      <c r="I545" s="377"/>
      <c r="J545" s="376"/>
      <c r="K545" s="378"/>
      <c r="L545" s="378"/>
      <c r="M545" s="378"/>
      <c r="N545" s="378"/>
      <c r="O545" s="378"/>
      <c r="P545" s="378"/>
    </row>
    <row r="546" spans="3:16" x14ac:dyDescent="0.3">
      <c r="C546" s="373"/>
      <c r="D546" s="374"/>
      <c r="E546" s="375"/>
      <c r="F546" s="376"/>
      <c r="G546" s="377"/>
      <c r="H546" s="377"/>
      <c r="I546" s="377"/>
      <c r="J546" s="376"/>
      <c r="K546" s="378"/>
      <c r="L546" s="378"/>
      <c r="M546" s="378"/>
      <c r="N546" s="378"/>
      <c r="O546" s="378"/>
      <c r="P546" s="378"/>
    </row>
    <row r="547" spans="3:16" x14ac:dyDescent="0.3">
      <c r="C547" s="373"/>
      <c r="D547" s="374"/>
      <c r="E547" s="375"/>
      <c r="F547" s="376"/>
      <c r="G547" s="377"/>
      <c r="H547" s="377"/>
      <c r="I547" s="377"/>
      <c r="J547" s="376"/>
      <c r="K547" s="378"/>
      <c r="L547" s="378"/>
      <c r="M547" s="378"/>
      <c r="N547" s="378"/>
      <c r="O547" s="378"/>
      <c r="P547" s="378"/>
    </row>
    <row r="548" spans="3:16" x14ac:dyDescent="0.3">
      <c r="C548" s="373"/>
      <c r="D548" s="374"/>
      <c r="E548" s="375"/>
      <c r="F548" s="376"/>
      <c r="G548" s="377"/>
      <c r="H548" s="377"/>
      <c r="I548" s="377"/>
      <c r="J548" s="376"/>
      <c r="K548" s="378"/>
      <c r="L548" s="378"/>
      <c r="M548" s="378"/>
      <c r="N548" s="378"/>
      <c r="O548" s="378"/>
      <c r="P548" s="378"/>
    </row>
    <row r="549" spans="3:16" x14ac:dyDescent="0.3">
      <c r="C549" s="373"/>
      <c r="D549" s="374"/>
      <c r="E549" s="375"/>
      <c r="F549" s="376"/>
      <c r="G549" s="377"/>
      <c r="H549" s="377"/>
      <c r="I549" s="377"/>
      <c r="J549" s="376"/>
      <c r="K549" s="378"/>
      <c r="L549" s="378"/>
      <c r="M549" s="378"/>
      <c r="N549" s="378"/>
      <c r="O549" s="378"/>
      <c r="P549" s="378"/>
    </row>
    <row r="550" spans="3:16" x14ac:dyDescent="0.3">
      <c r="C550" s="373"/>
      <c r="D550" s="374"/>
      <c r="E550" s="375"/>
      <c r="F550" s="376"/>
      <c r="G550" s="377"/>
      <c r="H550" s="377"/>
      <c r="I550" s="377"/>
      <c r="J550" s="376"/>
      <c r="K550" s="378"/>
      <c r="L550" s="378"/>
      <c r="M550" s="378"/>
      <c r="N550" s="378"/>
      <c r="O550" s="378"/>
      <c r="P550" s="378"/>
    </row>
    <row r="551" spans="3:16" x14ac:dyDescent="0.3">
      <c r="C551" s="373"/>
      <c r="D551" s="374"/>
      <c r="E551" s="375"/>
      <c r="F551" s="376"/>
      <c r="G551" s="377"/>
      <c r="H551" s="377"/>
      <c r="I551" s="377"/>
      <c r="J551" s="376"/>
      <c r="K551" s="378"/>
      <c r="L551" s="378"/>
      <c r="M551" s="378"/>
      <c r="N551" s="378"/>
      <c r="O551" s="378"/>
      <c r="P551" s="378"/>
    </row>
    <row r="552" spans="3:16" x14ac:dyDescent="0.3">
      <c r="C552" s="373"/>
      <c r="D552" s="374"/>
      <c r="E552" s="375"/>
      <c r="F552" s="376"/>
      <c r="G552" s="377"/>
      <c r="H552" s="377"/>
      <c r="I552" s="377"/>
      <c r="J552" s="376"/>
      <c r="K552" s="378"/>
      <c r="L552" s="378"/>
      <c r="M552" s="378"/>
      <c r="N552" s="378"/>
      <c r="O552" s="378"/>
      <c r="P552" s="378"/>
    </row>
    <row r="553" spans="3:16" x14ac:dyDescent="0.3">
      <c r="C553" s="373"/>
      <c r="D553" s="399"/>
      <c r="E553" s="375"/>
      <c r="F553" s="376"/>
      <c r="G553" s="377"/>
      <c r="H553" s="377"/>
      <c r="I553" s="377"/>
      <c r="J553" s="376"/>
      <c r="K553" s="378"/>
      <c r="L553" s="378"/>
      <c r="M553" s="378"/>
      <c r="N553" s="378"/>
      <c r="O553" s="378"/>
      <c r="P553" s="378"/>
    </row>
    <row r="554" spans="3:16" x14ac:dyDescent="0.3">
      <c r="C554" s="373"/>
      <c r="D554" s="374"/>
      <c r="E554" s="375"/>
      <c r="F554" s="376"/>
      <c r="G554" s="377"/>
      <c r="H554" s="377"/>
      <c r="I554" s="377"/>
      <c r="J554" s="376"/>
      <c r="K554" s="378"/>
      <c r="L554" s="378"/>
      <c r="M554" s="378"/>
      <c r="N554" s="378"/>
      <c r="O554" s="378"/>
      <c r="P554" s="378"/>
    </row>
    <row r="555" spans="3:16" x14ac:dyDescent="0.3">
      <c r="C555" s="373"/>
      <c r="D555" s="374"/>
      <c r="E555" s="375"/>
      <c r="F555" s="376"/>
      <c r="G555" s="377"/>
      <c r="H555" s="377"/>
      <c r="I555" s="377"/>
      <c r="J555" s="376"/>
      <c r="K555" s="378"/>
      <c r="L555" s="378"/>
      <c r="M555" s="378"/>
      <c r="N555" s="378"/>
      <c r="O555" s="378"/>
      <c r="P555" s="378"/>
    </row>
    <row r="556" spans="3:16" x14ac:dyDescent="0.3">
      <c r="C556" s="373"/>
      <c r="D556" s="374"/>
      <c r="E556" s="375"/>
      <c r="F556" s="376"/>
      <c r="G556" s="377"/>
      <c r="H556" s="377"/>
      <c r="I556" s="377"/>
      <c r="J556" s="376"/>
      <c r="K556" s="378"/>
      <c r="L556" s="378"/>
      <c r="M556" s="378"/>
      <c r="N556" s="378"/>
      <c r="O556" s="378"/>
      <c r="P556" s="378"/>
    </row>
    <row r="557" spans="3:16" x14ac:dyDescent="0.3">
      <c r="C557" s="373"/>
      <c r="D557" s="374"/>
      <c r="E557" s="375"/>
      <c r="F557" s="376"/>
      <c r="G557" s="377"/>
      <c r="H557" s="377"/>
      <c r="I557" s="377"/>
      <c r="J557" s="376"/>
      <c r="K557" s="378"/>
      <c r="L557" s="378"/>
      <c r="M557" s="378"/>
      <c r="N557" s="378"/>
      <c r="O557" s="378"/>
      <c r="P557" s="378"/>
    </row>
    <row r="558" spans="3:16" x14ac:dyDescent="0.3">
      <c r="C558" s="373"/>
      <c r="D558" s="374"/>
      <c r="E558" s="375"/>
      <c r="F558" s="376"/>
      <c r="G558" s="377"/>
      <c r="H558" s="377"/>
      <c r="I558" s="377"/>
      <c r="J558" s="376"/>
      <c r="K558" s="378"/>
      <c r="L558" s="378"/>
      <c r="M558" s="378"/>
      <c r="N558" s="378"/>
      <c r="O558" s="378"/>
      <c r="P558" s="378"/>
    </row>
    <row r="559" spans="3:16" x14ac:dyDescent="0.3">
      <c r="C559" s="373"/>
      <c r="D559" s="374"/>
      <c r="E559" s="375"/>
      <c r="F559" s="376"/>
      <c r="G559" s="377"/>
      <c r="H559" s="377"/>
      <c r="I559" s="377"/>
      <c r="J559" s="376"/>
      <c r="K559" s="378"/>
      <c r="L559" s="378"/>
      <c r="M559" s="378"/>
      <c r="N559" s="378"/>
      <c r="O559" s="378"/>
      <c r="P559" s="378"/>
    </row>
    <row r="560" spans="3:16" x14ac:dyDescent="0.3">
      <c r="C560" s="373"/>
      <c r="D560" s="374"/>
      <c r="E560" s="375"/>
      <c r="F560" s="376"/>
      <c r="G560" s="377"/>
      <c r="H560" s="377"/>
      <c r="I560" s="377"/>
      <c r="J560" s="376"/>
      <c r="K560" s="378"/>
      <c r="L560" s="378"/>
      <c r="M560" s="378"/>
      <c r="N560" s="378"/>
      <c r="O560" s="378"/>
      <c r="P560" s="378"/>
    </row>
    <row r="561" spans="3:16" x14ac:dyDescent="0.3">
      <c r="C561" s="385"/>
      <c r="D561" s="386"/>
      <c r="E561" s="382"/>
      <c r="F561" s="383"/>
      <c r="G561" s="384"/>
      <c r="H561" s="384"/>
      <c r="I561" s="384"/>
      <c r="J561" s="314"/>
      <c r="K561" s="387"/>
      <c r="L561" s="387"/>
      <c r="M561" s="387"/>
      <c r="N561" s="387"/>
      <c r="O561" s="387"/>
      <c r="P561" s="387"/>
    </row>
    <row r="562" spans="3:16" x14ac:dyDescent="0.3">
      <c r="C562" s="379"/>
      <c r="D562" s="312"/>
      <c r="E562" s="380"/>
      <c r="F562" s="314"/>
      <c r="G562" s="315"/>
      <c r="H562" s="315"/>
      <c r="I562" s="315"/>
      <c r="J562" s="314"/>
      <c r="K562" s="316"/>
      <c r="L562" s="316"/>
      <c r="M562" s="316"/>
      <c r="N562" s="316"/>
      <c r="O562" s="316"/>
      <c r="P562" s="316"/>
    </row>
    <row r="563" spans="3:16" x14ac:dyDescent="0.3">
      <c r="C563" s="373"/>
      <c r="D563" s="374"/>
      <c r="E563" s="375"/>
      <c r="F563" s="376"/>
      <c r="G563" s="377"/>
      <c r="H563" s="377"/>
      <c r="I563" s="377"/>
      <c r="J563" s="376"/>
      <c r="K563" s="378"/>
      <c r="L563" s="378"/>
      <c r="M563" s="378"/>
      <c r="N563" s="378"/>
      <c r="O563" s="378"/>
      <c r="P563" s="378"/>
    </row>
    <row r="564" spans="3:16" x14ac:dyDescent="0.3">
      <c r="C564" s="373"/>
      <c r="D564" s="374"/>
      <c r="E564" s="375"/>
      <c r="F564" s="376"/>
      <c r="G564" s="377"/>
      <c r="H564" s="377"/>
      <c r="I564" s="377"/>
      <c r="J564" s="376"/>
      <c r="K564" s="378"/>
      <c r="L564" s="378"/>
      <c r="M564" s="378"/>
      <c r="N564" s="378"/>
      <c r="O564" s="378"/>
      <c r="P564" s="378"/>
    </row>
    <row r="565" spans="3:16" x14ac:dyDescent="0.3">
      <c r="C565" s="373"/>
      <c r="D565" s="374"/>
      <c r="E565" s="375"/>
      <c r="F565" s="376"/>
      <c r="G565" s="377"/>
      <c r="H565" s="377"/>
      <c r="I565" s="377"/>
      <c r="J565" s="376"/>
      <c r="K565" s="378"/>
      <c r="L565" s="378"/>
      <c r="M565" s="378"/>
      <c r="N565" s="378"/>
      <c r="O565" s="378"/>
      <c r="P565" s="378"/>
    </row>
    <row r="566" spans="3:16" x14ac:dyDescent="0.3">
      <c r="C566" s="373"/>
      <c r="D566" s="374"/>
      <c r="E566" s="375"/>
      <c r="F566" s="376"/>
      <c r="G566" s="377"/>
      <c r="H566" s="377"/>
      <c r="I566" s="377"/>
      <c r="J566" s="376"/>
      <c r="K566" s="378"/>
      <c r="L566" s="378"/>
      <c r="M566" s="378"/>
      <c r="N566" s="378"/>
      <c r="O566" s="378"/>
      <c r="P566" s="378"/>
    </row>
    <row r="567" spans="3:16" x14ac:dyDescent="0.3">
      <c r="C567" s="373"/>
      <c r="D567" s="374"/>
      <c r="E567" s="375"/>
      <c r="F567" s="376"/>
      <c r="G567" s="377"/>
      <c r="H567" s="377"/>
      <c r="I567" s="377"/>
      <c r="J567" s="376"/>
      <c r="K567" s="378"/>
      <c r="L567" s="378"/>
      <c r="M567" s="378"/>
      <c r="N567" s="378"/>
      <c r="O567" s="378"/>
      <c r="P567" s="378"/>
    </row>
    <row r="568" spans="3:16" x14ac:dyDescent="0.3">
      <c r="C568" s="373"/>
      <c r="D568" s="374"/>
      <c r="E568" s="375"/>
      <c r="F568" s="376"/>
      <c r="G568" s="377"/>
      <c r="H568" s="377"/>
      <c r="I568" s="377"/>
      <c r="J568" s="376"/>
      <c r="K568" s="378"/>
      <c r="L568" s="378"/>
      <c r="M568" s="378"/>
      <c r="N568" s="378"/>
      <c r="O568" s="378"/>
      <c r="P568" s="378"/>
    </row>
    <row r="569" spans="3:16" x14ac:dyDescent="0.3">
      <c r="C569" s="373"/>
      <c r="D569" s="374"/>
      <c r="E569" s="375"/>
      <c r="F569" s="376"/>
      <c r="G569" s="377"/>
      <c r="H569" s="377"/>
      <c r="I569" s="377"/>
      <c r="J569" s="376"/>
      <c r="K569" s="378"/>
      <c r="L569" s="378"/>
      <c r="M569" s="378"/>
      <c r="N569" s="378"/>
      <c r="O569" s="378"/>
      <c r="P569" s="378"/>
    </row>
    <row r="570" spans="3:16" x14ac:dyDescent="0.3">
      <c r="C570" s="373"/>
      <c r="D570" s="374"/>
      <c r="E570" s="375"/>
      <c r="F570" s="376"/>
      <c r="G570" s="377"/>
      <c r="H570" s="377"/>
      <c r="I570" s="377"/>
      <c r="J570" s="376"/>
      <c r="K570" s="378"/>
      <c r="L570" s="378"/>
      <c r="M570" s="378"/>
      <c r="N570" s="378"/>
      <c r="O570" s="378"/>
      <c r="P570" s="378"/>
    </row>
    <row r="571" spans="3:16" x14ac:dyDescent="0.3">
      <c r="C571" s="373"/>
      <c r="D571" s="374"/>
      <c r="E571" s="375"/>
      <c r="F571" s="376"/>
      <c r="G571" s="377"/>
      <c r="H571" s="377"/>
      <c r="I571" s="377"/>
      <c r="J571" s="376"/>
      <c r="K571" s="378"/>
      <c r="L571" s="378"/>
      <c r="M571" s="378"/>
      <c r="N571" s="378"/>
      <c r="O571" s="378"/>
      <c r="P571" s="378"/>
    </row>
    <row r="572" spans="3:16" x14ac:dyDescent="0.3">
      <c r="C572" s="373"/>
      <c r="D572" s="374"/>
      <c r="E572" s="375"/>
      <c r="F572" s="376"/>
      <c r="G572" s="377"/>
      <c r="H572" s="377"/>
      <c r="I572" s="377"/>
      <c r="J572" s="376"/>
      <c r="K572" s="378"/>
      <c r="L572" s="378"/>
      <c r="M572" s="378"/>
      <c r="N572" s="378"/>
      <c r="O572" s="378"/>
      <c r="P572" s="378"/>
    </row>
    <row r="573" spans="3:16" x14ac:dyDescent="0.3">
      <c r="C573" s="373"/>
      <c r="D573" s="374"/>
      <c r="E573" s="375"/>
      <c r="F573" s="376"/>
      <c r="G573" s="377"/>
      <c r="H573" s="377"/>
      <c r="I573" s="377"/>
      <c r="J573" s="376"/>
      <c r="K573" s="378"/>
      <c r="L573" s="378"/>
      <c r="M573" s="378"/>
      <c r="N573" s="378"/>
      <c r="O573" s="378"/>
      <c r="P573" s="378"/>
    </row>
    <row r="574" spans="3:16" x14ac:dyDescent="0.3">
      <c r="C574" s="373"/>
      <c r="D574" s="374"/>
      <c r="E574" s="375"/>
      <c r="F574" s="376"/>
      <c r="G574" s="377"/>
      <c r="H574" s="377"/>
      <c r="I574" s="377"/>
      <c r="J574" s="376"/>
      <c r="K574" s="378"/>
      <c r="L574" s="378"/>
      <c r="M574" s="378"/>
      <c r="N574" s="378"/>
      <c r="O574" s="378"/>
      <c r="P574" s="378"/>
    </row>
    <row r="575" spans="3:16" x14ac:dyDescent="0.3">
      <c r="C575" s="373"/>
      <c r="D575" s="374"/>
      <c r="E575" s="375"/>
      <c r="F575" s="376"/>
      <c r="G575" s="377"/>
      <c r="H575" s="377"/>
      <c r="I575" s="377"/>
      <c r="J575" s="376"/>
      <c r="K575" s="378"/>
      <c r="L575" s="378"/>
      <c r="M575" s="378"/>
      <c r="N575" s="378"/>
      <c r="O575" s="378"/>
      <c r="P575" s="378"/>
    </row>
    <row r="576" spans="3:16" x14ac:dyDescent="0.3">
      <c r="C576" s="373"/>
      <c r="D576" s="374"/>
      <c r="E576" s="375"/>
      <c r="F576" s="376"/>
      <c r="G576" s="377"/>
      <c r="H576" s="377"/>
      <c r="I576" s="377"/>
      <c r="J576" s="376"/>
      <c r="K576" s="378"/>
      <c r="L576" s="378"/>
      <c r="M576" s="378"/>
      <c r="N576" s="378"/>
      <c r="O576" s="378"/>
      <c r="P576" s="378"/>
    </row>
    <row r="577" spans="3:16" x14ac:dyDescent="0.3">
      <c r="C577" s="373"/>
      <c r="D577" s="374"/>
      <c r="E577" s="375"/>
      <c r="F577" s="376"/>
      <c r="G577" s="377"/>
      <c r="H577" s="377"/>
      <c r="I577" s="377"/>
      <c r="J577" s="376"/>
      <c r="K577" s="378"/>
      <c r="L577" s="378"/>
      <c r="M577" s="378"/>
      <c r="N577" s="378"/>
      <c r="O577" s="378"/>
      <c r="P577" s="378"/>
    </row>
    <row r="578" spans="3:16" x14ac:dyDescent="0.3">
      <c r="C578" s="373"/>
      <c r="D578" s="374"/>
      <c r="E578" s="375"/>
      <c r="F578" s="376"/>
      <c r="G578" s="377"/>
      <c r="H578" s="377"/>
      <c r="I578" s="377"/>
      <c r="J578" s="376"/>
      <c r="K578" s="378"/>
      <c r="L578" s="378"/>
      <c r="M578" s="378"/>
      <c r="N578" s="378"/>
      <c r="O578" s="378"/>
      <c r="P578" s="378"/>
    </row>
    <row r="579" spans="3:16" x14ac:dyDescent="0.3">
      <c r="C579" s="373"/>
      <c r="D579" s="374"/>
      <c r="E579" s="375"/>
      <c r="F579" s="376"/>
      <c r="G579" s="377"/>
      <c r="H579" s="377"/>
      <c r="I579" s="377"/>
      <c r="J579" s="376"/>
      <c r="K579" s="378"/>
      <c r="L579" s="378"/>
      <c r="M579" s="378"/>
      <c r="N579" s="378"/>
      <c r="O579" s="378"/>
      <c r="P579" s="378"/>
    </row>
    <row r="580" spans="3:16" x14ac:dyDescent="0.3">
      <c r="C580" s="373"/>
      <c r="D580" s="374"/>
      <c r="E580" s="375"/>
      <c r="F580" s="376"/>
      <c r="G580" s="377"/>
      <c r="H580" s="377"/>
      <c r="I580" s="377"/>
      <c r="J580" s="376"/>
      <c r="K580" s="378"/>
      <c r="L580" s="378"/>
      <c r="M580" s="378"/>
      <c r="N580" s="378"/>
      <c r="O580" s="378"/>
      <c r="P580" s="378"/>
    </row>
    <row r="581" spans="3:16" x14ac:dyDescent="0.3">
      <c r="C581" s="373"/>
      <c r="D581" s="374"/>
      <c r="E581" s="375"/>
      <c r="F581" s="376"/>
      <c r="G581" s="377"/>
      <c r="H581" s="377"/>
      <c r="I581" s="377"/>
      <c r="J581" s="376"/>
      <c r="K581" s="378"/>
      <c r="L581" s="378"/>
      <c r="M581" s="378"/>
      <c r="N581" s="378"/>
      <c r="O581" s="378"/>
      <c r="P581" s="378"/>
    </row>
    <row r="582" spans="3:16" x14ac:dyDescent="0.3">
      <c r="C582" s="373"/>
      <c r="D582" s="374"/>
      <c r="E582" s="375"/>
      <c r="F582" s="376"/>
      <c r="G582" s="377"/>
      <c r="H582" s="377"/>
      <c r="I582" s="377"/>
      <c r="J582" s="376"/>
      <c r="K582" s="378"/>
      <c r="L582" s="378"/>
      <c r="M582" s="378"/>
      <c r="N582" s="378"/>
      <c r="O582" s="378"/>
      <c r="P582" s="378"/>
    </row>
    <row r="583" spans="3:16" x14ac:dyDescent="0.3">
      <c r="C583" s="373"/>
      <c r="D583" s="374"/>
      <c r="E583" s="375"/>
      <c r="F583" s="376"/>
      <c r="G583" s="377"/>
      <c r="H583" s="377"/>
      <c r="I583" s="377"/>
      <c r="J583" s="376"/>
      <c r="K583" s="378"/>
      <c r="L583" s="378"/>
      <c r="M583" s="378"/>
      <c r="N583" s="378"/>
      <c r="O583" s="378"/>
      <c r="P583" s="378"/>
    </row>
    <row r="584" spans="3:16" x14ac:dyDescent="0.3">
      <c r="C584" s="373"/>
      <c r="D584" s="374"/>
      <c r="E584" s="375"/>
      <c r="F584" s="376"/>
      <c r="G584" s="377"/>
      <c r="H584" s="377"/>
      <c r="I584" s="377"/>
      <c r="J584" s="376"/>
      <c r="K584" s="378"/>
      <c r="L584" s="378"/>
      <c r="M584" s="378"/>
      <c r="N584" s="378"/>
      <c r="O584" s="378"/>
      <c r="P584" s="378"/>
    </row>
    <row r="585" spans="3:16" x14ac:dyDescent="0.3">
      <c r="C585" s="373"/>
      <c r="D585" s="374"/>
      <c r="E585" s="375"/>
      <c r="F585" s="376"/>
      <c r="G585" s="377"/>
      <c r="H585" s="377"/>
      <c r="I585" s="377"/>
      <c r="J585" s="376"/>
      <c r="K585" s="378"/>
      <c r="L585" s="378"/>
      <c r="M585" s="378"/>
      <c r="N585" s="378"/>
      <c r="O585" s="378"/>
      <c r="P585" s="378"/>
    </row>
    <row r="586" spans="3:16" x14ac:dyDescent="0.3">
      <c r="C586" s="373"/>
      <c r="D586" s="374"/>
      <c r="E586" s="375"/>
      <c r="F586" s="376"/>
      <c r="G586" s="377"/>
      <c r="H586" s="377"/>
      <c r="I586" s="377"/>
      <c r="J586" s="376"/>
      <c r="K586" s="378"/>
      <c r="L586" s="378"/>
      <c r="M586" s="378"/>
      <c r="N586" s="378"/>
      <c r="O586" s="378"/>
      <c r="P586" s="378"/>
    </row>
    <row r="587" spans="3:16" x14ac:dyDescent="0.3">
      <c r="C587" s="373"/>
      <c r="D587" s="374"/>
      <c r="E587" s="375"/>
      <c r="F587" s="376"/>
      <c r="G587" s="377"/>
      <c r="H587" s="377"/>
      <c r="I587" s="377"/>
      <c r="J587" s="376"/>
      <c r="K587" s="378"/>
      <c r="L587" s="378"/>
      <c r="M587" s="378"/>
      <c r="N587" s="378"/>
      <c r="O587" s="378"/>
      <c r="P587" s="378"/>
    </row>
    <row r="588" spans="3:16" x14ac:dyDescent="0.3">
      <c r="C588" s="379"/>
      <c r="D588" s="312"/>
      <c r="E588" s="380"/>
      <c r="F588" s="314"/>
      <c r="G588" s="315"/>
      <c r="H588" s="315"/>
      <c r="I588" s="315"/>
      <c r="J588" s="314"/>
      <c r="K588" s="316"/>
      <c r="L588" s="316"/>
      <c r="M588" s="316"/>
      <c r="N588" s="316"/>
      <c r="O588" s="316"/>
      <c r="P588" s="316"/>
    </row>
    <row r="589" spans="3:16" x14ac:dyDescent="0.3">
      <c r="C589" s="373"/>
      <c r="D589" s="374"/>
      <c r="E589" s="375"/>
      <c r="F589" s="376"/>
      <c r="G589" s="377"/>
      <c r="H589" s="377"/>
      <c r="I589" s="377"/>
      <c r="J589" s="376"/>
      <c r="K589" s="378"/>
      <c r="L589" s="378"/>
      <c r="M589" s="378"/>
      <c r="N589" s="378"/>
      <c r="O589" s="378"/>
      <c r="P589" s="378"/>
    </row>
    <row r="590" spans="3:16" x14ac:dyDescent="0.3">
      <c r="C590" s="373"/>
      <c r="D590" s="374"/>
      <c r="E590" s="375"/>
      <c r="F590" s="376"/>
      <c r="G590" s="377"/>
      <c r="H590" s="377"/>
      <c r="I590" s="377"/>
      <c r="J590" s="376"/>
      <c r="K590" s="378"/>
      <c r="L590" s="378"/>
      <c r="M590" s="378"/>
      <c r="N590" s="378"/>
      <c r="O590" s="378"/>
      <c r="P590" s="378"/>
    </row>
    <row r="591" spans="3:16" x14ac:dyDescent="0.3">
      <c r="C591" s="373"/>
      <c r="D591" s="374"/>
      <c r="E591" s="375"/>
      <c r="F591" s="376"/>
      <c r="G591" s="377"/>
      <c r="H591" s="377"/>
      <c r="I591" s="377"/>
      <c r="J591" s="376"/>
      <c r="K591" s="378"/>
      <c r="L591" s="378"/>
      <c r="M591" s="378"/>
      <c r="N591" s="378"/>
      <c r="O591" s="378"/>
      <c r="P591" s="378"/>
    </row>
    <row r="592" spans="3:16" x14ac:dyDescent="0.3">
      <c r="C592" s="373"/>
      <c r="D592" s="374"/>
      <c r="E592" s="375"/>
      <c r="F592" s="376"/>
      <c r="G592" s="377"/>
      <c r="H592" s="377"/>
      <c r="I592" s="377"/>
      <c r="J592" s="376"/>
      <c r="K592" s="378"/>
      <c r="L592" s="378"/>
      <c r="M592" s="378"/>
      <c r="N592" s="378"/>
      <c r="O592" s="378"/>
      <c r="P592" s="378"/>
    </row>
    <row r="593" spans="3:16" x14ac:dyDescent="0.3">
      <c r="C593" s="373"/>
      <c r="D593" s="374"/>
      <c r="E593" s="375"/>
      <c r="F593" s="376"/>
      <c r="G593" s="377"/>
      <c r="H593" s="377"/>
      <c r="I593" s="377"/>
      <c r="J593" s="376"/>
      <c r="K593" s="378"/>
      <c r="L593" s="378"/>
      <c r="M593" s="378"/>
      <c r="N593" s="378"/>
      <c r="O593" s="378"/>
      <c r="P593" s="378"/>
    </row>
    <row r="594" spans="3:16" x14ac:dyDescent="0.3">
      <c r="C594" s="373"/>
      <c r="D594" s="374"/>
      <c r="E594" s="375"/>
      <c r="F594" s="376"/>
      <c r="G594" s="377"/>
      <c r="H594" s="377"/>
      <c r="I594" s="377"/>
      <c r="J594" s="376"/>
      <c r="K594" s="378"/>
      <c r="L594" s="378"/>
      <c r="M594" s="378"/>
      <c r="N594" s="378"/>
      <c r="O594" s="378"/>
      <c r="P594" s="378"/>
    </row>
    <row r="595" spans="3:16" x14ac:dyDescent="0.3">
      <c r="C595" s="373"/>
      <c r="D595" s="374"/>
      <c r="E595" s="375"/>
      <c r="F595" s="376"/>
      <c r="G595" s="377"/>
      <c r="H595" s="377"/>
      <c r="I595" s="377"/>
      <c r="J595" s="376"/>
      <c r="K595" s="378"/>
      <c r="L595" s="378"/>
      <c r="M595" s="378"/>
      <c r="N595" s="378"/>
      <c r="O595" s="378"/>
      <c r="P595" s="378"/>
    </row>
    <row r="596" spans="3:16" x14ac:dyDescent="0.3">
      <c r="C596" s="373"/>
      <c r="D596" s="374"/>
      <c r="E596" s="375"/>
      <c r="F596" s="376"/>
      <c r="G596" s="377"/>
      <c r="H596" s="377"/>
      <c r="I596" s="377"/>
      <c r="J596" s="376"/>
      <c r="K596" s="378"/>
      <c r="L596" s="378"/>
      <c r="M596" s="378"/>
      <c r="N596" s="378"/>
      <c r="O596" s="378"/>
      <c r="P596" s="378"/>
    </row>
    <row r="597" spans="3:16" x14ac:dyDescent="0.3">
      <c r="C597" s="373"/>
      <c r="D597" s="374"/>
      <c r="E597" s="375"/>
      <c r="F597" s="376"/>
      <c r="G597" s="377"/>
      <c r="H597" s="377"/>
      <c r="I597" s="377"/>
      <c r="J597" s="376"/>
      <c r="K597" s="378"/>
      <c r="L597" s="378"/>
      <c r="M597" s="378"/>
      <c r="N597" s="378"/>
      <c r="O597" s="378"/>
      <c r="P597" s="378"/>
    </row>
    <row r="598" spans="3:16" x14ac:dyDescent="0.3">
      <c r="C598" s="373"/>
      <c r="D598" s="374"/>
      <c r="E598" s="375"/>
      <c r="F598" s="376"/>
      <c r="G598" s="377"/>
      <c r="H598" s="377"/>
      <c r="I598" s="377"/>
      <c r="J598" s="376"/>
      <c r="K598" s="378"/>
      <c r="L598" s="378"/>
      <c r="M598" s="378"/>
      <c r="N598" s="378"/>
      <c r="O598" s="378"/>
      <c r="P598" s="378"/>
    </row>
    <row r="599" spans="3:16" x14ac:dyDescent="0.3">
      <c r="C599" s="373"/>
      <c r="D599" s="374"/>
      <c r="E599" s="375"/>
      <c r="F599" s="376"/>
      <c r="G599" s="377"/>
      <c r="H599" s="377"/>
      <c r="I599" s="377"/>
      <c r="J599" s="376"/>
      <c r="K599" s="378"/>
      <c r="L599" s="378"/>
      <c r="M599" s="378"/>
      <c r="N599" s="378"/>
      <c r="O599" s="378"/>
      <c r="P599" s="378"/>
    </row>
    <row r="600" spans="3:16" x14ac:dyDescent="0.3">
      <c r="C600" s="373"/>
      <c r="D600" s="374"/>
      <c r="E600" s="375"/>
      <c r="F600" s="376"/>
      <c r="G600" s="377"/>
      <c r="H600" s="377"/>
      <c r="I600" s="377"/>
      <c r="J600" s="376"/>
      <c r="K600" s="378"/>
      <c r="L600" s="378"/>
      <c r="M600" s="378"/>
      <c r="N600" s="378"/>
      <c r="O600" s="378"/>
      <c r="P600" s="378"/>
    </row>
    <row r="601" spans="3:16" x14ac:dyDescent="0.3">
      <c r="C601" s="373"/>
      <c r="D601" s="374"/>
      <c r="E601" s="375"/>
      <c r="F601" s="376"/>
      <c r="G601" s="377"/>
      <c r="H601" s="377"/>
      <c r="I601" s="377"/>
      <c r="J601" s="376"/>
      <c r="K601" s="378"/>
      <c r="L601" s="378"/>
      <c r="M601" s="378"/>
      <c r="N601" s="378"/>
      <c r="O601" s="378"/>
      <c r="P601" s="378"/>
    </row>
    <row r="602" spans="3:16" x14ac:dyDescent="0.3">
      <c r="C602" s="373"/>
      <c r="D602" s="374"/>
      <c r="E602" s="375"/>
      <c r="F602" s="376"/>
      <c r="G602" s="377"/>
      <c r="H602" s="377"/>
      <c r="I602" s="377"/>
      <c r="J602" s="376"/>
      <c r="K602" s="378"/>
      <c r="L602" s="378"/>
      <c r="M602" s="378"/>
      <c r="N602" s="378"/>
      <c r="O602" s="378"/>
      <c r="P602" s="378"/>
    </row>
    <row r="603" spans="3:16" x14ac:dyDescent="0.3">
      <c r="C603" s="373"/>
      <c r="D603" s="374"/>
      <c r="E603" s="375"/>
      <c r="F603" s="376"/>
      <c r="G603" s="377"/>
      <c r="H603" s="377"/>
      <c r="I603" s="377"/>
      <c r="J603" s="376"/>
      <c r="K603" s="378"/>
      <c r="L603" s="378"/>
      <c r="M603" s="378"/>
      <c r="N603" s="378"/>
      <c r="O603" s="378"/>
      <c r="P603" s="378"/>
    </row>
    <row r="604" spans="3:16" x14ac:dyDescent="0.3">
      <c r="C604" s="373"/>
      <c r="D604" s="374"/>
      <c r="E604" s="375"/>
      <c r="F604" s="376"/>
      <c r="G604" s="377"/>
      <c r="H604" s="377"/>
      <c r="I604" s="377"/>
      <c r="J604" s="376"/>
      <c r="K604" s="378"/>
      <c r="L604" s="378"/>
      <c r="M604" s="378"/>
      <c r="N604" s="378"/>
      <c r="O604" s="378"/>
      <c r="P604" s="378"/>
    </row>
    <row r="605" spans="3:16" x14ac:dyDescent="0.3">
      <c r="C605" s="373"/>
      <c r="D605" s="374"/>
      <c r="E605" s="375"/>
      <c r="F605" s="376"/>
      <c r="G605" s="377"/>
      <c r="H605" s="377"/>
      <c r="I605" s="377"/>
      <c r="J605" s="376"/>
      <c r="K605" s="378"/>
      <c r="L605" s="378"/>
      <c r="M605" s="378"/>
      <c r="N605" s="378"/>
      <c r="O605" s="378"/>
      <c r="P605" s="378"/>
    </row>
    <row r="606" spans="3:16" x14ac:dyDescent="0.3">
      <c r="C606" s="373"/>
      <c r="D606" s="374"/>
      <c r="E606" s="375"/>
      <c r="F606" s="376"/>
      <c r="G606" s="377"/>
      <c r="H606" s="377"/>
      <c r="I606" s="377"/>
      <c r="J606" s="376"/>
      <c r="K606" s="378"/>
      <c r="L606" s="378"/>
      <c r="M606" s="378"/>
      <c r="N606" s="378"/>
      <c r="O606" s="378"/>
      <c r="P606" s="378"/>
    </row>
    <row r="607" spans="3:16" x14ac:dyDescent="0.3">
      <c r="C607" s="373"/>
      <c r="D607" s="374"/>
      <c r="E607" s="375"/>
      <c r="F607" s="376"/>
      <c r="G607" s="377"/>
      <c r="H607" s="377"/>
      <c r="I607" s="377"/>
      <c r="J607" s="376"/>
      <c r="K607" s="378"/>
      <c r="L607" s="378"/>
      <c r="M607" s="378"/>
      <c r="N607" s="378"/>
      <c r="O607" s="378"/>
      <c r="P607" s="378"/>
    </row>
    <row r="608" spans="3:16" x14ac:dyDescent="0.3">
      <c r="C608" s="373"/>
      <c r="D608" s="374"/>
      <c r="E608" s="375"/>
      <c r="F608" s="376"/>
      <c r="G608" s="377"/>
      <c r="H608" s="377"/>
      <c r="I608" s="377"/>
      <c r="J608" s="376"/>
      <c r="K608" s="378"/>
      <c r="L608" s="378"/>
      <c r="M608" s="378"/>
      <c r="N608" s="378"/>
      <c r="O608" s="378"/>
      <c r="P608" s="378"/>
    </row>
    <row r="609" spans="3:16" x14ac:dyDescent="0.3">
      <c r="C609" s="373"/>
      <c r="D609" s="374"/>
      <c r="E609" s="375"/>
      <c r="F609" s="376"/>
      <c r="G609" s="377"/>
      <c r="H609" s="377"/>
      <c r="I609" s="377"/>
      <c r="J609" s="376"/>
      <c r="K609" s="378"/>
      <c r="L609" s="378"/>
      <c r="M609" s="378"/>
      <c r="N609" s="378"/>
      <c r="O609" s="378"/>
      <c r="P609" s="378"/>
    </row>
    <row r="610" spans="3:16" x14ac:dyDescent="0.3">
      <c r="C610" s="373"/>
      <c r="D610" s="374"/>
      <c r="E610" s="375"/>
      <c r="F610" s="376"/>
      <c r="G610" s="377"/>
      <c r="H610" s="377"/>
      <c r="I610" s="377"/>
      <c r="J610" s="376"/>
      <c r="K610" s="378"/>
      <c r="L610" s="378"/>
      <c r="M610" s="378"/>
      <c r="N610" s="378"/>
      <c r="O610" s="378"/>
      <c r="P610" s="378"/>
    </row>
    <row r="611" spans="3:16" x14ac:dyDescent="0.3">
      <c r="C611" s="373"/>
      <c r="D611" s="374"/>
      <c r="E611" s="375"/>
      <c r="F611" s="376"/>
      <c r="G611" s="377"/>
      <c r="H611" s="377"/>
      <c r="I611" s="377"/>
      <c r="J611" s="376"/>
      <c r="K611" s="378"/>
      <c r="L611" s="378"/>
      <c r="M611" s="378"/>
      <c r="N611" s="378"/>
      <c r="O611" s="378"/>
      <c r="P611" s="378"/>
    </row>
    <row r="612" spans="3:16" x14ac:dyDescent="0.3">
      <c r="C612" s="373"/>
      <c r="D612" s="374"/>
      <c r="E612" s="375"/>
      <c r="F612" s="376"/>
      <c r="G612" s="377"/>
      <c r="H612" s="377"/>
      <c r="I612" s="377"/>
      <c r="J612" s="376"/>
      <c r="K612" s="378"/>
      <c r="L612" s="378"/>
      <c r="M612" s="378"/>
      <c r="N612" s="378"/>
      <c r="O612" s="378"/>
      <c r="P612" s="378"/>
    </row>
    <row r="613" spans="3:16" x14ac:dyDescent="0.3">
      <c r="C613" s="373"/>
      <c r="D613" s="374"/>
      <c r="E613" s="375"/>
      <c r="F613" s="376"/>
      <c r="G613" s="377"/>
      <c r="H613" s="377"/>
      <c r="I613" s="377"/>
      <c r="J613" s="376"/>
      <c r="K613" s="378"/>
      <c r="L613" s="378"/>
      <c r="M613" s="378"/>
      <c r="N613" s="378"/>
      <c r="O613" s="378"/>
      <c r="P613" s="378"/>
    </row>
    <row r="614" spans="3:16" x14ac:dyDescent="0.3">
      <c r="C614" s="373"/>
      <c r="D614" s="374"/>
      <c r="E614" s="375"/>
      <c r="F614" s="376"/>
      <c r="G614" s="377"/>
      <c r="H614" s="377"/>
      <c r="I614" s="377"/>
      <c r="J614" s="376"/>
      <c r="K614" s="378"/>
      <c r="L614" s="378"/>
      <c r="M614" s="378"/>
      <c r="N614" s="378"/>
      <c r="O614" s="378"/>
      <c r="P614" s="378"/>
    </row>
    <row r="615" spans="3:16" x14ac:dyDescent="0.3">
      <c r="C615" s="373"/>
      <c r="D615" s="374"/>
      <c r="E615" s="375"/>
      <c r="F615" s="376"/>
      <c r="G615" s="377"/>
      <c r="H615" s="377"/>
      <c r="I615" s="377"/>
      <c r="J615" s="376"/>
      <c r="K615" s="378"/>
      <c r="L615" s="378"/>
      <c r="M615" s="378"/>
      <c r="N615" s="378"/>
      <c r="O615" s="378"/>
      <c r="P615" s="378"/>
    </row>
    <row r="616" spans="3:16" x14ac:dyDescent="0.3">
      <c r="C616" s="373"/>
      <c r="D616" s="374"/>
      <c r="E616" s="375"/>
      <c r="F616" s="376"/>
      <c r="G616" s="377"/>
      <c r="H616" s="377"/>
      <c r="I616" s="377"/>
      <c r="J616" s="376"/>
      <c r="K616" s="378"/>
      <c r="L616" s="378"/>
      <c r="M616" s="378"/>
      <c r="N616" s="378"/>
      <c r="O616" s="378"/>
      <c r="P616" s="378"/>
    </row>
    <row r="617" spans="3:16" x14ac:dyDescent="0.3">
      <c r="C617" s="373"/>
      <c r="D617" s="374"/>
      <c r="E617" s="375"/>
      <c r="F617" s="376"/>
      <c r="G617" s="377"/>
      <c r="H617" s="377"/>
      <c r="I617" s="377"/>
      <c r="J617" s="376"/>
      <c r="K617" s="378"/>
      <c r="L617" s="378"/>
      <c r="M617" s="378"/>
      <c r="N617" s="378"/>
      <c r="O617" s="378"/>
      <c r="P617" s="378"/>
    </row>
    <row r="618" spans="3:16" x14ac:dyDescent="0.3">
      <c r="C618" s="373"/>
      <c r="D618" s="374"/>
      <c r="E618" s="375"/>
      <c r="F618" s="376"/>
      <c r="G618" s="377"/>
      <c r="H618" s="377"/>
      <c r="I618" s="377"/>
      <c r="J618" s="376"/>
      <c r="K618" s="378"/>
      <c r="L618" s="378"/>
      <c r="M618" s="378"/>
      <c r="N618" s="378"/>
      <c r="O618" s="378"/>
      <c r="P618" s="378"/>
    </row>
    <row r="619" spans="3:16" x14ac:dyDescent="0.3">
      <c r="C619" s="373"/>
      <c r="D619" s="374"/>
      <c r="E619" s="375"/>
      <c r="F619" s="376"/>
      <c r="G619" s="377"/>
      <c r="H619" s="377"/>
      <c r="I619" s="377"/>
      <c r="J619" s="376"/>
      <c r="K619" s="378"/>
      <c r="L619" s="378"/>
      <c r="M619" s="378"/>
      <c r="N619" s="378"/>
      <c r="O619" s="378"/>
      <c r="P619" s="378"/>
    </row>
    <row r="620" spans="3:16" x14ac:dyDescent="0.3">
      <c r="C620" s="373"/>
      <c r="D620" s="374"/>
      <c r="E620" s="375"/>
      <c r="F620" s="376"/>
      <c r="G620" s="377"/>
      <c r="H620" s="377"/>
      <c r="I620" s="377"/>
      <c r="J620" s="376"/>
      <c r="K620" s="378"/>
      <c r="L620" s="378"/>
      <c r="M620" s="378"/>
      <c r="N620" s="378"/>
      <c r="O620" s="378"/>
      <c r="P620" s="378"/>
    </row>
    <row r="621" spans="3:16" x14ac:dyDescent="0.3">
      <c r="C621" s="373"/>
      <c r="D621" s="374"/>
      <c r="E621" s="375"/>
      <c r="F621" s="376"/>
      <c r="G621" s="377"/>
      <c r="H621" s="377"/>
      <c r="I621" s="377"/>
      <c r="J621" s="376"/>
      <c r="K621" s="378"/>
      <c r="L621" s="378"/>
      <c r="M621" s="378"/>
      <c r="N621" s="378"/>
      <c r="O621" s="378"/>
      <c r="P621" s="378"/>
    </row>
    <row r="622" spans="3:16" x14ac:dyDescent="0.3">
      <c r="C622" s="373"/>
      <c r="D622" s="374"/>
      <c r="E622" s="375"/>
      <c r="F622" s="376"/>
      <c r="G622" s="377"/>
      <c r="H622" s="377"/>
      <c r="I622" s="377"/>
      <c r="J622" s="376"/>
      <c r="K622" s="378"/>
      <c r="L622" s="378"/>
      <c r="M622" s="378"/>
      <c r="N622" s="378"/>
      <c r="O622" s="378"/>
      <c r="P622" s="378"/>
    </row>
    <row r="623" spans="3:16" x14ac:dyDescent="0.3">
      <c r="C623" s="373"/>
      <c r="D623" s="374"/>
      <c r="E623" s="375"/>
      <c r="F623" s="376"/>
      <c r="G623" s="377"/>
      <c r="H623" s="377"/>
      <c r="I623" s="377"/>
      <c r="J623" s="376"/>
      <c r="K623" s="378"/>
      <c r="L623" s="378"/>
      <c r="M623" s="378"/>
      <c r="N623" s="378"/>
      <c r="O623" s="378"/>
      <c r="P623" s="378"/>
    </row>
    <row r="624" spans="3:16" x14ac:dyDescent="0.3">
      <c r="C624" s="373"/>
      <c r="D624" s="374"/>
      <c r="E624" s="375"/>
      <c r="F624" s="376"/>
      <c r="G624" s="377"/>
      <c r="H624" s="377"/>
      <c r="I624" s="377"/>
      <c r="J624" s="376"/>
      <c r="K624" s="377"/>
      <c r="L624" s="377"/>
      <c r="M624" s="378"/>
      <c r="N624" s="378"/>
      <c r="O624" s="378"/>
      <c r="P624" s="378"/>
    </row>
    <row r="625" spans="3:16" x14ac:dyDescent="0.3">
      <c r="C625" s="373"/>
      <c r="D625" s="374"/>
      <c r="E625" s="375"/>
      <c r="F625" s="376"/>
      <c r="G625" s="377"/>
      <c r="H625" s="377"/>
      <c r="I625" s="377"/>
      <c r="J625" s="376"/>
      <c r="K625" s="377"/>
      <c r="L625" s="377"/>
      <c r="M625" s="378"/>
      <c r="N625" s="378"/>
      <c r="O625" s="378"/>
      <c r="P625" s="378"/>
    </row>
    <row r="626" spans="3:16" x14ac:dyDescent="0.3">
      <c r="C626" s="373"/>
      <c r="D626" s="374"/>
      <c r="E626" s="375"/>
      <c r="F626" s="376"/>
      <c r="G626" s="377"/>
      <c r="H626" s="377"/>
      <c r="I626" s="377"/>
      <c r="J626" s="376"/>
      <c r="K626" s="378"/>
      <c r="L626" s="378"/>
      <c r="M626" s="378"/>
      <c r="N626" s="378"/>
      <c r="O626" s="378"/>
      <c r="P626" s="378"/>
    </row>
    <row r="627" spans="3:16" x14ac:dyDescent="0.3">
      <c r="C627" s="373"/>
      <c r="D627" s="374"/>
      <c r="E627" s="375"/>
      <c r="F627" s="376"/>
      <c r="G627" s="377"/>
      <c r="H627" s="377"/>
      <c r="I627" s="377"/>
      <c r="J627" s="376"/>
      <c r="K627" s="378"/>
      <c r="L627" s="378"/>
      <c r="M627" s="378"/>
      <c r="N627" s="378"/>
      <c r="O627" s="378"/>
      <c r="P627" s="378"/>
    </row>
    <row r="628" spans="3:16" x14ac:dyDescent="0.3">
      <c r="C628" s="373"/>
      <c r="D628" s="374"/>
      <c r="E628" s="375"/>
      <c r="F628" s="376"/>
      <c r="G628" s="377"/>
      <c r="H628" s="377"/>
      <c r="I628" s="377"/>
      <c r="J628" s="376"/>
      <c r="K628" s="378"/>
      <c r="L628" s="378"/>
      <c r="M628" s="378"/>
      <c r="N628" s="378"/>
      <c r="O628" s="378"/>
      <c r="P628" s="378"/>
    </row>
    <row r="629" spans="3:16" x14ac:dyDescent="0.3">
      <c r="C629" s="373"/>
      <c r="D629" s="374"/>
      <c r="E629" s="375"/>
      <c r="F629" s="376"/>
      <c r="G629" s="377"/>
      <c r="H629" s="377"/>
      <c r="I629" s="377"/>
      <c r="J629" s="376"/>
      <c r="K629" s="378"/>
      <c r="L629" s="378"/>
      <c r="M629" s="378"/>
      <c r="N629" s="378"/>
      <c r="O629" s="378"/>
      <c r="P629" s="378"/>
    </row>
    <row r="630" spans="3:16" x14ac:dyDescent="0.3">
      <c r="C630" s="373"/>
      <c r="D630" s="374"/>
      <c r="E630" s="375"/>
      <c r="F630" s="376"/>
      <c r="G630" s="377"/>
      <c r="H630" s="377"/>
      <c r="I630" s="377"/>
      <c r="J630" s="376"/>
      <c r="K630" s="378"/>
      <c r="L630" s="378"/>
      <c r="M630" s="378"/>
      <c r="N630" s="378"/>
      <c r="O630" s="378"/>
      <c r="P630" s="378"/>
    </row>
    <row r="631" spans="3:16" x14ac:dyDescent="0.3">
      <c r="C631" s="373"/>
      <c r="D631" s="374"/>
      <c r="E631" s="375"/>
      <c r="F631" s="376"/>
      <c r="G631" s="377"/>
      <c r="H631" s="377"/>
      <c r="I631" s="377"/>
      <c r="J631" s="376"/>
      <c r="K631" s="378"/>
      <c r="L631" s="378"/>
      <c r="M631" s="378"/>
      <c r="N631" s="378"/>
      <c r="O631" s="378"/>
      <c r="P631" s="378"/>
    </row>
    <row r="632" spans="3:16" x14ac:dyDescent="0.3">
      <c r="C632" s="373"/>
      <c r="D632" s="374"/>
      <c r="E632" s="375"/>
      <c r="F632" s="376"/>
      <c r="G632" s="377"/>
      <c r="H632" s="377"/>
      <c r="I632" s="377"/>
      <c r="J632" s="376"/>
      <c r="K632" s="378"/>
      <c r="L632" s="378"/>
      <c r="M632" s="378"/>
      <c r="N632" s="378"/>
      <c r="O632" s="378"/>
      <c r="P632" s="378"/>
    </row>
    <row r="633" spans="3:16" x14ac:dyDescent="0.3">
      <c r="C633" s="373"/>
      <c r="D633" s="374"/>
      <c r="E633" s="375"/>
      <c r="F633" s="376"/>
      <c r="G633" s="377"/>
      <c r="H633" s="377"/>
      <c r="I633" s="377"/>
      <c r="J633" s="376"/>
      <c r="K633" s="378"/>
      <c r="L633" s="378"/>
      <c r="M633" s="378"/>
      <c r="N633" s="378"/>
      <c r="O633" s="378"/>
      <c r="P633" s="378"/>
    </row>
    <row r="634" spans="3:16" x14ac:dyDescent="0.3">
      <c r="C634" s="373"/>
      <c r="D634" s="374"/>
      <c r="E634" s="375"/>
      <c r="F634" s="376"/>
      <c r="G634" s="377"/>
      <c r="H634" s="377"/>
      <c r="I634" s="377"/>
      <c r="J634" s="376"/>
      <c r="K634" s="378"/>
      <c r="L634" s="378"/>
      <c r="M634" s="378"/>
      <c r="N634" s="378"/>
      <c r="O634" s="378"/>
      <c r="P634" s="378"/>
    </row>
    <row r="635" spans="3:16" x14ac:dyDescent="0.3">
      <c r="C635" s="373"/>
      <c r="D635" s="374"/>
      <c r="E635" s="375"/>
      <c r="F635" s="376"/>
      <c r="G635" s="377"/>
      <c r="H635" s="377"/>
      <c r="I635" s="377"/>
      <c r="J635" s="376"/>
      <c r="K635" s="378"/>
      <c r="L635" s="378"/>
      <c r="M635" s="378"/>
      <c r="N635" s="378"/>
      <c r="O635" s="378"/>
      <c r="P635" s="378"/>
    </row>
    <row r="636" spans="3:16" x14ac:dyDescent="0.3">
      <c r="C636" s="373"/>
      <c r="D636" s="374"/>
      <c r="E636" s="375"/>
      <c r="F636" s="376"/>
      <c r="G636" s="377"/>
      <c r="H636" s="377"/>
      <c r="I636" s="377"/>
      <c r="J636" s="376"/>
      <c r="K636" s="378"/>
      <c r="L636" s="378"/>
      <c r="M636" s="378"/>
      <c r="N636" s="378"/>
      <c r="O636" s="378"/>
      <c r="P636" s="378"/>
    </row>
    <row r="637" spans="3:16" x14ac:dyDescent="0.3">
      <c r="C637" s="373"/>
      <c r="D637" s="374"/>
      <c r="E637" s="375"/>
      <c r="F637" s="376"/>
      <c r="G637" s="377"/>
      <c r="H637" s="377"/>
      <c r="I637" s="377"/>
      <c r="J637" s="376"/>
      <c r="K637" s="378"/>
      <c r="L637" s="378"/>
      <c r="M637" s="378"/>
      <c r="N637" s="378"/>
      <c r="O637" s="378"/>
      <c r="P637" s="378"/>
    </row>
    <row r="638" spans="3:16" x14ac:dyDescent="0.3">
      <c r="C638" s="373"/>
      <c r="D638" s="374"/>
      <c r="E638" s="375"/>
      <c r="F638" s="376"/>
      <c r="G638" s="377"/>
      <c r="H638" s="377"/>
      <c r="I638" s="377"/>
      <c r="J638" s="376"/>
      <c r="K638" s="378"/>
      <c r="L638" s="378"/>
      <c r="M638" s="378"/>
      <c r="N638" s="378"/>
      <c r="O638" s="378"/>
      <c r="P638" s="378"/>
    </row>
    <row r="639" spans="3:16" x14ac:dyDescent="0.3">
      <c r="C639" s="373"/>
      <c r="D639" s="374"/>
      <c r="E639" s="375"/>
      <c r="F639" s="376"/>
      <c r="G639" s="377"/>
      <c r="H639" s="377"/>
      <c r="I639" s="377"/>
      <c r="J639" s="376"/>
      <c r="K639" s="378"/>
      <c r="L639" s="378"/>
      <c r="M639" s="378"/>
      <c r="N639" s="378"/>
      <c r="O639" s="378"/>
      <c r="P639" s="378"/>
    </row>
    <row r="640" spans="3:16" x14ac:dyDescent="0.3">
      <c r="C640" s="379"/>
      <c r="D640" s="312"/>
      <c r="E640" s="380"/>
      <c r="F640" s="314"/>
      <c r="G640" s="315"/>
      <c r="H640" s="315"/>
      <c r="I640" s="315"/>
      <c r="J640" s="314"/>
      <c r="K640" s="316"/>
      <c r="L640" s="316"/>
      <c r="M640" s="316"/>
      <c r="N640" s="316"/>
      <c r="O640" s="316"/>
      <c r="P640" s="316"/>
    </row>
    <row r="641" spans="3:16" x14ac:dyDescent="0.3">
      <c r="C641" s="373"/>
      <c r="D641" s="374"/>
      <c r="E641" s="375"/>
      <c r="F641" s="376"/>
      <c r="G641" s="377"/>
      <c r="H641" s="377"/>
      <c r="I641" s="377"/>
      <c r="J641" s="376"/>
      <c r="K641" s="378"/>
      <c r="L641" s="378"/>
      <c r="M641" s="378"/>
      <c r="N641" s="378"/>
      <c r="O641" s="378"/>
      <c r="P641" s="378"/>
    </row>
    <row r="642" spans="3:16" x14ac:dyDescent="0.3">
      <c r="C642" s="373"/>
      <c r="D642" s="374"/>
      <c r="E642" s="375"/>
      <c r="F642" s="376"/>
      <c r="G642" s="377"/>
      <c r="H642" s="377"/>
      <c r="I642" s="377"/>
      <c r="J642" s="376"/>
      <c r="K642" s="378"/>
      <c r="L642" s="378"/>
      <c r="M642" s="378"/>
      <c r="N642" s="378"/>
      <c r="O642" s="378"/>
      <c r="P642" s="378"/>
    </row>
    <row r="643" spans="3:16" x14ac:dyDescent="0.3">
      <c r="C643" s="373"/>
      <c r="D643" s="374"/>
      <c r="E643" s="375"/>
      <c r="F643" s="376"/>
      <c r="G643" s="377"/>
      <c r="H643" s="377"/>
      <c r="I643" s="377"/>
      <c r="J643" s="376"/>
      <c r="K643" s="378"/>
      <c r="L643" s="378"/>
      <c r="M643" s="378"/>
      <c r="N643" s="378"/>
      <c r="O643" s="378"/>
      <c r="P643" s="378"/>
    </row>
    <row r="644" spans="3:16" x14ac:dyDescent="0.3">
      <c r="C644" s="373"/>
      <c r="D644" s="374"/>
      <c r="E644" s="375"/>
      <c r="F644" s="376"/>
      <c r="G644" s="377"/>
      <c r="H644" s="377"/>
      <c r="I644" s="377"/>
      <c r="J644" s="376"/>
      <c r="K644" s="378"/>
      <c r="L644" s="378"/>
      <c r="M644" s="378"/>
      <c r="N644" s="378"/>
      <c r="O644" s="378"/>
      <c r="P644" s="378"/>
    </row>
    <row r="645" spans="3:16" x14ac:dyDescent="0.3">
      <c r="C645" s="373"/>
      <c r="D645" s="374"/>
      <c r="E645" s="375"/>
      <c r="F645" s="376"/>
      <c r="G645" s="377"/>
      <c r="H645" s="377"/>
      <c r="I645" s="377"/>
      <c r="J645" s="376"/>
      <c r="K645" s="378"/>
      <c r="L645" s="378"/>
      <c r="M645" s="378"/>
      <c r="N645" s="378"/>
      <c r="O645" s="378"/>
      <c r="P645" s="378"/>
    </row>
    <row r="646" spans="3:16" x14ac:dyDescent="0.3">
      <c r="C646" s="373"/>
      <c r="D646" s="374"/>
      <c r="E646" s="375"/>
      <c r="F646" s="376"/>
      <c r="G646" s="377"/>
      <c r="H646" s="377"/>
      <c r="I646" s="377"/>
      <c r="J646" s="376"/>
      <c r="K646" s="378"/>
      <c r="L646" s="378"/>
      <c r="M646" s="378"/>
      <c r="N646" s="378"/>
      <c r="O646" s="378"/>
      <c r="P646" s="378"/>
    </row>
    <row r="647" spans="3:16" x14ac:dyDescent="0.3">
      <c r="C647" s="373"/>
      <c r="D647" s="374"/>
      <c r="E647" s="375"/>
      <c r="F647" s="376"/>
      <c r="G647" s="377"/>
      <c r="H647" s="377"/>
      <c r="I647" s="377"/>
      <c r="J647" s="376"/>
      <c r="K647" s="378"/>
      <c r="L647" s="378"/>
      <c r="M647" s="378"/>
      <c r="N647" s="378"/>
      <c r="O647" s="378"/>
      <c r="P647" s="378"/>
    </row>
    <row r="648" spans="3:16" x14ac:dyDescent="0.3">
      <c r="C648" s="373"/>
      <c r="D648" s="374"/>
      <c r="E648" s="375"/>
      <c r="F648" s="376"/>
      <c r="G648" s="377"/>
      <c r="H648" s="377"/>
      <c r="I648" s="377"/>
      <c r="J648" s="376"/>
      <c r="K648" s="378"/>
      <c r="L648" s="378"/>
      <c r="M648" s="378"/>
      <c r="N648" s="378"/>
      <c r="O648" s="378"/>
      <c r="P648" s="378"/>
    </row>
    <row r="649" spans="3:16" x14ac:dyDescent="0.3">
      <c r="C649" s="373"/>
      <c r="D649" s="374"/>
      <c r="E649" s="375"/>
      <c r="F649" s="376"/>
      <c r="G649" s="377"/>
      <c r="H649" s="377"/>
      <c r="I649" s="377"/>
      <c r="J649" s="376"/>
      <c r="K649" s="378"/>
      <c r="L649" s="378"/>
      <c r="M649" s="378"/>
      <c r="N649" s="378"/>
      <c r="O649" s="378"/>
      <c r="P649" s="378"/>
    </row>
    <row r="650" spans="3:16" x14ac:dyDescent="0.3">
      <c r="C650" s="373"/>
      <c r="D650" s="374"/>
      <c r="E650" s="375"/>
      <c r="F650" s="376"/>
      <c r="G650" s="377"/>
      <c r="H650" s="377"/>
      <c r="I650" s="377"/>
      <c r="J650" s="376"/>
      <c r="K650" s="378"/>
      <c r="L650" s="378"/>
      <c r="M650" s="378"/>
      <c r="N650" s="378"/>
      <c r="O650" s="378"/>
      <c r="P650" s="378"/>
    </row>
    <row r="651" spans="3:16" x14ac:dyDescent="0.3">
      <c r="C651" s="373"/>
      <c r="D651" s="374"/>
      <c r="E651" s="375"/>
      <c r="F651" s="376"/>
      <c r="G651" s="377"/>
      <c r="H651" s="377"/>
      <c r="I651" s="377"/>
      <c r="J651" s="376"/>
      <c r="K651" s="378"/>
      <c r="L651" s="378"/>
      <c r="M651" s="378"/>
      <c r="N651" s="378"/>
      <c r="O651" s="378"/>
      <c r="P651" s="378"/>
    </row>
    <row r="652" spans="3:16" x14ac:dyDescent="0.3">
      <c r="C652" s="373"/>
      <c r="D652" s="374"/>
      <c r="E652" s="375"/>
      <c r="F652" s="376"/>
      <c r="G652" s="377"/>
      <c r="H652" s="377"/>
      <c r="I652" s="377"/>
      <c r="J652" s="376"/>
      <c r="K652" s="378"/>
      <c r="L652" s="378"/>
      <c r="M652" s="378"/>
      <c r="N652" s="378"/>
      <c r="O652" s="378"/>
      <c r="P652" s="378"/>
    </row>
    <row r="653" spans="3:16" x14ac:dyDescent="0.3">
      <c r="C653" s="373"/>
      <c r="D653" s="374"/>
      <c r="E653" s="375"/>
      <c r="F653" s="376"/>
      <c r="G653" s="377"/>
      <c r="H653" s="377"/>
      <c r="I653" s="377"/>
      <c r="J653" s="376"/>
      <c r="K653" s="378"/>
      <c r="L653" s="378"/>
      <c r="M653" s="378"/>
      <c r="N653" s="378"/>
      <c r="O653" s="378"/>
      <c r="P653" s="378"/>
    </row>
    <row r="654" spans="3:16" x14ac:dyDescent="0.3">
      <c r="C654" s="373"/>
      <c r="D654" s="374"/>
      <c r="E654" s="375"/>
      <c r="F654" s="376"/>
      <c r="G654" s="377"/>
      <c r="H654" s="377"/>
      <c r="I654" s="377"/>
      <c r="J654" s="376"/>
      <c r="K654" s="378"/>
      <c r="L654" s="378"/>
      <c r="M654" s="378"/>
      <c r="N654" s="378"/>
      <c r="O654" s="378"/>
      <c r="P654" s="378"/>
    </row>
    <row r="655" spans="3:16" x14ac:dyDescent="0.3">
      <c r="C655" s="373"/>
      <c r="D655" s="374"/>
      <c r="E655" s="375"/>
      <c r="F655" s="376"/>
      <c r="G655" s="377"/>
      <c r="H655" s="377"/>
      <c r="I655" s="377"/>
      <c r="J655" s="376"/>
      <c r="K655" s="378"/>
      <c r="L655" s="378"/>
      <c r="M655" s="378"/>
      <c r="N655" s="378"/>
      <c r="O655" s="378"/>
      <c r="P655" s="378"/>
    </row>
    <row r="656" spans="3:16" x14ac:dyDescent="0.3">
      <c r="C656" s="373"/>
      <c r="D656" s="374"/>
      <c r="E656" s="375"/>
      <c r="F656" s="376"/>
      <c r="G656" s="377"/>
      <c r="H656" s="377"/>
      <c r="I656" s="377"/>
      <c r="J656" s="376"/>
      <c r="K656" s="378"/>
      <c r="L656" s="378"/>
      <c r="M656" s="378"/>
      <c r="N656" s="378"/>
      <c r="O656" s="378"/>
      <c r="P656" s="378"/>
    </row>
    <row r="657" spans="3:16" x14ac:dyDescent="0.3">
      <c r="C657" s="373"/>
      <c r="D657" s="374"/>
      <c r="E657" s="375"/>
      <c r="F657" s="376"/>
      <c r="G657" s="377"/>
      <c r="H657" s="377"/>
      <c r="I657" s="377"/>
      <c r="J657" s="376"/>
      <c r="K657" s="378"/>
      <c r="L657" s="378"/>
      <c r="M657" s="378"/>
      <c r="N657" s="378"/>
      <c r="O657" s="378"/>
      <c r="P657" s="378"/>
    </row>
    <row r="658" spans="3:16" x14ac:dyDescent="0.3">
      <c r="C658" s="373"/>
      <c r="D658" s="374"/>
      <c r="E658" s="375"/>
      <c r="F658" s="376"/>
      <c r="G658" s="377"/>
      <c r="H658" s="377"/>
      <c r="I658" s="377"/>
      <c r="J658" s="376"/>
      <c r="K658" s="378"/>
      <c r="L658" s="378"/>
      <c r="M658" s="378"/>
      <c r="N658" s="378"/>
      <c r="O658" s="378"/>
      <c r="P658" s="378"/>
    </row>
    <row r="659" spans="3:16" x14ac:dyDescent="0.3">
      <c r="C659" s="373"/>
      <c r="D659" s="374"/>
      <c r="E659" s="375"/>
      <c r="F659" s="376"/>
      <c r="G659" s="377"/>
      <c r="H659" s="377"/>
      <c r="I659" s="377"/>
      <c r="J659" s="376"/>
      <c r="K659" s="378"/>
      <c r="L659" s="378"/>
      <c r="M659" s="378"/>
      <c r="N659" s="378"/>
      <c r="O659" s="378"/>
      <c r="P659" s="378"/>
    </row>
    <row r="660" spans="3:16" x14ac:dyDescent="0.3">
      <c r="C660" s="373"/>
      <c r="D660" s="374"/>
      <c r="E660" s="375"/>
      <c r="F660" s="376"/>
      <c r="G660" s="377"/>
      <c r="H660" s="377"/>
      <c r="I660" s="377"/>
      <c r="J660" s="376"/>
      <c r="K660" s="378"/>
      <c r="L660" s="378"/>
      <c r="M660" s="378"/>
      <c r="N660" s="378"/>
      <c r="O660" s="378"/>
      <c r="P660" s="378"/>
    </row>
    <row r="661" spans="3:16" x14ac:dyDescent="0.3">
      <c r="C661" s="373"/>
      <c r="D661" s="374"/>
      <c r="E661" s="375"/>
      <c r="F661" s="376"/>
      <c r="G661" s="377"/>
      <c r="H661" s="377"/>
      <c r="I661" s="377"/>
      <c r="J661" s="376"/>
      <c r="K661" s="378"/>
      <c r="L661" s="378"/>
      <c r="M661" s="378"/>
      <c r="N661" s="378"/>
      <c r="O661" s="378"/>
      <c r="P661" s="378"/>
    </row>
    <row r="662" spans="3:16" x14ac:dyDescent="0.3">
      <c r="C662" s="373"/>
      <c r="D662" s="374"/>
      <c r="E662" s="375"/>
      <c r="F662" s="376"/>
      <c r="G662" s="377"/>
      <c r="H662" s="377"/>
      <c r="I662" s="377"/>
      <c r="J662" s="376"/>
      <c r="K662" s="378"/>
      <c r="L662" s="378"/>
      <c r="M662" s="378"/>
      <c r="N662" s="378"/>
      <c r="O662" s="378"/>
      <c r="P662" s="378"/>
    </row>
    <row r="663" spans="3:16" x14ac:dyDescent="0.3">
      <c r="C663" s="373"/>
      <c r="D663" s="374"/>
      <c r="E663" s="375"/>
      <c r="F663" s="376"/>
      <c r="G663" s="377"/>
      <c r="H663" s="377"/>
      <c r="I663" s="377"/>
      <c r="J663" s="376"/>
      <c r="K663" s="378"/>
      <c r="L663" s="378"/>
      <c r="M663" s="378"/>
      <c r="N663" s="378"/>
      <c r="O663" s="378"/>
      <c r="P663" s="378"/>
    </row>
    <row r="664" spans="3:16" x14ac:dyDescent="0.3">
      <c r="C664" s="373"/>
      <c r="D664" s="374"/>
      <c r="E664" s="375"/>
      <c r="F664" s="376"/>
      <c r="G664" s="377"/>
      <c r="H664" s="377"/>
      <c r="I664" s="377"/>
      <c r="J664" s="376"/>
      <c r="K664" s="378"/>
      <c r="L664" s="378"/>
      <c r="M664" s="378"/>
      <c r="N664" s="378"/>
      <c r="O664" s="378"/>
      <c r="P664" s="378"/>
    </row>
    <row r="665" spans="3:16" x14ac:dyDescent="0.3">
      <c r="C665" s="373"/>
      <c r="D665" s="374"/>
      <c r="E665" s="375"/>
      <c r="F665" s="376"/>
      <c r="G665" s="377"/>
      <c r="H665" s="377"/>
      <c r="I665" s="377"/>
      <c r="J665" s="376"/>
      <c r="K665" s="378"/>
      <c r="L665" s="378"/>
      <c r="M665" s="378"/>
      <c r="N665" s="378"/>
      <c r="O665" s="378"/>
      <c r="P665" s="378"/>
    </row>
    <row r="666" spans="3:16" x14ac:dyDescent="0.3">
      <c r="C666" s="373"/>
      <c r="D666" s="374"/>
      <c r="E666" s="375"/>
      <c r="F666" s="376"/>
      <c r="G666" s="377"/>
      <c r="H666" s="377"/>
      <c r="I666" s="377"/>
      <c r="J666" s="376"/>
      <c r="K666" s="378"/>
      <c r="L666" s="378"/>
      <c r="M666" s="378"/>
      <c r="N666" s="378"/>
      <c r="O666" s="378"/>
      <c r="P666" s="378"/>
    </row>
    <row r="667" spans="3:16" x14ac:dyDescent="0.3">
      <c r="C667" s="373"/>
      <c r="D667" s="374"/>
      <c r="E667" s="375"/>
      <c r="F667" s="376"/>
      <c r="G667" s="377"/>
      <c r="H667" s="377"/>
      <c r="I667" s="377"/>
      <c r="J667" s="376"/>
      <c r="K667" s="378"/>
      <c r="L667" s="378"/>
      <c r="M667" s="378"/>
      <c r="N667" s="378"/>
      <c r="O667" s="378"/>
      <c r="P667" s="378"/>
    </row>
    <row r="668" spans="3:16" x14ac:dyDescent="0.3">
      <c r="C668" s="373"/>
      <c r="D668" s="374"/>
      <c r="E668" s="375"/>
      <c r="F668" s="376"/>
      <c r="G668" s="377"/>
      <c r="H668" s="377"/>
      <c r="I668" s="377"/>
      <c r="J668" s="376"/>
      <c r="K668" s="378"/>
      <c r="L668" s="378"/>
      <c r="M668" s="378"/>
      <c r="N668" s="378"/>
      <c r="O668" s="378"/>
      <c r="P668" s="378"/>
    </row>
    <row r="669" spans="3:16" x14ac:dyDescent="0.3">
      <c r="C669" s="373"/>
      <c r="D669" s="374"/>
      <c r="E669" s="375"/>
      <c r="F669" s="376"/>
      <c r="G669" s="377"/>
      <c r="H669" s="377"/>
      <c r="I669" s="377"/>
      <c r="J669" s="376"/>
      <c r="K669" s="378"/>
      <c r="L669" s="378"/>
      <c r="M669" s="378"/>
      <c r="N669" s="378"/>
      <c r="O669" s="378"/>
      <c r="P669" s="378"/>
    </row>
    <row r="670" spans="3:16" x14ac:dyDescent="0.3">
      <c r="C670" s="373"/>
      <c r="D670" s="374"/>
      <c r="E670" s="375"/>
      <c r="F670" s="376"/>
      <c r="G670" s="377"/>
      <c r="H670" s="377"/>
      <c r="I670" s="377"/>
      <c r="J670" s="376"/>
      <c r="K670" s="378"/>
      <c r="L670" s="378"/>
      <c r="M670" s="378"/>
      <c r="N670" s="378"/>
      <c r="O670" s="378"/>
      <c r="P670" s="378"/>
    </row>
    <row r="671" spans="3:16" x14ac:dyDescent="0.3">
      <c r="C671" s="373"/>
      <c r="D671" s="374"/>
      <c r="E671" s="375"/>
      <c r="F671" s="376"/>
      <c r="G671" s="377"/>
      <c r="H671" s="377"/>
      <c r="I671" s="377"/>
      <c r="J671" s="376"/>
      <c r="K671" s="378"/>
      <c r="L671" s="378"/>
      <c r="M671" s="378"/>
      <c r="N671" s="378"/>
      <c r="O671" s="378"/>
      <c r="P671" s="378"/>
    </row>
    <row r="672" spans="3:16" x14ac:dyDescent="0.3">
      <c r="C672" s="373"/>
      <c r="D672" s="374"/>
      <c r="E672" s="375"/>
      <c r="F672" s="376"/>
      <c r="G672" s="377"/>
      <c r="H672" s="377"/>
      <c r="I672" s="377"/>
      <c r="J672" s="376"/>
      <c r="K672" s="378"/>
      <c r="L672" s="378"/>
      <c r="M672" s="378"/>
      <c r="N672" s="378"/>
      <c r="O672" s="378"/>
      <c r="P672" s="378"/>
    </row>
    <row r="673" spans="3:16" x14ac:dyDescent="0.3">
      <c r="C673" s="373"/>
      <c r="D673" s="374"/>
      <c r="E673" s="375"/>
      <c r="F673" s="376"/>
      <c r="G673" s="377"/>
      <c r="H673" s="377"/>
      <c r="I673" s="377"/>
      <c r="J673" s="376"/>
      <c r="K673" s="378"/>
      <c r="L673" s="378"/>
      <c r="M673" s="378"/>
      <c r="N673" s="378"/>
      <c r="O673" s="378"/>
      <c r="P673" s="378"/>
    </row>
    <row r="674" spans="3:16" x14ac:dyDescent="0.3">
      <c r="C674" s="373"/>
      <c r="D674" s="374"/>
      <c r="E674" s="375"/>
      <c r="F674" s="376"/>
      <c r="G674" s="377"/>
      <c r="H674" s="377"/>
      <c r="I674" s="377"/>
      <c r="J674" s="376"/>
      <c r="K674" s="378"/>
      <c r="L674" s="378"/>
      <c r="M674" s="378"/>
      <c r="N674" s="378"/>
      <c r="O674" s="378"/>
      <c r="P674" s="378"/>
    </row>
    <row r="675" spans="3:16" x14ac:dyDescent="0.3">
      <c r="C675" s="373"/>
      <c r="D675" s="374"/>
      <c r="E675" s="375"/>
      <c r="F675" s="376"/>
      <c r="G675" s="377"/>
      <c r="H675" s="377"/>
      <c r="I675" s="377"/>
      <c r="J675" s="376"/>
      <c r="K675" s="378"/>
      <c r="L675" s="378"/>
      <c r="M675" s="378"/>
      <c r="N675" s="378"/>
      <c r="O675" s="378"/>
      <c r="P675" s="378"/>
    </row>
    <row r="676" spans="3:16" x14ac:dyDescent="0.3">
      <c r="C676" s="373"/>
      <c r="D676" s="374"/>
      <c r="E676" s="375"/>
      <c r="F676" s="376"/>
      <c r="G676" s="377"/>
      <c r="H676" s="377"/>
      <c r="I676" s="377"/>
      <c r="J676" s="376"/>
      <c r="K676" s="378"/>
      <c r="L676" s="378"/>
      <c r="M676" s="378"/>
      <c r="N676" s="378"/>
      <c r="O676" s="378"/>
      <c r="P676" s="378"/>
    </row>
    <row r="677" spans="3:16" x14ac:dyDescent="0.3">
      <c r="C677" s="373"/>
      <c r="D677" s="374"/>
      <c r="E677" s="375"/>
      <c r="F677" s="376"/>
      <c r="G677" s="377"/>
      <c r="H677" s="377"/>
      <c r="I677" s="377"/>
      <c r="J677" s="376"/>
      <c r="K677" s="378"/>
      <c r="L677" s="378"/>
      <c r="M677" s="378"/>
      <c r="N677" s="378"/>
      <c r="O677" s="378"/>
      <c r="P677" s="378"/>
    </row>
    <row r="678" spans="3:16" x14ac:dyDescent="0.3">
      <c r="C678" s="373"/>
      <c r="D678" s="374"/>
      <c r="E678" s="375"/>
      <c r="F678" s="376"/>
      <c r="G678" s="377"/>
      <c r="H678" s="377"/>
      <c r="I678" s="377"/>
      <c r="J678" s="376"/>
      <c r="K678" s="378"/>
      <c r="L678" s="378"/>
      <c r="M678" s="378"/>
      <c r="N678" s="378"/>
      <c r="O678" s="378"/>
      <c r="P678" s="378"/>
    </row>
    <row r="679" spans="3:16" x14ac:dyDescent="0.3">
      <c r="C679" s="373"/>
      <c r="D679" s="374"/>
      <c r="E679" s="375"/>
      <c r="F679" s="376"/>
      <c r="G679" s="377"/>
      <c r="H679" s="377"/>
      <c r="I679" s="377"/>
      <c r="J679" s="376"/>
      <c r="K679" s="378"/>
      <c r="L679" s="378"/>
      <c r="M679" s="378"/>
      <c r="N679" s="378"/>
      <c r="O679" s="378"/>
      <c r="P679" s="378"/>
    </row>
    <row r="680" spans="3:16" x14ac:dyDescent="0.3">
      <c r="C680" s="373"/>
      <c r="D680" s="374"/>
      <c r="E680" s="375"/>
      <c r="F680" s="376"/>
      <c r="G680" s="377"/>
      <c r="H680" s="377"/>
      <c r="I680" s="377"/>
      <c r="J680" s="376"/>
      <c r="K680" s="378"/>
      <c r="L680" s="378"/>
      <c r="M680" s="378"/>
      <c r="N680" s="378"/>
      <c r="O680" s="378"/>
      <c r="P680" s="378"/>
    </row>
    <row r="681" spans="3:16" x14ac:dyDescent="0.3">
      <c r="C681" s="373"/>
      <c r="D681" s="374"/>
      <c r="E681" s="375"/>
      <c r="F681" s="376"/>
      <c r="G681" s="377"/>
      <c r="H681" s="377"/>
      <c r="I681" s="377"/>
      <c r="J681" s="376"/>
      <c r="K681" s="378"/>
      <c r="L681" s="378"/>
      <c r="M681" s="378"/>
      <c r="N681" s="378"/>
      <c r="O681" s="378"/>
      <c r="P681" s="378"/>
    </row>
    <row r="682" spans="3:16" x14ac:dyDescent="0.3">
      <c r="C682" s="373"/>
      <c r="D682" s="374"/>
      <c r="E682" s="375"/>
      <c r="F682" s="376"/>
      <c r="G682" s="377"/>
      <c r="H682" s="377"/>
      <c r="I682" s="377"/>
      <c r="J682" s="376"/>
      <c r="K682" s="378"/>
      <c r="L682" s="378"/>
      <c r="M682" s="378"/>
      <c r="N682" s="378"/>
      <c r="O682" s="378"/>
      <c r="P682" s="378"/>
    </row>
    <row r="683" spans="3:16" x14ac:dyDescent="0.3">
      <c r="C683" s="373"/>
      <c r="D683" s="374"/>
      <c r="E683" s="375"/>
      <c r="F683" s="376"/>
      <c r="G683" s="377"/>
      <c r="H683" s="377"/>
      <c r="I683" s="377"/>
      <c r="J683" s="376"/>
      <c r="K683" s="378"/>
      <c r="L683" s="378"/>
      <c r="M683" s="378"/>
      <c r="N683" s="378"/>
      <c r="O683" s="378"/>
      <c r="P683" s="378"/>
    </row>
    <row r="684" spans="3:16" x14ac:dyDescent="0.3">
      <c r="C684" s="373"/>
      <c r="D684" s="374"/>
      <c r="E684" s="375"/>
      <c r="F684" s="376"/>
      <c r="G684" s="377"/>
      <c r="H684" s="377"/>
      <c r="I684" s="377"/>
      <c r="J684" s="376"/>
      <c r="K684" s="378"/>
      <c r="L684" s="378"/>
      <c r="M684" s="378"/>
      <c r="N684" s="378"/>
      <c r="O684" s="378"/>
      <c r="P684" s="378"/>
    </row>
    <row r="685" spans="3:16" x14ac:dyDescent="0.3">
      <c r="C685" s="373"/>
      <c r="D685" s="374"/>
      <c r="E685" s="375"/>
      <c r="F685" s="376"/>
      <c r="G685" s="377"/>
      <c r="H685" s="377"/>
      <c r="I685" s="377"/>
      <c r="J685" s="376"/>
      <c r="K685" s="378"/>
      <c r="L685" s="378"/>
      <c r="M685" s="378"/>
      <c r="N685" s="378"/>
      <c r="O685" s="378"/>
      <c r="P685" s="378"/>
    </row>
    <row r="686" spans="3:16" x14ac:dyDescent="0.3">
      <c r="C686" s="373"/>
      <c r="D686" s="374"/>
      <c r="E686" s="375"/>
      <c r="F686" s="376"/>
      <c r="G686" s="377"/>
      <c r="H686" s="377"/>
      <c r="I686" s="377"/>
      <c r="J686" s="376"/>
      <c r="K686" s="378"/>
      <c r="L686" s="378"/>
      <c r="M686" s="378"/>
      <c r="N686" s="378"/>
      <c r="O686" s="378"/>
      <c r="P686" s="378"/>
    </row>
    <row r="687" spans="3:16" x14ac:dyDescent="0.3">
      <c r="C687" s="373"/>
      <c r="D687" s="374"/>
      <c r="E687" s="375"/>
      <c r="F687" s="376"/>
      <c r="G687" s="377"/>
      <c r="H687" s="377"/>
      <c r="I687" s="377"/>
      <c r="J687" s="376"/>
      <c r="K687" s="378"/>
      <c r="L687" s="378"/>
      <c r="M687" s="378"/>
      <c r="N687" s="378"/>
      <c r="O687" s="378"/>
      <c r="P687" s="378"/>
    </row>
    <row r="688" spans="3:16" x14ac:dyDescent="0.3">
      <c r="C688" s="379"/>
      <c r="D688" s="312"/>
      <c r="E688" s="380"/>
      <c r="F688" s="314"/>
      <c r="G688" s="315"/>
      <c r="H688" s="315"/>
      <c r="I688" s="315"/>
      <c r="J688" s="314"/>
      <c r="K688" s="316"/>
      <c r="L688" s="316"/>
      <c r="M688" s="316"/>
      <c r="N688" s="316"/>
      <c r="O688" s="316"/>
      <c r="P688" s="316"/>
    </row>
    <row r="689" spans="3:16" x14ac:dyDescent="0.3">
      <c r="C689" s="373"/>
      <c r="D689" s="374"/>
      <c r="E689" s="375"/>
      <c r="F689" s="376"/>
      <c r="G689" s="377"/>
      <c r="H689" s="377"/>
      <c r="I689" s="377"/>
      <c r="J689" s="376"/>
      <c r="K689" s="378"/>
      <c r="L689" s="378"/>
      <c r="M689" s="378"/>
      <c r="N689" s="378"/>
      <c r="O689" s="378"/>
      <c r="P689" s="378"/>
    </row>
    <row r="690" spans="3:16" x14ac:dyDescent="0.3">
      <c r="C690" s="373"/>
      <c r="D690" s="374"/>
      <c r="E690" s="375"/>
      <c r="F690" s="376"/>
      <c r="G690" s="377"/>
      <c r="H690" s="377"/>
      <c r="I690" s="377"/>
      <c r="J690" s="376"/>
      <c r="K690" s="378"/>
      <c r="L690" s="378"/>
      <c r="M690" s="378"/>
      <c r="N690" s="378"/>
      <c r="O690" s="378"/>
      <c r="P690" s="378"/>
    </row>
    <row r="691" spans="3:16" x14ac:dyDescent="0.3">
      <c r="C691" s="373"/>
      <c r="D691" s="374"/>
      <c r="E691" s="375"/>
      <c r="F691" s="376"/>
      <c r="G691" s="377"/>
      <c r="H691" s="377"/>
      <c r="I691" s="377"/>
      <c r="J691" s="376"/>
      <c r="K691" s="378"/>
      <c r="L691" s="378"/>
      <c r="M691" s="378"/>
      <c r="N691" s="378"/>
      <c r="O691" s="378"/>
      <c r="P691" s="378"/>
    </row>
    <row r="692" spans="3:16" x14ac:dyDescent="0.3">
      <c r="C692" s="373"/>
      <c r="D692" s="374"/>
      <c r="E692" s="375"/>
      <c r="F692" s="376"/>
      <c r="G692" s="377"/>
      <c r="H692" s="377"/>
      <c r="I692" s="377"/>
      <c r="J692" s="376"/>
      <c r="K692" s="378"/>
      <c r="L692" s="378"/>
      <c r="M692" s="378"/>
      <c r="N692" s="378"/>
      <c r="O692" s="378"/>
      <c r="P692" s="378"/>
    </row>
    <row r="693" spans="3:16" x14ac:dyDescent="0.3">
      <c r="C693" s="373"/>
      <c r="D693" s="374"/>
      <c r="E693" s="375"/>
      <c r="F693" s="376"/>
      <c r="G693" s="377"/>
      <c r="H693" s="377"/>
      <c r="I693" s="377"/>
      <c r="J693" s="376"/>
      <c r="K693" s="378"/>
      <c r="L693" s="378"/>
      <c r="M693" s="378"/>
      <c r="N693" s="378"/>
      <c r="O693" s="378"/>
      <c r="P693" s="378"/>
    </row>
    <row r="694" spans="3:16" x14ac:dyDescent="0.3">
      <c r="C694" s="373"/>
      <c r="D694" s="374"/>
      <c r="E694" s="375"/>
      <c r="F694" s="376"/>
      <c r="G694" s="377"/>
      <c r="H694" s="377"/>
      <c r="I694" s="377"/>
      <c r="J694" s="376"/>
      <c r="K694" s="378"/>
      <c r="L694" s="378"/>
      <c r="M694" s="378"/>
      <c r="N694" s="378"/>
      <c r="O694" s="378"/>
      <c r="P694" s="378"/>
    </row>
    <row r="695" spans="3:16" x14ac:dyDescent="0.3">
      <c r="C695" s="373"/>
      <c r="D695" s="374"/>
      <c r="E695" s="375"/>
      <c r="F695" s="376"/>
      <c r="G695" s="377"/>
      <c r="H695" s="377"/>
      <c r="I695" s="377"/>
      <c r="J695" s="376"/>
      <c r="K695" s="378"/>
      <c r="L695" s="378"/>
      <c r="M695" s="378"/>
      <c r="N695" s="378"/>
      <c r="O695" s="378"/>
      <c r="P695" s="378"/>
    </row>
    <row r="696" spans="3:16" x14ac:dyDescent="0.3">
      <c r="C696" s="373"/>
      <c r="D696" s="374"/>
      <c r="E696" s="375"/>
      <c r="F696" s="376"/>
      <c r="G696" s="377"/>
      <c r="H696" s="377"/>
      <c r="I696" s="377"/>
      <c r="J696" s="376"/>
      <c r="K696" s="378"/>
      <c r="L696" s="378"/>
      <c r="M696" s="378"/>
      <c r="N696" s="378"/>
      <c r="O696" s="378"/>
      <c r="P696" s="378"/>
    </row>
    <row r="697" spans="3:16" x14ac:dyDescent="0.3">
      <c r="C697" s="373"/>
      <c r="D697" s="374"/>
      <c r="E697" s="375"/>
      <c r="F697" s="376"/>
      <c r="G697" s="377"/>
      <c r="H697" s="377"/>
      <c r="I697" s="377"/>
      <c r="J697" s="376"/>
      <c r="K697" s="378"/>
      <c r="L697" s="378"/>
      <c r="M697" s="378"/>
      <c r="N697" s="378"/>
      <c r="O697" s="378"/>
      <c r="P697" s="378"/>
    </row>
    <row r="698" spans="3:16" x14ac:dyDescent="0.3">
      <c r="C698" s="373"/>
      <c r="D698" s="374"/>
      <c r="E698" s="375"/>
      <c r="F698" s="376"/>
      <c r="G698" s="377"/>
      <c r="H698" s="377"/>
      <c r="I698" s="377"/>
      <c r="J698" s="376"/>
      <c r="K698" s="378"/>
      <c r="L698" s="378"/>
      <c r="M698" s="378"/>
      <c r="N698" s="378"/>
      <c r="O698" s="378"/>
      <c r="P698" s="378"/>
    </row>
    <row r="699" spans="3:16" x14ac:dyDescent="0.3">
      <c r="C699" s="373"/>
      <c r="D699" s="374"/>
      <c r="E699" s="375"/>
      <c r="F699" s="376"/>
      <c r="G699" s="377"/>
      <c r="H699" s="377"/>
      <c r="I699" s="377"/>
      <c r="J699" s="376"/>
      <c r="K699" s="378"/>
      <c r="L699" s="378"/>
      <c r="M699" s="378"/>
      <c r="N699" s="378"/>
      <c r="O699" s="378"/>
      <c r="P699" s="378"/>
    </row>
    <row r="700" spans="3:16" x14ac:dyDescent="0.3">
      <c r="C700" s="373"/>
      <c r="D700" s="374"/>
      <c r="E700" s="375"/>
      <c r="F700" s="376"/>
      <c r="G700" s="377"/>
      <c r="H700" s="377"/>
      <c r="I700" s="377"/>
      <c r="J700" s="376"/>
      <c r="K700" s="378"/>
      <c r="L700" s="378"/>
      <c r="M700" s="378"/>
      <c r="N700" s="378"/>
      <c r="O700" s="378"/>
      <c r="P700" s="378"/>
    </row>
    <row r="701" spans="3:16" x14ac:dyDescent="0.3">
      <c r="C701" s="373"/>
      <c r="D701" s="374"/>
      <c r="E701" s="375"/>
      <c r="F701" s="376"/>
      <c r="G701" s="377"/>
      <c r="H701" s="377"/>
      <c r="I701" s="377"/>
      <c r="J701" s="376"/>
      <c r="K701" s="378"/>
      <c r="L701" s="378"/>
      <c r="M701" s="378"/>
      <c r="N701" s="378"/>
      <c r="O701" s="378"/>
      <c r="P701" s="378"/>
    </row>
    <row r="702" spans="3:16" x14ac:dyDescent="0.3">
      <c r="C702" s="373"/>
      <c r="D702" s="374"/>
      <c r="E702" s="375"/>
      <c r="F702" s="376"/>
      <c r="G702" s="377"/>
      <c r="H702" s="377"/>
      <c r="I702" s="377"/>
      <c r="J702" s="376"/>
      <c r="K702" s="378"/>
      <c r="L702" s="378"/>
      <c r="M702" s="378"/>
      <c r="N702" s="378"/>
      <c r="O702" s="378"/>
      <c r="P702" s="378"/>
    </row>
    <row r="703" spans="3:16" x14ac:dyDescent="0.3">
      <c r="C703" s="373"/>
      <c r="D703" s="374"/>
      <c r="E703" s="375"/>
      <c r="F703" s="376"/>
      <c r="G703" s="377"/>
      <c r="H703" s="377"/>
      <c r="I703" s="377"/>
      <c r="J703" s="376"/>
      <c r="K703" s="378"/>
      <c r="L703" s="378"/>
      <c r="M703" s="378"/>
      <c r="N703" s="378"/>
      <c r="O703" s="378"/>
      <c r="P703" s="378"/>
    </row>
    <row r="704" spans="3:16" x14ac:dyDescent="0.3">
      <c r="C704" s="373"/>
      <c r="D704" s="374"/>
      <c r="E704" s="375"/>
      <c r="F704" s="376"/>
      <c r="G704" s="377"/>
      <c r="H704" s="377"/>
      <c r="I704" s="377"/>
      <c r="J704" s="376"/>
      <c r="K704" s="378"/>
      <c r="L704" s="378"/>
      <c r="M704" s="378"/>
      <c r="N704" s="378"/>
      <c r="O704" s="378"/>
      <c r="P704" s="378"/>
    </row>
    <row r="705" spans="3:16" x14ac:dyDescent="0.3">
      <c r="C705" s="373"/>
      <c r="D705" s="374"/>
      <c r="E705" s="375"/>
      <c r="F705" s="376"/>
      <c r="G705" s="377"/>
      <c r="H705" s="377"/>
      <c r="I705" s="377"/>
      <c r="J705" s="376"/>
      <c r="K705" s="378"/>
      <c r="L705" s="378"/>
      <c r="M705" s="378"/>
      <c r="N705" s="378"/>
      <c r="O705" s="378"/>
      <c r="P705" s="378"/>
    </row>
    <row r="706" spans="3:16" x14ac:dyDescent="0.3">
      <c r="C706" s="373"/>
      <c r="D706" s="374"/>
      <c r="E706" s="375"/>
      <c r="F706" s="376"/>
      <c r="G706" s="377"/>
      <c r="H706" s="377"/>
      <c r="I706" s="377"/>
      <c r="J706" s="376"/>
      <c r="K706" s="378"/>
      <c r="L706" s="378"/>
      <c r="M706" s="378"/>
      <c r="N706" s="378"/>
      <c r="O706" s="378"/>
      <c r="P706" s="378"/>
    </row>
    <row r="707" spans="3:16" x14ac:dyDescent="0.3">
      <c r="C707" s="373"/>
      <c r="D707" s="374"/>
      <c r="E707" s="375"/>
      <c r="F707" s="376"/>
      <c r="G707" s="377"/>
      <c r="H707" s="377"/>
      <c r="I707" s="377"/>
      <c r="J707" s="376"/>
      <c r="K707" s="378"/>
      <c r="L707" s="378"/>
      <c r="M707" s="378"/>
      <c r="N707" s="378"/>
      <c r="O707" s="378"/>
      <c r="P707" s="378"/>
    </row>
    <row r="708" spans="3:16" x14ac:dyDescent="0.3">
      <c r="C708" s="373"/>
      <c r="D708" s="374"/>
      <c r="E708" s="375"/>
      <c r="F708" s="376"/>
      <c r="G708" s="377"/>
      <c r="H708" s="377"/>
      <c r="I708" s="377"/>
      <c r="J708" s="376"/>
      <c r="K708" s="378"/>
      <c r="L708" s="378"/>
      <c r="M708" s="378"/>
      <c r="N708" s="378"/>
      <c r="O708" s="378"/>
      <c r="P708" s="378"/>
    </row>
    <row r="709" spans="3:16" x14ac:dyDescent="0.3">
      <c r="C709" s="373"/>
      <c r="D709" s="374"/>
      <c r="E709" s="375"/>
      <c r="F709" s="376"/>
      <c r="G709" s="377"/>
      <c r="H709" s="377"/>
      <c r="I709" s="377"/>
      <c r="J709" s="376"/>
      <c r="K709" s="378"/>
      <c r="L709" s="378"/>
      <c r="M709" s="378"/>
      <c r="N709" s="378"/>
      <c r="O709" s="378"/>
      <c r="P709" s="378"/>
    </row>
    <row r="710" spans="3:16" x14ac:dyDescent="0.3">
      <c r="C710" s="373"/>
      <c r="D710" s="374"/>
      <c r="E710" s="375"/>
      <c r="F710" s="376"/>
      <c r="G710" s="377"/>
      <c r="H710" s="377"/>
      <c r="I710" s="377"/>
      <c r="J710" s="376"/>
      <c r="K710" s="378"/>
      <c r="L710" s="378"/>
      <c r="M710" s="378"/>
      <c r="N710" s="378"/>
      <c r="O710" s="378"/>
      <c r="P710" s="378"/>
    </row>
    <row r="711" spans="3:16" x14ac:dyDescent="0.3">
      <c r="C711" s="373"/>
      <c r="D711" s="374"/>
      <c r="E711" s="375"/>
      <c r="F711" s="376"/>
      <c r="G711" s="377"/>
      <c r="H711" s="377"/>
      <c r="I711" s="377"/>
      <c r="J711" s="376"/>
      <c r="K711" s="378"/>
      <c r="L711" s="378"/>
      <c r="M711" s="378"/>
      <c r="N711" s="378"/>
      <c r="O711" s="378"/>
      <c r="P711" s="378"/>
    </row>
    <row r="712" spans="3:16" x14ac:dyDescent="0.3">
      <c r="C712" s="373"/>
      <c r="D712" s="374"/>
      <c r="E712" s="375"/>
      <c r="F712" s="376"/>
      <c r="G712" s="377"/>
      <c r="H712" s="377"/>
      <c r="I712" s="377"/>
      <c r="J712" s="376"/>
      <c r="K712" s="378"/>
      <c r="L712" s="378"/>
      <c r="M712" s="378"/>
      <c r="N712" s="378"/>
      <c r="O712" s="378"/>
      <c r="P712" s="378"/>
    </row>
    <row r="713" spans="3:16" x14ac:dyDescent="0.3">
      <c r="C713" s="373"/>
      <c r="D713" s="374"/>
      <c r="E713" s="375"/>
      <c r="F713" s="376"/>
      <c r="G713" s="377"/>
      <c r="H713" s="377"/>
      <c r="I713" s="377"/>
      <c r="J713" s="376"/>
      <c r="K713" s="378"/>
      <c r="L713" s="378"/>
      <c r="M713" s="378"/>
      <c r="N713" s="378"/>
      <c r="O713" s="378"/>
      <c r="P713" s="378"/>
    </row>
    <row r="714" spans="3:16" x14ac:dyDescent="0.3">
      <c r="C714" s="373"/>
      <c r="D714" s="374"/>
      <c r="E714" s="375"/>
      <c r="F714" s="376"/>
      <c r="G714" s="377"/>
      <c r="H714" s="377"/>
      <c r="I714" s="377"/>
      <c r="J714" s="376"/>
      <c r="K714" s="378"/>
      <c r="L714" s="378"/>
      <c r="M714" s="378"/>
      <c r="N714" s="378"/>
      <c r="O714" s="378"/>
      <c r="P714" s="378"/>
    </row>
    <row r="715" spans="3:16" x14ac:dyDescent="0.3">
      <c r="C715" s="373"/>
      <c r="D715" s="374"/>
      <c r="E715" s="375"/>
      <c r="F715" s="376"/>
      <c r="G715" s="377"/>
      <c r="H715" s="377"/>
      <c r="I715" s="377"/>
      <c r="J715" s="376"/>
      <c r="K715" s="378"/>
      <c r="L715" s="378"/>
      <c r="M715" s="378"/>
      <c r="N715" s="378"/>
      <c r="O715" s="378"/>
      <c r="P715" s="378"/>
    </row>
    <row r="716" spans="3:16" x14ac:dyDescent="0.3">
      <c r="C716" s="373"/>
      <c r="D716" s="374"/>
      <c r="E716" s="375"/>
      <c r="F716" s="376"/>
      <c r="G716" s="377"/>
      <c r="H716" s="377"/>
      <c r="I716" s="377"/>
      <c r="J716" s="376"/>
      <c r="K716" s="378"/>
      <c r="L716" s="378"/>
      <c r="M716" s="378"/>
      <c r="N716" s="378"/>
      <c r="O716" s="378"/>
      <c r="P716" s="378"/>
    </row>
    <row r="717" spans="3:16" x14ac:dyDescent="0.3">
      <c r="C717" s="373"/>
      <c r="D717" s="374"/>
      <c r="E717" s="375"/>
      <c r="F717" s="376"/>
      <c r="G717" s="377"/>
      <c r="H717" s="377"/>
      <c r="I717" s="377"/>
      <c r="J717" s="376"/>
      <c r="K717" s="378"/>
      <c r="L717" s="378"/>
      <c r="M717" s="378"/>
      <c r="N717" s="378"/>
      <c r="O717" s="378"/>
      <c r="P717" s="378"/>
    </row>
    <row r="718" spans="3:16" x14ac:dyDescent="0.3">
      <c r="C718" s="373"/>
      <c r="D718" s="374"/>
      <c r="E718" s="375"/>
      <c r="F718" s="376"/>
      <c r="G718" s="377"/>
      <c r="H718" s="377"/>
      <c r="I718" s="377"/>
      <c r="J718" s="376"/>
      <c r="K718" s="378"/>
      <c r="L718" s="378"/>
      <c r="M718" s="378"/>
      <c r="N718" s="378"/>
      <c r="O718" s="378"/>
      <c r="P718" s="378"/>
    </row>
    <row r="719" spans="3:16" x14ac:dyDescent="0.3">
      <c r="C719" s="373"/>
      <c r="D719" s="374"/>
      <c r="E719" s="375"/>
      <c r="F719" s="376"/>
      <c r="G719" s="377"/>
      <c r="H719" s="377"/>
      <c r="I719" s="377"/>
      <c r="J719" s="376"/>
      <c r="K719" s="378"/>
      <c r="L719" s="378"/>
      <c r="M719" s="378"/>
      <c r="N719" s="378"/>
      <c r="O719" s="378"/>
      <c r="P719" s="378"/>
    </row>
    <row r="720" spans="3:16" x14ac:dyDescent="0.3">
      <c r="C720" s="373"/>
      <c r="D720" s="374"/>
      <c r="E720" s="375"/>
      <c r="F720" s="376"/>
      <c r="G720" s="377"/>
      <c r="H720" s="377"/>
      <c r="I720" s="377"/>
      <c r="J720" s="376"/>
      <c r="K720" s="378"/>
      <c r="L720" s="378"/>
      <c r="M720" s="378"/>
      <c r="N720" s="378"/>
      <c r="O720" s="378"/>
      <c r="P720" s="378"/>
    </row>
    <row r="721" spans="3:16" x14ac:dyDescent="0.3">
      <c r="C721" s="373"/>
      <c r="D721" s="374"/>
      <c r="E721" s="375"/>
      <c r="F721" s="376"/>
      <c r="G721" s="377"/>
      <c r="H721" s="377"/>
      <c r="I721" s="377"/>
      <c r="J721" s="376"/>
      <c r="K721" s="378"/>
      <c r="L721" s="378"/>
      <c r="M721" s="378"/>
      <c r="N721" s="378"/>
      <c r="O721" s="378"/>
      <c r="P721" s="378"/>
    </row>
    <row r="722" spans="3:16" x14ac:dyDescent="0.3">
      <c r="C722" s="373"/>
      <c r="D722" s="374"/>
      <c r="E722" s="375"/>
      <c r="F722" s="376"/>
      <c r="G722" s="377"/>
      <c r="H722" s="377"/>
      <c r="I722" s="377"/>
      <c r="J722" s="376"/>
      <c r="K722" s="378"/>
      <c r="L722" s="378"/>
      <c r="M722" s="378"/>
      <c r="N722" s="378"/>
      <c r="O722" s="378"/>
      <c r="P722" s="378"/>
    </row>
    <row r="723" spans="3:16" x14ac:dyDescent="0.3">
      <c r="C723" s="373"/>
      <c r="D723" s="374"/>
      <c r="E723" s="375"/>
      <c r="F723" s="376"/>
      <c r="G723" s="377"/>
      <c r="H723" s="377"/>
      <c r="I723" s="377"/>
      <c r="J723" s="376"/>
      <c r="K723" s="378"/>
      <c r="L723" s="378"/>
      <c r="M723" s="378"/>
      <c r="N723" s="378"/>
      <c r="O723" s="378"/>
      <c r="P723" s="378"/>
    </row>
    <row r="724" spans="3:16" x14ac:dyDescent="0.3">
      <c r="C724" s="373"/>
      <c r="D724" s="374"/>
      <c r="E724" s="375"/>
      <c r="F724" s="376"/>
      <c r="G724" s="377"/>
      <c r="H724" s="377"/>
      <c r="I724" s="377"/>
      <c r="J724" s="376"/>
      <c r="K724" s="378"/>
      <c r="L724" s="378"/>
      <c r="M724" s="378"/>
      <c r="N724" s="378"/>
      <c r="O724" s="378"/>
      <c r="P724" s="378"/>
    </row>
    <row r="725" spans="3:16" x14ac:dyDescent="0.3">
      <c r="C725" s="373"/>
      <c r="D725" s="374"/>
      <c r="E725" s="375"/>
      <c r="F725" s="376"/>
      <c r="G725" s="377"/>
      <c r="H725" s="377"/>
      <c r="I725" s="377"/>
      <c r="J725" s="376"/>
      <c r="K725" s="378"/>
      <c r="L725" s="378"/>
      <c r="M725" s="378"/>
      <c r="N725" s="378"/>
      <c r="O725" s="378"/>
      <c r="P725" s="378"/>
    </row>
    <row r="726" spans="3:16" x14ac:dyDescent="0.3">
      <c r="C726" s="373"/>
      <c r="D726" s="374"/>
      <c r="E726" s="375"/>
      <c r="F726" s="376"/>
      <c r="G726" s="377"/>
      <c r="H726" s="377"/>
      <c r="I726" s="377"/>
      <c r="J726" s="376"/>
      <c r="K726" s="378"/>
      <c r="L726" s="378"/>
      <c r="M726" s="378"/>
      <c r="N726" s="378"/>
      <c r="O726" s="378"/>
      <c r="P726" s="378"/>
    </row>
    <row r="727" spans="3:16" x14ac:dyDescent="0.3">
      <c r="C727" s="373"/>
      <c r="D727" s="374"/>
      <c r="E727" s="375"/>
      <c r="F727" s="376"/>
      <c r="G727" s="377"/>
      <c r="H727" s="377"/>
      <c r="I727" s="377"/>
      <c r="J727" s="376"/>
      <c r="K727" s="378"/>
      <c r="L727" s="378"/>
      <c r="M727" s="378"/>
      <c r="N727" s="378"/>
      <c r="O727" s="378"/>
      <c r="P727" s="378"/>
    </row>
    <row r="728" spans="3:16" x14ac:dyDescent="0.3">
      <c r="C728" s="373"/>
      <c r="D728" s="374"/>
      <c r="E728" s="375"/>
      <c r="F728" s="376"/>
      <c r="G728" s="377"/>
      <c r="H728" s="377"/>
      <c r="I728" s="377"/>
      <c r="J728" s="376"/>
      <c r="K728" s="378"/>
      <c r="L728" s="378"/>
      <c r="M728" s="378"/>
      <c r="N728" s="378"/>
      <c r="O728" s="378"/>
      <c r="P728" s="378"/>
    </row>
    <row r="729" spans="3:16" x14ac:dyDescent="0.3">
      <c r="C729" s="373"/>
      <c r="D729" s="374"/>
      <c r="E729" s="375"/>
      <c r="F729" s="376"/>
      <c r="G729" s="377"/>
      <c r="H729" s="377"/>
      <c r="I729" s="377"/>
      <c r="J729" s="376"/>
      <c r="K729" s="378"/>
      <c r="L729" s="378"/>
      <c r="M729" s="378"/>
      <c r="N729" s="378"/>
      <c r="O729" s="378"/>
      <c r="P729" s="378"/>
    </row>
    <row r="730" spans="3:16" x14ac:dyDescent="0.3">
      <c r="C730" s="373"/>
      <c r="D730" s="374"/>
      <c r="E730" s="375"/>
      <c r="F730" s="376"/>
      <c r="G730" s="377"/>
      <c r="H730" s="377"/>
      <c r="I730" s="377"/>
      <c r="J730" s="376"/>
      <c r="K730" s="378"/>
      <c r="L730" s="378"/>
      <c r="M730" s="378"/>
      <c r="N730" s="378"/>
      <c r="O730" s="378"/>
      <c r="P730" s="378"/>
    </row>
    <row r="731" spans="3:16" x14ac:dyDescent="0.3">
      <c r="C731" s="373"/>
      <c r="D731" s="374"/>
      <c r="E731" s="375"/>
      <c r="F731" s="376"/>
      <c r="G731" s="377"/>
      <c r="H731" s="377"/>
      <c r="I731" s="377"/>
      <c r="J731" s="376"/>
      <c r="K731" s="378"/>
      <c r="L731" s="378"/>
      <c r="M731" s="378"/>
      <c r="N731" s="378"/>
      <c r="O731" s="378"/>
      <c r="P731" s="378"/>
    </row>
    <row r="732" spans="3:16" x14ac:dyDescent="0.3">
      <c r="C732" s="373"/>
      <c r="D732" s="374"/>
      <c r="E732" s="375"/>
      <c r="F732" s="376"/>
      <c r="G732" s="377"/>
      <c r="H732" s="377"/>
      <c r="I732" s="377"/>
      <c r="J732" s="376"/>
      <c r="K732" s="378"/>
      <c r="L732" s="378"/>
      <c r="M732" s="378"/>
      <c r="N732" s="378"/>
      <c r="O732" s="378"/>
      <c r="P732" s="378"/>
    </row>
    <row r="733" spans="3:16" x14ac:dyDescent="0.3">
      <c r="C733" s="373"/>
      <c r="D733" s="374"/>
      <c r="E733" s="375"/>
      <c r="F733" s="376"/>
      <c r="G733" s="377"/>
      <c r="H733" s="377"/>
      <c r="I733" s="377"/>
      <c r="J733" s="376"/>
      <c r="K733" s="378"/>
      <c r="L733" s="378"/>
      <c r="M733" s="378"/>
      <c r="N733" s="378"/>
      <c r="O733" s="378"/>
      <c r="P733" s="378"/>
    </row>
    <row r="734" spans="3:16" x14ac:dyDescent="0.3">
      <c r="C734" s="373"/>
      <c r="D734" s="374"/>
      <c r="E734" s="375"/>
      <c r="F734" s="376"/>
      <c r="G734" s="377"/>
      <c r="H734" s="377"/>
      <c r="I734" s="377"/>
      <c r="J734" s="376"/>
      <c r="K734" s="378"/>
      <c r="L734" s="378"/>
      <c r="M734" s="378"/>
      <c r="N734" s="378"/>
      <c r="O734" s="378"/>
      <c r="P734" s="378"/>
    </row>
    <row r="735" spans="3:16" x14ac:dyDescent="0.3">
      <c r="C735" s="373"/>
      <c r="D735" s="374"/>
      <c r="E735" s="375"/>
      <c r="F735" s="376"/>
      <c r="G735" s="377"/>
      <c r="H735" s="377"/>
      <c r="I735" s="377"/>
      <c r="J735" s="376"/>
      <c r="K735" s="378"/>
      <c r="L735" s="378"/>
      <c r="M735" s="378"/>
      <c r="N735" s="378"/>
      <c r="O735" s="378"/>
      <c r="P735" s="378"/>
    </row>
    <row r="736" spans="3:16" x14ac:dyDescent="0.3">
      <c r="C736" s="385"/>
      <c r="D736" s="386"/>
      <c r="E736" s="382"/>
      <c r="F736" s="383"/>
      <c r="G736" s="384"/>
      <c r="H736" s="384"/>
      <c r="I736" s="384"/>
      <c r="J736" s="314"/>
      <c r="K736" s="387"/>
      <c r="L736" s="387"/>
      <c r="M736" s="387"/>
      <c r="N736" s="387"/>
      <c r="O736" s="387"/>
      <c r="P736" s="387"/>
    </row>
    <row r="737" spans="3:16" x14ac:dyDescent="0.3">
      <c r="C737" s="379"/>
      <c r="D737" s="312"/>
      <c r="E737" s="380"/>
      <c r="F737" s="314"/>
      <c r="G737" s="315"/>
      <c r="H737" s="315"/>
      <c r="I737" s="315"/>
      <c r="J737" s="314"/>
      <c r="K737" s="316"/>
      <c r="L737" s="316"/>
      <c r="M737" s="316"/>
      <c r="N737" s="316"/>
      <c r="O737" s="316"/>
      <c r="P737" s="316"/>
    </row>
    <row r="738" spans="3:16" x14ac:dyDescent="0.3">
      <c r="C738" s="373"/>
      <c r="D738" s="374"/>
      <c r="E738" s="375"/>
      <c r="F738" s="376"/>
      <c r="G738" s="377"/>
      <c r="H738" s="377"/>
      <c r="I738" s="377"/>
      <c r="J738" s="376"/>
      <c r="K738" s="378"/>
      <c r="L738" s="378"/>
      <c r="M738" s="378"/>
      <c r="N738" s="378"/>
      <c r="O738" s="378"/>
      <c r="P738" s="378"/>
    </row>
    <row r="739" spans="3:16" x14ac:dyDescent="0.3">
      <c r="C739" s="373"/>
      <c r="D739" s="374"/>
      <c r="E739" s="375"/>
      <c r="F739" s="376"/>
      <c r="G739" s="377"/>
      <c r="H739" s="377"/>
      <c r="I739" s="377"/>
      <c r="J739" s="376"/>
      <c r="K739" s="378"/>
      <c r="L739" s="378"/>
      <c r="M739" s="378"/>
      <c r="N739" s="378"/>
      <c r="O739" s="378"/>
      <c r="P739" s="378"/>
    </row>
    <row r="740" spans="3:16" x14ac:dyDescent="0.3">
      <c r="C740" s="373"/>
      <c r="D740" s="374"/>
      <c r="E740" s="375"/>
      <c r="F740" s="376"/>
      <c r="G740" s="377"/>
      <c r="H740" s="377"/>
      <c r="I740" s="377"/>
      <c r="J740" s="376"/>
      <c r="K740" s="378"/>
      <c r="L740" s="378"/>
      <c r="M740" s="378"/>
      <c r="N740" s="378"/>
      <c r="O740" s="378"/>
      <c r="P740" s="378"/>
    </row>
    <row r="741" spans="3:16" x14ac:dyDescent="0.3">
      <c r="C741" s="373"/>
      <c r="D741" s="374"/>
      <c r="E741" s="375"/>
      <c r="F741" s="376"/>
      <c r="G741" s="377"/>
      <c r="H741" s="377"/>
      <c r="I741" s="377"/>
      <c r="J741" s="376"/>
      <c r="K741" s="378"/>
      <c r="L741" s="378"/>
      <c r="M741" s="378"/>
      <c r="N741" s="378"/>
      <c r="O741" s="378"/>
      <c r="P741" s="378"/>
    </row>
    <row r="742" spans="3:16" x14ac:dyDescent="0.3">
      <c r="C742" s="373"/>
      <c r="D742" s="374"/>
      <c r="E742" s="375"/>
      <c r="F742" s="376"/>
      <c r="G742" s="377"/>
      <c r="H742" s="377"/>
      <c r="I742" s="377"/>
      <c r="J742" s="376"/>
      <c r="K742" s="378"/>
      <c r="L742" s="378"/>
      <c r="M742" s="378"/>
      <c r="N742" s="378"/>
      <c r="O742" s="378"/>
      <c r="P742" s="378"/>
    </row>
    <row r="743" spans="3:16" x14ac:dyDescent="0.3">
      <c r="C743" s="373"/>
      <c r="D743" s="374"/>
      <c r="E743" s="375"/>
      <c r="F743" s="376"/>
      <c r="G743" s="377"/>
      <c r="H743" s="377"/>
      <c r="I743" s="377"/>
      <c r="J743" s="376"/>
      <c r="K743" s="378"/>
      <c r="L743" s="378"/>
      <c r="M743" s="378"/>
      <c r="N743" s="378"/>
      <c r="O743" s="378"/>
      <c r="P743" s="378"/>
    </row>
    <row r="744" spans="3:16" x14ac:dyDescent="0.3">
      <c r="C744" s="373"/>
      <c r="D744" s="374"/>
      <c r="E744" s="375"/>
      <c r="F744" s="376"/>
      <c r="G744" s="377"/>
      <c r="H744" s="377"/>
      <c r="I744" s="377"/>
      <c r="J744" s="376"/>
      <c r="K744" s="378"/>
      <c r="L744" s="378"/>
      <c r="M744" s="378"/>
      <c r="N744" s="378"/>
      <c r="O744" s="378"/>
      <c r="P744" s="378"/>
    </row>
    <row r="745" spans="3:16" x14ac:dyDescent="0.3">
      <c r="C745" s="373"/>
      <c r="D745" s="374"/>
      <c r="E745" s="375"/>
      <c r="F745" s="376"/>
      <c r="G745" s="377"/>
      <c r="H745" s="377"/>
      <c r="I745" s="377"/>
      <c r="J745" s="376"/>
      <c r="K745" s="378"/>
      <c r="L745" s="378"/>
      <c r="M745" s="378"/>
      <c r="N745" s="378"/>
      <c r="O745" s="378"/>
      <c r="P745" s="378"/>
    </row>
    <row r="746" spans="3:16" x14ac:dyDescent="0.3">
      <c r="C746" s="373"/>
      <c r="D746" s="374"/>
      <c r="E746" s="375"/>
      <c r="F746" s="376"/>
      <c r="G746" s="377"/>
      <c r="H746" s="377"/>
      <c r="I746" s="377"/>
      <c r="J746" s="376"/>
      <c r="K746" s="378"/>
      <c r="L746" s="378"/>
      <c r="M746" s="378"/>
      <c r="N746" s="378"/>
      <c r="O746" s="378"/>
      <c r="P746" s="378"/>
    </row>
    <row r="747" spans="3:16" x14ac:dyDescent="0.3">
      <c r="C747" s="373"/>
      <c r="D747" s="374"/>
      <c r="E747" s="375"/>
      <c r="F747" s="376"/>
      <c r="G747" s="377"/>
      <c r="H747" s="377"/>
      <c r="I747" s="377"/>
      <c r="J747" s="376"/>
      <c r="K747" s="378"/>
      <c r="L747" s="378"/>
      <c r="M747" s="378"/>
      <c r="N747" s="378"/>
      <c r="O747" s="378"/>
      <c r="P747" s="378"/>
    </row>
    <row r="748" spans="3:16" x14ac:dyDescent="0.3">
      <c r="C748" s="373"/>
      <c r="D748" s="374"/>
      <c r="E748" s="375"/>
      <c r="F748" s="376"/>
      <c r="G748" s="377"/>
      <c r="H748" s="377"/>
      <c r="I748" s="377"/>
      <c r="J748" s="376"/>
      <c r="K748" s="378"/>
      <c r="L748" s="378"/>
      <c r="M748" s="378"/>
      <c r="N748" s="378"/>
      <c r="O748" s="378"/>
      <c r="P748" s="378"/>
    </row>
    <row r="749" spans="3:16" x14ac:dyDescent="0.3">
      <c r="C749" s="373"/>
      <c r="D749" s="374"/>
      <c r="E749" s="375"/>
      <c r="F749" s="376"/>
      <c r="G749" s="377"/>
      <c r="H749" s="377"/>
      <c r="I749" s="377"/>
      <c r="J749" s="376"/>
      <c r="K749" s="378"/>
      <c r="L749" s="378"/>
      <c r="M749" s="378"/>
      <c r="N749" s="378"/>
      <c r="O749" s="378"/>
      <c r="P749" s="378"/>
    </row>
    <row r="750" spans="3:16" x14ac:dyDescent="0.3">
      <c r="C750" s="373"/>
      <c r="D750" s="374"/>
      <c r="E750" s="375"/>
      <c r="F750" s="376"/>
      <c r="G750" s="377"/>
      <c r="H750" s="377"/>
      <c r="I750" s="377"/>
      <c r="J750" s="376"/>
      <c r="K750" s="378"/>
      <c r="L750" s="378"/>
      <c r="M750" s="378"/>
      <c r="N750" s="378"/>
      <c r="O750" s="378"/>
      <c r="P750" s="378"/>
    </row>
    <row r="751" spans="3:16" x14ac:dyDescent="0.3">
      <c r="C751" s="373"/>
      <c r="D751" s="374"/>
      <c r="E751" s="375"/>
      <c r="F751" s="376"/>
      <c r="G751" s="377"/>
      <c r="H751" s="377"/>
      <c r="I751" s="377"/>
      <c r="J751" s="376"/>
      <c r="K751" s="378"/>
      <c r="L751" s="378"/>
      <c r="M751" s="378"/>
      <c r="N751" s="378"/>
      <c r="O751" s="378"/>
      <c r="P751" s="378"/>
    </row>
    <row r="752" spans="3:16" x14ac:dyDescent="0.3">
      <c r="C752" s="379"/>
      <c r="D752" s="312"/>
      <c r="E752" s="380"/>
      <c r="F752" s="314"/>
      <c r="G752" s="315"/>
      <c r="H752" s="315"/>
      <c r="I752" s="315"/>
      <c r="J752" s="314"/>
      <c r="K752" s="316"/>
      <c r="L752" s="316"/>
      <c r="M752" s="316"/>
      <c r="N752" s="316"/>
      <c r="O752" s="316"/>
      <c r="P752" s="316"/>
    </row>
    <row r="753" spans="3:16" x14ac:dyDescent="0.3">
      <c r="C753" s="373"/>
      <c r="D753" s="374"/>
      <c r="E753" s="375"/>
      <c r="F753" s="376"/>
      <c r="G753" s="377"/>
      <c r="H753" s="377"/>
      <c r="I753" s="377"/>
      <c r="J753" s="376"/>
      <c r="K753" s="378"/>
      <c r="L753" s="378"/>
      <c r="M753" s="378"/>
      <c r="N753" s="378"/>
      <c r="O753" s="378"/>
      <c r="P753" s="378"/>
    </row>
    <row r="754" spans="3:16" x14ac:dyDescent="0.3">
      <c r="C754" s="373"/>
      <c r="D754" s="374"/>
      <c r="E754" s="375"/>
      <c r="F754" s="376"/>
      <c r="G754" s="377"/>
      <c r="H754" s="377"/>
      <c r="I754" s="377"/>
      <c r="J754" s="376"/>
      <c r="K754" s="378"/>
      <c r="L754" s="378"/>
      <c r="M754" s="378"/>
      <c r="N754" s="378"/>
      <c r="O754" s="378"/>
      <c r="P754" s="378"/>
    </row>
    <row r="755" spans="3:16" x14ac:dyDescent="0.3">
      <c r="C755" s="373"/>
      <c r="D755" s="374"/>
      <c r="E755" s="375"/>
      <c r="F755" s="376"/>
      <c r="G755" s="377"/>
      <c r="H755" s="377"/>
      <c r="I755" s="377"/>
      <c r="J755" s="376"/>
      <c r="K755" s="378"/>
      <c r="L755" s="378"/>
      <c r="M755" s="378"/>
      <c r="N755" s="378"/>
      <c r="O755" s="378"/>
      <c r="P755" s="378"/>
    </row>
    <row r="756" spans="3:16" x14ac:dyDescent="0.3">
      <c r="C756" s="373"/>
      <c r="D756" s="374"/>
      <c r="E756" s="375"/>
      <c r="F756" s="376"/>
      <c r="G756" s="377"/>
      <c r="H756" s="377"/>
      <c r="I756" s="377"/>
      <c r="J756" s="376"/>
      <c r="K756" s="378"/>
      <c r="L756" s="378"/>
      <c r="M756" s="378"/>
      <c r="N756" s="378"/>
      <c r="O756" s="378"/>
      <c r="P756" s="378"/>
    </row>
    <row r="757" spans="3:16" x14ac:dyDescent="0.3">
      <c r="C757" s="373"/>
      <c r="D757" s="374"/>
      <c r="E757" s="375"/>
      <c r="F757" s="376"/>
      <c r="G757" s="377"/>
      <c r="H757" s="377"/>
      <c r="I757" s="377"/>
      <c r="J757" s="376"/>
      <c r="K757" s="378"/>
      <c r="L757" s="378"/>
      <c r="M757" s="378"/>
      <c r="N757" s="378"/>
      <c r="O757" s="378"/>
      <c r="P757" s="378"/>
    </row>
    <row r="758" spans="3:16" x14ac:dyDescent="0.3">
      <c r="C758" s="373"/>
      <c r="D758" s="374"/>
      <c r="E758" s="375"/>
      <c r="F758" s="376"/>
      <c r="G758" s="377"/>
      <c r="H758" s="377"/>
      <c r="I758" s="377"/>
      <c r="J758" s="376"/>
      <c r="K758" s="378"/>
      <c r="L758" s="378"/>
      <c r="M758" s="378"/>
      <c r="N758" s="378"/>
      <c r="O758" s="378"/>
      <c r="P758" s="378"/>
    </row>
    <row r="759" spans="3:16" x14ac:dyDescent="0.3">
      <c r="C759" s="373"/>
      <c r="D759" s="374"/>
      <c r="E759" s="375"/>
      <c r="F759" s="376"/>
      <c r="G759" s="377"/>
      <c r="H759" s="377"/>
      <c r="I759" s="377"/>
      <c r="J759" s="376"/>
      <c r="K759" s="378"/>
      <c r="L759" s="378"/>
      <c r="M759" s="378"/>
      <c r="N759" s="378"/>
      <c r="O759" s="378"/>
      <c r="P759" s="378"/>
    </row>
    <row r="760" spans="3:16" x14ac:dyDescent="0.3">
      <c r="C760" s="373"/>
      <c r="D760" s="374"/>
      <c r="E760" s="375"/>
      <c r="F760" s="376"/>
      <c r="G760" s="377"/>
      <c r="H760" s="377"/>
      <c r="I760" s="377"/>
      <c r="J760" s="376"/>
      <c r="K760" s="378"/>
      <c r="L760" s="378"/>
      <c r="M760" s="378"/>
      <c r="N760" s="378"/>
      <c r="O760" s="378"/>
      <c r="P760" s="378"/>
    </row>
    <row r="761" spans="3:16" x14ac:dyDescent="0.3">
      <c r="C761" s="373"/>
      <c r="D761" s="374"/>
      <c r="E761" s="375"/>
      <c r="F761" s="376"/>
      <c r="G761" s="377"/>
      <c r="H761" s="377"/>
      <c r="I761" s="377"/>
      <c r="J761" s="376"/>
      <c r="K761" s="378"/>
      <c r="L761" s="378"/>
      <c r="M761" s="378"/>
      <c r="N761" s="378"/>
      <c r="O761" s="378"/>
      <c r="P761" s="378"/>
    </row>
    <row r="762" spans="3:16" x14ac:dyDescent="0.3">
      <c r="C762" s="373"/>
      <c r="D762" s="374"/>
      <c r="E762" s="375"/>
      <c r="F762" s="376"/>
      <c r="G762" s="377"/>
      <c r="H762" s="377"/>
      <c r="I762" s="377"/>
      <c r="J762" s="376"/>
      <c r="K762" s="378"/>
      <c r="L762" s="378"/>
      <c r="M762" s="378"/>
      <c r="N762" s="378"/>
      <c r="O762" s="378"/>
      <c r="P762" s="378"/>
    </row>
    <row r="763" spans="3:16" x14ac:dyDescent="0.3">
      <c r="C763" s="373"/>
      <c r="D763" s="374"/>
      <c r="E763" s="375"/>
      <c r="F763" s="376"/>
      <c r="G763" s="377"/>
      <c r="H763" s="377"/>
      <c r="I763" s="377"/>
      <c r="J763" s="376"/>
      <c r="K763" s="378"/>
      <c r="L763" s="378"/>
      <c r="M763" s="378"/>
      <c r="N763" s="378"/>
      <c r="O763" s="378"/>
      <c r="P763" s="378"/>
    </row>
    <row r="764" spans="3:16" x14ac:dyDescent="0.3">
      <c r="C764" s="373"/>
      <c r="D764" s="374"/>
      <c r="E764" s="375"/>
      <c r="F764" s="376"/>
      <c r="G764" s="377"/>
      <c r="H764" s="377"/>
      <c r="I764" s="377"/>
      <c r="J764" s="376"/>
      <c r="K764" s="378"/>
      <c r="L764" s="378"/>
      <c r="M764" s="378"/>
      <c r="N764" s="378"/>
      <c r="O764" s="378"/>
      <c r="P764" s="378"/>
    </row>
    <row r="765" spans="3:16" x14ac:dyDescent="0.3">
      <c r="C765" s="373"/>
      <c r="D765" s="374"/>
      <c r="E765" s="375"/>
      <c r="F765" s="376"/>
      <c r="G765" s="377"/>
      <c r="H765" s="377"/>
      <c r="I765" s="377"/>
      <c r="J765" s="376"/>
      <c r="K765" s="378"/>
      <c r="L765" s="378"/>
      <c r="M765" s="378"/>
      <c r="N765" s="378"/>
      <c r="O765" s="378"/>
      <c r="P765" s="378"/>
    </row>
    <row r="766" spans="3:16" x14ac:dyDescent="0.3">
      <c r="C766" s="373"/>
      <c r="D766" s="374"/>
      <c r="E766" s="375"/>
      <c r="F766" s="376"/>
      <c r="G766" s="377"/>
      <c r="H766" s="377"/>
      <c r="I766" s="377"/>
      <c r="J766" s="376"/>
      <c r="K766" s="378"/>
      <c r="L766" s="378"/>
      <c r="M766" s="378"/>
      <c r="N766" s="378"/>
      <c r="O766" s="378"/>
      <c r="P766" s="378"/>
    </row>
    <row r="767" spans="3:16" x14ac:dyDescent="0.3">
      <c r="C767" s="373"/>
      <c r="D767" s="374"/>
      <c r="E767" s="375"/>
      <c r="F767" s="376"/>
      <c r="G767" s="377"/>
      <c r="H767" s="377"/>
      <c r="I767" s="377"/>
      <c r="J767" s="376"/>
      <c r="K767" s="378"/>
      <c r="L767" s="378"/>
      <c r="M767" s="378"/>
      <c r="N767" s="378"/>
      <c r="O767" s="378"/>
      <c r="P767" s="378"/>
    </row>
    <row r="768" spans="3:16" x14ac:dyDescent="0.3">
      <c r="C768" s="373"/>
      <c r="D768" s="374"/>
      <c r="E768" s="375"/>
      <c r="F768" s="376"/>
      <c r="G768" s="377"/>
      <c r="H768" s="377"/>
      <c r="I768" s="377"/>
      <c r="J768" s="376"/>
      <c r="K768" s="378"/>
      <c r="L768" s="378"/>
      <c r="M768" s="378"/>
      <c r="N768" s="378"/>
      <c r="O768" s="378"/>
      <c r="P768" s="378"/>
    </row>
    <row r="769" spans="3:16" x14ac:dyDescent="0.3">
      <c r="C769" s="373"/>
      <c r="D769" s="374"/>
      <c r="E769" s="375"/>
      <c r="F769" s="376"/>
      <c r="G769" s="377"/>
      <c r="H769" s="377"/>
      <c r="I769" s="377"/>
      <c r="J769" s="376"/>
      <c r="K769" s="378"/>
      <c r="L769" s="378"/>
      <c r="M769" s="378"/>
      <c r="N769" s="378"/>
      <c r="O769" s="378"/>
      <c r="P769" s="378"/>
    </row>
    <row r="770" spans="3:16" x14ac:dyDescent="0.3">
      <c r="C770" s="373"/>
      <c r="D770" s="374"/>
      <c r="E770" s="375"/>
      <c r="F770" s="376"/>
      <c r="G770" s="377"/>
      <c r="H770" s="377"/>
      <c r="I770" s="377"/>
      <c r="J770" s="376"/>
      <c r="K770" s="378"/>
      <c r="L770" s="378"/>
      <c r="M770" s="378"/>
      <c r="N770" s="378"/>
      <c r="O770" s="378"/>
      <c r="P770" s="378"/>
    </row>
    <row r="771" spans="3:16" x14ac:dyDescent="0.3">
      <c r="C771" s="373"/>
      <c r="D771" s="374"/>
      <c r="E771" s="375"/>
      <c r="F771" s="376"/>
      <c r="G771" s="377"/>
      <c r="H771" s="377"/>
      <c r="I771" s="377"/>
      <c r="J771" s="376"/>
      <c r="K771" s="378"/>
      <c r="L771" s="378"/>
      <c r="M771" s="378"/>
      <c r="N771" s="378"/>
      <c r="O771" s="378"/>
      <c r="P771" s="378"/>
    </row>
    <row r="772" spans="3:16" x14ac:dyDescent="0.3">
      <c r="C772" s="373"/>
      <c r="D772" s="374"/>
      <c r="E772" s="375"/>
      <c r="F772" s="376"/>
      <c r="G772" s="377"/>
      <c r="H772" s="377"/>
      <c r="I772" s="377"/>
      <c r="J772" s="376"/>
      <c r="K772" s="378"/>
      <c r="L772" s="378"/>
      <c r="M772" s="378"/>
      <c r="N772" s="378"/>
      <c r="O772" s="378"/>
      <c r="P772" s="378"/>
    </row>
    <row r="773" spans="3:16" x14ac:dyDescent="0.3">
      <c r="C773" s="373"/>
      <c r="D773" s="374"/>
      <c r="E773" s="375"/>
      <c r="F773" s="376"/>
      <c r="G773" s="377"/>
      <c r="H773" s="377"/>
      <c r="I773" s="377"/>
      <c r="J773" s="376"/>
      <c r="K773" s="378"/>
      <c r="L773" s="378"/>
      <c r="M773" s="378"/>
      <c r="N773" s="378"/>
      <c r="O773" s="378"/>
      <c r="P773" s="378"/>
    </row>
    <row r="774" spans="3:16" x14ac:dyDescent="0.3">
      <c r="C774" s="373"/>
      <c r="D774" s="374"/>
      <c r="E774" s="375"/>
      <c r="F774" s="376"/>
      <c r="G774" s="377"/>
      <c r="H774" s="377"/>
      <c r="I774" s="377"/>
      <c r="J774" s="376"/>
      <c r="K774" s="378"/>
      <c r="L774" s="378"/>
      <c r="M774" s="378"/>
      <c r="N774" s="378"/>
      <c r="O774" s="378"/>
      <c r="P774" s="378"/>
    </row>
    <row r="775" spans="3:16" x14ac:dyDescent="0.3">
      <c r="C775" s="373"/>
      <c r="D775" s="374"/>
      <c r="E775" s="375"/>
      <c r="F775" s="376"/>
      <c r="G775" s="377"/>
      <c r="H775" s="377"/>
      <c r="I775" s="377"/>
      <c r="J775" s="376"/>
      <c r="K775" s="378"/>
      <c r="L775" s="378"/>
      <c r="M775" s="378"/>
      <c r="N775" s="378"/>
      <c r="O775" s="378"/>
      <c r="P775" s="378"/>
    </row>
    <row r="776" spans="3:16" x14ac:dyDescent="0.3">
      <c r="C776" s="373"/>
      <c r="D776" s="374"/>
      <c r="E776" s="375"/>
      <c r="F776" s="376"/>
      <c r="G776" s="377"/>
      <c r="H776" s="377"/>
      <c r="I776" s="377"/>
      <c r="J776" s="376"/>
      <c r="K776" s="378"/>
      <c r="L776" s="378"/>
      <c r="M776" s="378"/>
      <c r="N776" s="378"/>
      <c r="O776" s="378"/>
      <c r="P776" s="378"/>
    </row>
    <row r="777" spans="3:16" x14ac:dyDescent="0.3">
      <c r="C777" s="373"/>
      <c r="D777" s="374"/>
      <c r="E777" s="375"/>
      <c r="F777" s="376"/>
      <c r="G777" s="377"/>
      <c r="H777" s="377"/>
      <c r="I777" s="377"/>
      <c r="J777" s="376"/>
      <c r="K777" s="378"/>
      <c r="L777" s="378"/>
      <c r="M777" s="378"/>
      <c r="N777" s="378"/>
      <c r="O777" s="378"/>
      <c r="P777" s="378"/>
    </row>
    <row r="778" spans="3:16" x14ac:dyDescent="0.3">
      <c r="C778" s="373"/>
      <c r="D778" s="374"/>
      <c r="E778" s="375"/>
      <c r="F778" s="376"/>
      <c r="G778" s="377"/>
      <c r="H778" s="377"/>
      <c r="I778" s="377"/>
      <c r="J778" s="376"/>
      <c r="K778" s="378"/>
      <c r="L778" s="378"/>
      <c r="M778" s="378"/>
      <c r="N778" s="378"/>
      <c r="O778" s="378"/>
      <c r="P778" s="378"/>
    </row>
    <row r="779" spans="3:16" x14ac:dyDescent="0.3">
      <c r="C779" s="373"/>
      <c r="D779" s="374"/>
      <c r="E779" s="375"/>
      <c r="F779" s="376"/>
      <c r="G779" s="377"/>
      <c r="H779" s="377"/>
      <c r="I779" s="377"/>
      <c r="J779" s="376"/>
      <c r="K779" s="378"/>
      <c r="L779" s="378"/>
      <c r="M779" s="378"/>
      <c r="N779" s="378"/>
      <c r="O779" s="378"/>
      <c r="P779" s="378"/>
    </row>
    <row r="780" spans="3:16" x14ac:dyDescent="0.3">
      <c r="C780" s="373"/>
      <c r="D780" s="374"/>
      <c r="E780" s="375"/>
      <c r="F780" s="376"/>
      <c r="G780" s="377"/>
      <c r="H780" s="377"/>
      <c r="I780" s="377"/>
      <c r="J780" s="376"/>
      <c r="K780" s="378"/>
      <c r="L780" s="378"/>
      <c r="M780" s="378"/>
      <c r="N780" s="378"/>
      <c r="O780" s="378"/>
      <c r="P780" s="378"/>
    </row>
    <row r="781" spans="3:16" x14ac:dyDescent="0.3">
      <c r="C781" s="373"/>
      <c r="D781" s="374"/>
      <c r="E781" s="375"/>
      <c r="F781" s="376"/>
      <c r="G781" s="377"/>
      <c r="H781" s="377"/>
      <c r="I781" s="377"/>
      <c r="J781" s="376"/>
      <c r="K781" s="378"/>
      <c r="L781" s="378"/>
      <c r="M781" s="378"/>
      <c r="N781" s="378"/>
      <c r="O781" s="378"/>
      <c r="P781" s="378"/>
    </row>
    <row r="782" spans="3:16" x14ac:dyDescent="0.3">
      <c r="C782" s="373"/>
      <c r="D782" s="374"/>
      <c r="E782" s="375"/>
      <c r="F782" s="376"/>
      <c r="G782" s="377"/>
      <c r="H782" s="377"/>
      <c r="I782" s="377"/>
      <c r="J782" s="376"/>
      <c r="K782" s="378"/>
      <c r="L782" s="378"/>
      <c r="M782" s="378"/>
      <c r="N782" s="378"/>
      <c r="O782" s="378"/>
      <c r="P782" s="378"/>
    </row>
    <row r="783" spans="3:16" x14ac:dyDescent="0.3">
      <c r="C783" s="373"/>
      <c r="D783" s="374"/>
      <c r="E783" s="375"/>
      <c r="F783" s="376"/>
      <c r="G783" s="377"/>
      <c r="H783" s="377"/>
      <c r="I783" s="377"/>
      <c r="J783" s="376"/>
      <c r="K783" s="378"/>
      <c r="L783" s="378"/>
      <c r="M783" s="378"/>
      <c r="N783" s="378"/>
      <c r="O783" s="378"/>
      <c r="P783" s="378"/>
    </row>
    <row r="784" spans="3:16" x14ac:dyDescent="0.3">
      <c r="C784" s="373"/>
      <c r="D784" s="374"/>
      <c r="E784" s="375"/>
      <c r="F784" s="376"/>
      <c r="G784" s="377"/>
      <c r="H784" s="377"/>
      <c r="I784" s="377"/>
      <c r="J784" s="376"/>
      <c r="K784" s="378"/>
      <c r="L784" s="378"/>
      <c r="M784" s="378"/>
      <c r="N784" s="378"/>
      <c r="O784" s="378"/>
      <c r="P784" s="378"/>
    </row>
    <row r="785" spans="3:16" x14ac:dyDescent="0.3">
      <c r="C785" s="373"/>
      <c r="D785" s="374"/>
      <c r="E785" s="375"/>
      <c r="F785" s="376"/>
      <c r="G785" s="377"/>
      <c r="H785" s="377"/>
      <c r="I785" s="377"/>
      <c r="J785" s="376"/>
      <c r="K785" s="378"/>
      <c r="L785" s="378"/>
      <c r="M785" s="378"/>
      <c r="N785" s="378"/>
      <c r="O785" s="378"/>
      <c r="P785" s="378"/>
    </row>
    <row r="786" spans="3:16" x14ac:dyDescent="0.3">
      <c r="C786" s="373"/>
      <c r="D786" s="374"/>
      <c r="E786" s="375"/>
      <c r="F786" s="376"/>
      <c r="G786" s="377"/>
      <c r="H786" s="377"/>
      <c r="I786" s="377"/>
      <c r="J786" s="376"/>
      <c r="K786" s="378"/>
      <c r="L786" s="378"/>
      <c r="M786" s="378"/>
      <c r="N786" s="378"/>
      <c r="O786" s="378"/>
      <c r="P786" s="378"/>
    </row>
    <row r="787" spans="3:16" x14ac:dyDescent="0.3">
      <c r="C787" s="373"/>
      <c r="D787" s="374"/>
      <c r="E787" s="375"/>
      <c r="F787" s="376"/>
      <c r="G787" s="377"/>
      <c r="H787" s="377"/>
      <c r="I787" s="377"/>
      <c r="J787" s="376"/>
      <c r="K787" s="378"/>
      <c r="L787" s="378"/>
      <c r="M787" s="378"/>
      <c r="N787" s="378"/>
      <c r="O787" s="378"/>
      <c r="P787" s="378"/>
    </row>
    <row r="788" spans="3:16" x14ac:dyDescent="0.3">
      <c r="C788" s="373"/>
      <c r="D788" s="374"/>
      <c r="E788" s="375"/>
      <c r="F788" s="376"/>
      <c r="G788" s="377"/>
      <c r="H788" s="377"/>
      <c r="I788" s="377"/>
      <c r="J788" s="376"/>
      <c r="K788" s="378"/>
      <c r="L788" s="378"/>
      <c r="M788" s="378"/>
      <c r="N788" s="378"/>
      <c r="O788" s="378"/>
      <c r="P788" s="378"/>
    </row>
    <row r="789" spans="3:16" x14ac:dyDescent="0.3">
      <c r="C789" s="373"/>
      <c r="D789" s="374"/>
      <c r="E789" s="375"/>
      <c r="F789" s="376"/>
      <c r="G789" s="377"/>
      <c r="H789" s="377"/>
      <c r="I789" s="377"/>
      <c r="J789" s="376"/>
      <c r="K789" s="378"/>
      <c r="L789" s="378"/>
      <c r="M789" s="378"/>
      <c r="N789" s="378"/>
      <c r="O789" s="378"/>
      <c r="P789" s="378"/>
    </row>
    <row r="790" spans="3:16" x14ac:dyDescent="0.3">
      <c r="C790" s="373"/>
      <c r="D790" s="374"/>
      <c r="E790" s="375"/>
      <c r="F790" s="376"/>
      <c r="G790" s="377"/>
      <c r="H790" s="377"/>
      <c r="I790" s="377"/>
      <c r="J790" s="376"/>
      <c r="K790" s="378"/>
      <c r="L790" s="378"/>
      <c r="M790" s="378"/>
      <c r="N790" s="378"/>
      <c r="O790" s="378"/>
      <c r="P790" s="378"/>
    </row>
    <row r="791" spans="3:16" x14ac:dyDescent="0.3">
      <c r="C791" s="373"/>
      <c r="D791" s="374"/>
      <c r="E791" s="375"/>
      <c r="F791" s="376"/>
      <c r="G791" s="377"/>
      <c r="H791" s="377"/>
      <c r="I791" s="377"/>
      <c r="J791" s="376"/>
      <c r="K791" s="378"/>
      <c r="L791" s="378"/>
      <c r="M791" s="378"/>
      <c r="N791" s="378"/>
      <c r="O791" s="378"/>
      <c r="P791" s="378"/>
    </row>
    <row r="792" spans="3:16" x14ac:dyDescent="0.3">
      <c r="C792" s="373"/>
      <c r="D792" s="374"/>
      <c r="E792" s="375"/>
      <c r="F792" s="376"/>
      <c r="G792" s="377"/>
      <c r="H792" s="377"/>
      <c r="I792" s="377"/>
      <c r="J792" s="376"/>
      <c r="K792" s="378"/>
      <c r="L792" s="378"/>
      <c r="M792" s="378"/>
      <c r="N792" s="378"/>
      <c r="O792" s="378"/>
      <c r="P792" s="378"/>
    </row>
    <row r="793" spans="3:16" x14ac:dyDescent="0.3">
      <c r="C793" s="379"/>
      <c r="D793" s="312"/>
      <c r="E793" s="380"/>
      <c r="F793" s="314"/>
      <c r="G793" s="315"/>
      <c r="H793" s="315"/>
      <c r="I793" s="315"/>
      <c r="J793" s="314"/>
      <c r="K793" s="316"/>
      <c r="L793" s="316"/>
      <c r="M793" s="316"/>
      <c r="N793" s="316"/>
      <c r="O793" s="316"/>
      <c r="P793" s="316"/>
    </row>
    <row r="794" spans="3:16" x14ac:dyDescent="0.3">
      <c r="C794" s="373"/>
      <c r="D794" s="374"/>
      <c r="E794" s="375"/>
      <c r="F794" s="376"/>
      <c r="G794" s="377"/>
      <c r="H794" s="377"/>
      <c r="I794" s="377"/>
      <c r="J794" s="376"/>
      <c r="K794" s="378"/>
      <c r="L794" s="378"/>
      <c r="M794" s="378"/>
      <c r="N794" s="378"/>
      <c r="O794" s="378"/>
      <c r="P794" s="378"/>
    </row>
    <row r="795" spans="3:16" x14ac:dyDescent="0.3">
      <c r="C795" s="373"/>
      <c r="D795" s="374"/>
      <c r="E795" s="375"/>
      <c r="F795" s="376"/>
      <c r="G795" s="377"/>
      <c r="H795" s="377"/>
      <c r="I795" s="377"/>
      <c r="J795" s="376"/>
      <c r="K795" s="378"/>
      <c r="L795" s="378"/>
      <c r="M795" s="378"/>
      <c r="N795" s="378"/>
      <c r="O795" s="378"/>
      <c r="P795" s="378"/>
    </row>
    <row r="796" spans="3:16" x14ac:dyDescent="0.3">
      <c r="C796" s="373"/>
      <c r="D796" s="374"/>
      <c r="E796" s="375"/>
      <c r="F796" s="376"/>
      <c r="G796" s="377"/>
      <c r="H796" s="377"/>
      <c r="I796" s="377"/>
      <c r="J796" s="376"/>
      <c r="K796" s="378"/>
      <c r="L796" s="378"/>
      <c r="M796" s="378"/>
      <c r="N796" s="378"/>
      <c r="O796" s="378"/>
      <c r="P796" s="378"/>
    </row>
    <row r="797" spans="3:16" x14ac:dyDescent="0.3">
      <c r="C797" s="373"/>
      <c r="D797" s="374"/>
      <c r="E797" s="375"/>
      <c r="F797" s="376"/>
      <c r="G797" s="377"/>
      <c r="H797" s="377"/>
      <c r="I797" s="377"/>
      <c r="J797" s="376"/>
      <c r="K797" s="378"/>
      <c r="L797" s="378"/>
      <c r="M797" s="378"/>
      <c r="N797" s="378"/>
      <c r="O797" s="378"/>
      <c r="P797" s="378"/>
    </row>
    <row r="798" spans="3:16" x14ac:dyDescent="0.3">
      <c r="C798" s="373"/>
      <c r="D798" s="374"/>
      <c r="E798" s="375"/>
      <c r="F798" s="376"/>
      <c r="G798" s="377"/>
      <c r="H798" s="377"/>
      <c r="I798" s="377"/>
      <c r="J798" s="376"/>
      <c r="K798" s="378"/>
      <c r="L798" s="378"/>
      <c r="M798" s="378"/>
      <c r="N798" s="378"/>
      <c r="O798" s="378"/>
      <c r="P798" s="378"/>
    </row>
    <row r="799" spans="3:16" x14ac:dyDescent="0.3">
      <c r="C799" s="373"/>
      <c r="D799" s="374"/>
      <c r="E799" s="375"/>
      <c r="F799" s="376"/>
      <c r="G799" s="377"/>
      <c r="H799" s="377"/>
      <c r="I799" s="377"/>
      <c r="J799" s="376"/>
      <c r="K799" s="378"/>
      <c r="L799" s="378"/>
      <c r="M799" s="378"/>
      <c r="N799" s="378"/>
      <c r="O799" s="378"/>
      <c r="P799" s="378"/>
    </row>
    <row r="800" spans="3:16" x14ac:dyDescent="0.3">
      <c r="C800" s="373"/>
      <c r="D800" s="374"/>
      <c r="E800" s="375"/>
      <c r="F800" s="376"/>
      <c r="G800" s="377"/>
      <c r="H800" s="377"/>
      <c r="I800" s="377"/>
      <c r="J800" s="376"/>
      <c r="K800" s="378"/>
      <c r="L800" s="378"/>
      <c r="M800" s="378"/>
      <c r="N800" s="378"/>
      <c r="O800" s="378"/>
      <c r="P800" s="378"/>
    </row>
    <row r="801" spans="3:16" x14ac:dyDescent="0.3">
      <c r="C801" s="373"/>
      <c r="D801" s="374"/>
      <c r="E801" s="375"/>
      <c r="F801" s="376"/>
      <c r="G801" s="377"/>
      <c r="H801" s="377"/>
      <c r="I801" s="377"/>
      <c r="J801" s="376"/>
      <c r="K801" s="378"/>
      <c r="L801" s="378"/>
      <c r="M801" s="378"/>
      <c r="N801" s="378"/>
      <c r="O801" s="378"/>
      <c r="P801" s="378"/>
    </row>
    <row r="802" spans="3:16" x14ac:dyDescent="0.3">
      <c r="C802" s="373"/>
      <c r="D802" s="374"/>
      <c r="E802" s="375"/>
      <c r="F802" s="376"/>
      <c r="G802" s="377"/>
      <c r="H802" s="377"/>
      <c r="I802" s="377"/>
      <c r="J802" s="376"/>
      <c r="K802" s="378"/>
      <c r="L802" s="378"/>
      <c r="M802" s="378"/>
      <c r="N802" s="378"/>
      <c r="O802" s="378"/>
      <c r="P802" s="378"/>
    </row>
    <row r="803" spans="3:16" x14ac:dyDescent="0.3">
      <c r="C803" s="373"/>
      <c r="D803" s="374"/>
      <c r="E803" s="375"/>
      <c r="F803" s="376"/>
      <c r="G803" s="377"/>
      <c r="H803" s="377"/>
      <c r="I803" s="377"/>
      <c r="J803" s="376"/>
      <c r="K803" s="378"/>
      <c r="L803" s="378"/>
      <c r="M803" s="378"/>
      <c r="N803" s="378"/>
      <c r="O803" s="378"/>
      <c r="P803" s="378"/>
    </row>
    <row r="804" spans="3:16" x14ac:dyDescent="0.3">
      <c r="C804" s="373"/>
      <c r="D804" s="374"/>
      <c r="E804" s="375"/>
      <c r="F804" s="376"/>
      <c r="G804" s="377"/>
      <c r="H804" s="377"/>
      <c r="I804" s="377"/>
      <c r="J804" s="376"/>
      <c r="K804" s="378"/>
      <c r="L804" s="378"/>
      <c r="M804" s="378"/>
      <c r="N804" s="378"/>
      <c r="O804" s="378"/>
      <c r="P804" s="378"/>
    </row>
    <row r="805" spans="3:16" x14ac:dyDescent="0.3">
      <c r="C805" s="373"/>
      <c r="D805" s="374"/>
      <c r="E805" s="375"/>
      <c r="F805" s="376"/>
      <c r="G805" s="377"/>
      <c r="H805" s="377"/>
      <c r="I805" s="377"/>
      <c r="J805" s="376"/>
      <c r="K805" s="378"/>
      <c r="L805" s="378"/>
      <c r="M805" s="378"/>
      <c r="N805" s="378"/>
      <c r="O805" s="378"/>
      <c r="P805" s="378"/>
    </row>
    <row r="806" spans="3:16" x14ac:dyDescent="0.3">
      <c r="C806" s="373"/>
      <c r="D806" s="374"/>
      <c r="E806" s="375"/>
      <c r="F806" s="376"/>
      <c r="G806" s="377"/>
      <c r="H806" s="377"/>
      <c r="I806" s="377"/>
      <c r="J806" s="376"/>
      <c r="K806" s="378"/>
      <c r="L806" s="378"/>
      <c r="M806" s="378"/>
      <c r="N806" s="378"/>
      <c r="O806" s="378"/>
      <c r="P806" s="378"/>
    </row>
    <row r="807" spans="3:16" x14ac:dyDescent="0.3">
      <c r="C807" s="373"/>
      <c r="D807" s="374"/>
      <c r="E807" s="375"/>
      <c r="F807" s="376"/>
      <c r="G807" s="377"/>
      <c r="H807" s="377"/>
      <c r="I807" s="377"/>
      <c r="J807" s="376"/>
      <c r="K807" s="378"/>
      <c r="L807" s="378"/>
      <c r="M807" s="378"/>
      <c r="N807" s="378"/>
      <c r="O807" s="378"/>
      <c r="P807" s="378"/>
    </row>
    <row r="808" spans="3:16" x14ac:dyDescent="0.3">
      <c r="C808" s="373"/>
      <c r="D808" s="374"/>
      <c r="E808" s="375"/>
      <c r="F808" s="376"/>
      <c r="G808" s="377"/>
      <c r="H808" s="377"/>
      <c r="I808" s="377"/>
      <c r="J808" s="376"/>
      <c r="K808" s="378"/>
      <c r="L808" s="378"/>
      <c r="M808" s="378"/>
      <c r="N808" s="378"/>
      <c r="O808" s="378"/>
      <c r="P808" s="378"/>
    </row>
    <row r="809" spans="3:16" x14ac:dyDescent="0.3">
      <c r="C809" s="373"/>
      <c r="D809" s="374"/>
      <c r="E809" s="375"/>
      <c r="F809" s="376"/>
      <c r="G809" s="377"/>
      <c r="H809" s="377"/>
      <c r="I809" s="377"/>
      <c r="J809" s="376"/>
      <c r="K809" s="378"/>
      <c r="L809" s="378"/>
      <c r="M809" s="378"/>
      <c r="N809" s="378"/>
      <c r="O809" s="378"/>
      <c r="P809" s="378"/>
    </row>
    <row r="810" spans="3:16" x14ac:dyDescent="0.3">
      <c r="C810" s="373"/>
      <c r="D810" s="374"/>
      <c r="E810" s="375"/>
      <c r="F810" s="376"/>
      <c r="G810" s="377"/>
      <c r="H810" s="377"/>
      <c r="I810" s="377"/>
      <c r="J810" s="376"/>
      <c r="K810" s="378"/>
      <c r="L810" s="378"/>
      <c r="M810" s="378"/>
      <c r="N810" s="378"/>
      <c r="O810" s="378"/>
      <c r="P810" s="378"/>
    </row>
    <row r="811" spans="3:16" x14ac:dyDescent="0.3">
      <c r="C811" s="373"/>
      <c r="D811" s="374"/>
      <c r="E811" s="375"/>
      <c r="F811" s="376"/>
      <c r="G811" s="377"/>
      <c r="H811" s="377"/>
      <c r="I811" s="377"/>
      <c r="J811" s="376"/>
      <c r="K811" s="378"/>
      <c r="L811" s="378"/>
      <c r="M811" s="378"/>
      <c r="N811" s="378"/>
      <c r="O811" s="378"/>
      <c r="P811" s="378"/>
    </row>
    <row r="812" spans="3:16" x14ac:dyDescent="0.3">
      <c r="C812" s="373"/>
      <c r="D812" s="374"/>
      <c r="E812" s="375"/>
      <c r="F812" s="376"/>
      <c r="G812" s="377"/>
      <c r="H812" s="377"/>
      <c r="I812" s="377"/>
      <c r="J812" s="376"/>
      <c r="K812" s="378"/>
      <c r="L812" s="378"/>
      <c r="M812" s="378"/>
      <c r="N812" s="378"/>
      <c r="O812" s="378"/>
      <c r="P812" s="378"/>
    </row>
    <row r="813" spans="3:16" x14ac:dyDescent="0.3">
      <c r="C813" s="373"/>
      <c r="D813" s="374"/>
      <c r="E813" s="375"/>
      <c r="F813" s="376"/>
      <c r="G813" s="377"/>
      <c r="H813" s="377"/>
      <c r="I813" s="377"/>
      <c r="J813" s="376"/>
      <c r="K813" s="378"/>
      <c r="L813" s="378"/>
      <c r="M813" s="378"/>
      <c r="N813" s="378"/>
      <c r="O813" s="378"/>
      <c r="P813" s="378"/>
    </row>
    <row r="814" spans="3:16" x14ac:dyDescent="0.3">
      <c r="C814" s="373"/>
      <c r="D814" s="374"/>
      <c r="E814" s="375"/>
      <c r="F814" s="376"/>
      <c r="G814" s="377"/>
      <c r="H814" s="377"/>
      <c r="I814" s="377"/>
      <c r="J814" s="376"/>
      <c r="K814" s="378"/>
      <c r="L814" s="378"/>
      <c r="M814" s="378"/>
      <c r="N814" s="378"/>
      <c r="O814" s="378"/>
      <c r="P814" s="378"/>
    </row>
    <row r="815" spans="3:16" x14ac:dyDescent="0.3">
      <c r="C815" s="373"/>
      <c r="D815" s="374"/>
      <c r="E815" s="375"/>
      <c r="F815" s="376"/>
      <c r="G815" s="377"/>
      <c r="H815" s="377"/>
      <c r="I815" s="377"/>
      <c r="J815" s="376"/>
      <c r="K815" s="378"/>
      <c r="L815" s="378"/>
      <c r="M815" s="378"/>
      <c r="N815" s="378"/>
      <c r="O815" s="378"/>
      <c r="P815" s="378"/>
    </row>
    <row r="816" spans="3:16" x14ac:dyDescent="0.3">
      <c r="C816" s="373"/>
      <c r="D816" s="374"/>
      <c r="E816" s="375"/>
      <c r="F816" s="376"/>
      <c r="G816" s="377"/>
      <c r="H816" s="377"/>
      <c r="I816" s="377"/>
      <c r="J816" s="376"/>
      <c r="K816" s="378"/>
      <c r="L816" s="378"/>
      <c r="M816" s="378"/>
      <c r="N816" s="378"/>
      <c r="O816" s="378"/>
      <c r="P816" s="378"/>
    </row>
    <row r="817" spans="3:16" x14ac:dyDescent="0.3">
      <c r="C817" s="373"/>
      <c r="D817" s="374"/>
      <c r="E817" s="375"/>
      <c r="F817" s="376"/>
      <c r="G817" s="377"/>
      <c r="H817" s="377"/>
      <c r="I817" s="377"/>
      <c r="J817" s="376"/>
      <c r="K817" s="378"/>
      <c r="L817" s="378"/>
      <c r="M817" s="378"/>
      <c r="N817" s="378"/>
      <c r="O817" s="378"/>
      <c r="P817" s="378"/>
    </row>
    <row r="818" spans="3:16" x14ac:dyDescent="0.3">
      <c r="C818" s="373"/>
      <c r="D818" s="374"/>
      <c r="E818" s="375"/>
      <c r="F818" s="376"/>
      <c r="G818" s="377"/>
      <c r="H818" s="377"/>
      <c r="I818" s="377"/>
      <c r="J818" s="376"/>
      <c r="K818" s="378"/>
      <c r="L818" s="378"/>
      <c r="M818" s="378"/>
      <c r="N818" s="378"/>
      <c r="O818" s="378"/>
      <c r="P818" s="378"/>
    </row>
    <row r="819" spans="3:16" x14ac:dyDescent="0.3">
      <c r="C819" s="373"/>
      <c r="D819" s="374"/>
      <c r="E819" s="375"/>
      <c r="F819" s="376"/>
      <c r="G819" s="377"/>
      <c r="H819" s="377"/>
      <c r="I819" s="377"/>
      <c r="J819" s="376"/>
      <c r="K819" s="378"/>
      <c r="L819" s="378"/>
      <c r="M819" s="378"/>
      <c r="N819" s="378"/>
      <c r="O819" s="378"/>
      <c r="P819" s="378"/>
    </row>
    <row r="820" spans="3:16" x14ac:dyDescent="0.3">
      <c r="C820" s="373"/>
      <c r="D820" s="374"/>
      <c r="E820" s="375"/>
      <c r="F820" s="376"/>
      <c r="G820" s="377"/>
      <c r="H820" s="377"/>
      <c r="I820" s="377"/>
      <c r="J820" s="376"/>
      <c r="K820" s="378"/>
      <c r="L820" s="378"/>
      <c r="M820" s="378"/>
      <c r="N820" s="378"/>
      <c r="O820" s="378"/>
      <c r="P820" s="378"/>
    </row>
    <row r="821" spans="3:16" x14ac:dyDescent="0.3">
      <c r="C821" s="373"/>
      <c r="D821" s="374"/>
      <c r="E821" s="375"/>
      <c r="F821" s="376"/>
      <c r="G821" s="377"/>
      <c r="H821" s="377"/>
      <c r="I821" s="377"/>
      <c r="J821" s="376"/>
      <c r="K821" s="378"/>
      <c r="L821" s="378"/>
      <c r="M821" s="378"/>
      <c r="N821" s="378"/>
      <c r="O821" s="378"/>
      <c r="P821" s="378"/>
    </row>
    <row r="822" spans="3:16" x14ac:dyDescent="0.3">
      <c r="C822" s="373"/>
      <c r="D822" s="374"/>
      <c r="E822" s="375"/>
      <c r="F822" s="376"/>
      <c r="G822" s="377"/>
      <c r="H822" s="377"/>
      <c r="I822" s="377"/>
      <c r="J822" s="376"/>
      <c r="K822" s="378"/>
      <c r="L822" s="378"/>
      <c r="M822" s="378"/>
      <c r="N822" s="378"/>
      <c r="O822" s="378"/>
      <c r="P822" s="378"/>
    </row>
    <row r="823" spans="3:16" x14ac:dyDescent="0.3">
      <c r="C823" s="373"/>
      <c r="D823" s="374"/>
      <c r="E823" s="375"/>
      <c r="F823" s="376"/>
      <c r="G823" s="377"/>
      <c r="H823" s="377"/>
      <c r="I823" s="377"/>
      <c r="J823" s="376"/>
      <c r="K823" s="378"/>
      <c r="L823" s="378"/>
      <c r="M823" s="378"/>
      <c r="N823" s="378"/>
      <c r="O823" s="378"/>
      <c r="P823" s="378"/>
    </row>
    <row r="824" spans="3:16" x14ac:dyDescent="0.3">
      <c r="C824" s="373"/>
      <c r="D824" s="374"/>
      <c r="E824" s="375"/>
      <c r="F824" s="376"/>
      <c r="G824" s="377"/>
      <c r="H824" s="377"/>
      <c r="I824" s="377"/>
      <c r="J824" s="376"/>
      <c r="K824" s="378"/>
      <c r="L824" s="378"/>
      <c r="M824" s="378"/>
      <c r="N824" s="378"/>
      <c r="O824" s="378"/>
      <c r="P824" s="378"/>
    </row>
    <row r="825" spans="3:16" x14ac:dyDescent="0.3">
      <c r="C825" s="373"/>
      <c r="D825" s="374"/>
      <c r="E825" s="375"/>
      <c r="F825" s="376"/>
      <c r="G825" s="377"/>
      <c r="H825" s="377"/>
      <c r="I825" s="377"/>
      <c r="J825" s="376"/>
      <c r="K825" s="378"/>
      <c r="L825" s="378"/>
      <c r="M825" s="378"/>
      <c r="N825" s="378"/>
      <c r="O825" s="378"/>
      <c r="P825" s="378"/>
    </row>
    <row r="826" spans="3:16" x14ac:dyDescent="0.3">
      <c r="C826" s="373"/>
      <c r="D826" s="374"/>
      <c r="E826" s="375"/>
      <c r="F826" s="376"/>
      <c r="G826" s="377"/>
      <c r="H826" s="377"/>
      <c r="I826" s="377"/>
      <c r="J826" s="376"/>
      <c r="K826" s="378"/>
      <c r="L826" s="378"/>
      <c r="M826" s="378"/>
      <c r="N826" s="378"/>
      <c r="O826" s="378"/>
      <c r="P826" s="378"/>
    </row>
    <row r="827" spans="3:16" x14ac:dyDescent="0.3">
      <c r="C827" s="373"/>
      <c r="D827" s="374"/>
      <c r="E827" s="375"/>
      <c r="F827" s="376"/>
      <c r="G827" s="377"/>
      <c r="H827" s="377"/>
      <c r="I827" s="377"/>
      <c r="J827" s="376"/>
      <c r="K827" s="378"/>
      <c r="L827" s="378"/>
      <c r="M827" s="378"/>
      <c r="N827" s="378"/>
      <c r="O827" s="378"/>
      <c r="P827" s="378"/>
    </row>
    <row r="828" spans="3:16" x14ac:dyDescent="0.3">
      <c r="C828" s="373"/>
      <c r="D828" s="374"/>
      <c r="E828" s="375"/>
      <c r="F828" s="376"/>
      <c r="G828" s="377"/>
      <c r="H828" s="377"/>
      <c r="I828" s="377"/>
      <c r="J828" s="376"/>
      <c r="K828" s="378"/>
      <c r="L828" s="378"/>
      <c r="M828" s="378"/>
      <c r="N828" s="378"/>
      <c r="O828" s="378"/>
      <c r="P828" s="378"/>
    </row>
    <row r="829" spans="3:16" x14ac:dyDescent="0.3">
      <c r="C829" s="373"/>
      <c r="D829" s="374"/>
      <c r="E829" s="375"/>
      <c r="F829" s="376"/>
      <c r="G829" s="377"/>
      <c r="H829" s="377"/>
      <c r="I829" s="377"/>
      <c r="J829" s="376"/>
      <c r="K829" s="378"/>
      <c r="L829" s="378"/>
      <c r="M829" s="378"/>
      <c r="N829" s="378"/>
      <c r="O829" s="378"/>
      <c r="P829" s="378"/>
    </row>
    <row r="830" spans="3:16" x14ac:dyDescent="0.3">
      <c r="C830" s="373"/>
      <c r="D830" s="374"/>
      <c r="E830" s="375"/>
      <c r="F830" s="376"/>
      <c r="G830" s="377"/>
      <c r="H830" s="377"/>
      <c r="I830" s="377"/>
      <c r="J830" s="376"/>
      <c r="K830" s="378"/>
      <c r="L830" s="378"/>
      <c r="M830" s="378"/>
      <c r="N830" s="378"/>
      <c r="O830" s="378"/>
      <c r="P830" s="378"/>
    </row>
    <row r="831" spans="3:16" x14ac:dyDescent="0.3">
      <c r="C831" s="373"/>
      <c r="D831" s="374"/>
      <c r="E831" s="375"/>
      <c r="F831" s="376"/>
      <c r="G831" s="377"/>
      <c r="H831" s="377"/>
      <c r="I831" s="377"/>
      <c r="J831" s="376"/>
      <c r="K831" s="378"/>
      <c r="L831" s="378"/>
      <c r="M831" s="378"/>
      <c r="N831" s="378"/>
      <c r="O831" s="378"/>
      <c r="P831" s="378"/>
    </row>
    <row r="832" spans="3:16" x14ac:dyDescent="0.3">
      <c r="C832" s="373"/>
      <c r="D832" s="374"/>
      <c r="E832" s="375"/>
      <c r="F832" s="376"/>
      <c r="G832" s="377"/>
      <c r="H832" s="377"/>
      <c r="I832" s="377"/>
      <c r="J832" s="376"/>
      <c r="K832" s="378"/>
      <c r="L832" s="378"/>
      <c r="M832" s="378"/>
      <c r="N832" s="378"/>
      <c r="O832" s="378"/>
      <c r="P832" s="378"/>
    </row>
    <row r="833" spans="3:16" x14ac:dyDescent="0.3">
      <c r="C833" s="373"/>
      <c r="D833" s="374"/>
      <c r="E833" s="375"/>
      <c r="F833" s="376"/>
      <c r="G833" s="377"/>
      <c r="H833" s="377"/>
      <c r="I833" s="377"/>
      <c r="J833" s="376"/>
      <c r="K833" s="378"/>
      <c r="L833" s="378"/>
      <c r="M833" s="378"/>
      <c r="N833" s="378"/>
      <c r="O833" s="378"/>
      <c r="P833" s="378"/>
    </row>
    <row r="834" spans="3:16" x14ac:dyDescent="0.3">
      <c r="C834" s="373"/>
      <c r="D834" s="374"/>
      <c r="E834" s="375"/>
      <c r="F834" s="376"/>
      <c r="G834" s="377"/>
      <c r="H834" s="377"/>
      <c r="I834" s="377"/>
      <c r="J834" s="376"/>
      <c r="K834" s="378"/>
      <c r="L834" s="378"/>
      <c r="M834" s="378"/>
      <c r="N834" s="378"/>
      <c r="O834" s="378"/>
      <c r="P834" s="378"/>
    </row>
    <row r="835" spans="3:16" x14ac:dyDescent="0.3">
      <c r="C835" s="379"/>
      <c r="D835" s="312"/>
      <c r="E835" s="380"/>
      <c r="F835" s="314"/>
      <c r="G835" s="315"/>
      <c r="H835" s="315"/>
      <c r="I835" s="315"/>
      <c r="J835" s="314"/>
      <c r="K835" s="316"/>
      <c r="L835" s="316"/>
      <c r="M835" s="316"/>
      <c r="N835" s="316"/>
      <c r="O835" s="316"/>
      <c r="P835" s="316"/>
    </row>
    <row r="836" spans="3:16" x14ac:dyDescent="0.3">
      <c r="C836" s="373"/>
      <c r="D836" s="374"/>
      <c r="E836" s="375"/>
      <c r="F836" s="376"/>
      <c r="G836" s="377"/>
      <c r="H836" s="377"/>
      <c r="I836" s="377"/>
      <c r="J836" s="376"/>
      <c r="K836" s="378"/>
      <c r="L836" s="378"/>
      <c r="M836" s="378"/>
      <c r="N836" s="378"/>
      <c r="O836" s="378"/>
      <c r="P836" s="378"/>
    </row>
    <row r="837" spans="3:16" x14ac:dyDescent="0.3">
      <c r="C837" s="373"/>
      <c r="D837" s="374"/>
      <c r="E837" s="375"/>
      <c r="F837" s="376"/>
      <c r="G837" s="377"/>
      <c r="H837" s="377"/>
      <c r="I837" s="377"/>
      <c r="J837" s="376"/>
      <c r="K837" s="378"/>
      <c r="L837" s="378"/>
      <c r="M837" s="378"/>
      <c r="N837" s="378"/>
      <c r="O837" s="378"/>
      <c r="P837" s="378"/>
    </row>
    <row r="838" spans="3:16" x14ac:dyDescent="0.3">
      <c r="C838" s="373"/>
      <c r="D838" s="374"/>
      <c r="E838" s="375"/>
      <c r="F838" s="376"/>
      <c r="G838" s="377"/>
      <c r="H838" s="377"/>
      <c r="I838" s="377"/>
      <c r="J838" s="376"/>
      <c r="K838" s="378"/>
      <c r="L838" s="378"/>
      <c r="M838" s="378"/>
      <c r="N838" s="378"/>
      <c r="O838" s="378"/>
      <c r="P838" s="378"/>
    </row>
    <row r="839" spans="3:16" x14ac:dyDescent="0.3">
      <c r="C839" s="373"/>
      <c r="D839" s="374"/>
      <c r="E839" s="375"/>
      <c r="F839" s="376"/>
      <c r="G839" s="377"/>
      <c r="H839" s="377"/>
      <c r="I839" s="377"/>
      <c r="J839" s="376"/>
      <c r="K839" s="378"/>
      <c r="L839" s="378"/>
      <c r="M839" s="378"/>
      <c r="N839" s="378"/>
      <c r="O839" s="378"/>
      <c r="P839" s="378"/>
    </row>
    <row r="840" spans="3:16" x14ac:dyDescent="0.3">
      <c r="C840" s="373"/>
      <c r="D840" s="374"/>
      <c r="E840" s="375"/>
      <c r="F840" s="376"/>
      <c r="G840" s="377"/>
      <c r="H840" s="377"/>
      <c r="I840" s="377"/>
      <c r="J840" s="376"/>
      <c r="K840" s="378"/>
      <c r="L840" s="378"/>
      <c r="M840" s="378"/>
      <c r="N840" s="378"/>
      <c r="O840" s="378"/>
      <c r="P840" s="378"/>
    </row>
    <row r="841" spans="3:16" x14ac:dyDescent="0.3">
      <c r="C841" s="373"/>
      <c r="D841" s="374"/>
      <c r="E841" s="375"/>
      <c r="F841" s="376"/>
      <c r="G841" s="377"/>
      <c r="H841" s="377"/>
      <c r="I841" s="377"/>
      <c r="J841" s="376"/>
      <c r="K841" s="378"/>
      <c r="L841" s="378"/>
      <c r="M841" s="378"/>
      <c r="N841" s="378"/>
      <c r="O841" s="378"/>
      <c r="P841" s="378"/>
    </row>
    <row r="842" spans="3:16" x14ac:dyDescent="0.3">
      <c r="C842" s="373"/>
      <c r="D842" s="374"/>
      <c r="E842" s="375"/>
      <c r="F842" s="376"/>
      <c r="G842" s="377"/>
      <c r="H842" s="377"/>
      <c r="I842" s="377"/>
      <c r="J842" s="376"/>
      <c r="K842" s="378"/>
      <c r="L842" s="378"/>
      <c r="M842" s="378"/>
      <c r="N842" s="378"/>
      <c r="O842" s="378"/>
      <c r="P842" s="378"/>
    </row>
    <row r="843" spans="3:16" x14ac:dyDescent="0.3">
      <c r="C843" s="373"/>
      <c r="D843" s="374"/>
      <c r="E843" s="375"/>
      <c r="F843" s="376"/>
      <c r="G843" s="377"/>
      <c r="H843" s="377"/>
      <c r="I843" s="377"/>
      <c r="J843" s="376"/>
      <c r="K843" s="378"/>
      <c r="L843" s="378"/>
      <c r="M843" s="378"/>
      <c r="N843" s="378"/>
      <c r="O843" s="378"/>
      <c r="P843" s="378"/>
    </row>
    <row r="844" spans="3:16" x14ac:dyDescent="0.3">
      <c r="C844" s="373"/>
      <c r="D844" s="374"/>
      <c r="E844" s="375"/>
      <c r="F844" s="376"/>
      <c r="G844" s="377"/>
      <c r="H844" s="377"/>
      <c r="I844" s="377"/>
      <c r="J844" s="376"/>
      <c r="K844" s="378"/>
      <c r="L844" s="378"/>
      <c r="M844" s="378"/>
      <c r="N844" s="378"/>
      <c r="O844" s="378"/>
      <c r="P844" s="378"/>
    </row>
    <row r="845" spans="3:16" x14ac:dyDescent="0.3">
      <c r="C845" s="373"/>
      <c r="D845" s="374"/>
      <c r="E845" s="375"/>
      <c r="F845" s="376"/>
      <c r="G845" s="377"/>
      <c r="H845" s="377"/>
      <c r="I845" s="377"/>
      <c r="J845" s="376"/>
      <c r="K845" s="378"/>
      <c r="L845" s="378"/>
      <c r="M845" s="378"/>
      <c r="N845" s="378"/>
      <c r="O845" s="378"/>
      <c r="P845" s="378"/>
    </row>
    <row r="846" spans="3:16" x14ac:dyDescent="0.3">
      <c r="C846" s="373"/>
      <c r="D846" s="374"/>
      <c r="E846" s="375"/>
      <c r="F846" s="376"/>
      <c r="G846" s="377"/>
      <c r="H846" s="377"/>
      <c r="I846" s="377"/>
      <c r="J846" s="376"/>
      <c r="K846" s="378"/>
      <c r="L846" s="378"/>
      <c r="M846" s="378"/>
      <c r="N846" s="378"/>
      <c r="O846" s="378"/>
      <c r="P846" s="378"/>
    </row>
    <row r="847" spans="3:16" x14ac:dyDescent="0.3">
      <c r="C847" s="373"/>
      <c r="D847" s="374"/>
      <c r="E847" s="375"/>
      <c r="F847" s="376"/>
      <c r="G847" s="377"/>
      <c r="H847" s="377"/>
      <c r="I847" s="377"/>
      <c r="J847" s="376"/>
      <c r="K847" s="378"/>
      <c r="L847" s="378"/>
      <c r="M847" s="378"/>
      <c r="N847" s="378"/>
      <c r="O847" s="378"/>
      <c r="P847" s="378"/>
    </row>
    <row r="848" spans="3:16" x14ac:dyDescent="0.3">
      <c r="C848" s="373"/>
      <c r="D848" s="374"/>
      <c r="E848" s="375"/>
      <c r="F848" s="376"/>
      <c r="G848" s="377"/>
      <c r="H848" s="377"/>
      <c r="I848" s="377"/>
      <c r="J848" s="376"/>
      <c r="K848" s="378"/>
      <c r="L848" s="378"/>
      <c r="M848" s="378"/>
      <c r="N848" s="378"/>
      <c r="O848" s="378"/>
      <c r="P848" s="378"/>
    </row>
    <row r="849" spans="3:16" x14ac:dyDescent="0.3">
      <c r="C849" s="373"/>
      <c r="D849" s="374"/>
      <c r="E849" s="375"/>
      <c r="F849" s="376"/>
      <c r="G849" s="377"/>
      <c r="H849" s="377"/>
      <c r="I849" s="377"/>
      <c r="J849" s="376"/>
      <c r="K849" s="378"/>
      <c r="L849" s="378"/>
      <c r="M849" s="378"/>
      <c r="N849" s="378"/>
      <c r="O849" s="378"/>
      <c r="P849" s="378"/>
    </row>
    <row r="850" spans="3:16" x14ac:dyDescent="0.3">
      <c r="C850" s="373"/>
      <c r="D850" s="374"/>
      <c r="E850" s="375"/>
      <c r="F850" s="376"/>
      <c r="G850" s="377"/>
      <c r="H850" s="377"/>
      <c r="I850" s="377"/>
      <c r="J850" s="376"/>
      <c r="K850" s="378"/>
      <c r="L850" s="378"/>
      <c r="M850" s="378"/>
      <c r="N850" s="378"/>
      <c r="O850" s="378"/>
      <c r="P850" s="378"/>
    </row>
    <row r="851" spans="3:16" x14ac:dyDescent="0.3">
      <c r="C851" s="373"/>
      <c r="D851" s="374"/>
      <c r="E851" s="375"/>
      <c r="F851" s="376"/>
      <c r="G851" s="377"/>
      <c r="H851" s="377"/>
      <c r="I851" s="377"/>
      <c r="J851" s="376"/>
      <c r="K851" s="378"/>
      <c r="L851" s="378"/>
      <c r="M851" s="378"/>
      <c r="N851" s="378"/>
      <c r="O851" s="378"/>
      <c r="P851" s="378"/>
    </row>
    <row r="852" spans="3:16" x14ac:dyDescent="0.3">
      <c r="C852" s="373"/>
      <c r="D852" s="374"/>
      <c r="E852" s="375"/>
      <c r="F852" s="376"/>
      <c r="G852" s="377"/>
      <c r="H852" s="377"/>
      <c r="I852" s="377"/>
      <c r="J852" s="376"/>
      <c r="K852" s="378"/>
      <c r="L852" s="378"/>
      <c r="M852" s="378"/>
      <c r="N852" s="378"/>
      <c r="O852" s="378"/>
      <c r="P852" s="378"/>
    </row>
    <row r="853" spans="3:16" x14ac:dyDescent="0.3">
      <c r="C853" s="373"/>
      <c r="D853" s="374"/>
      <c r="E853" s="375"/>
      <c r="F853" s="376"/>
      <c r="G853" s="377"/>
      <c r="H853" s="377"/>
      <c r="I853" s="377"/>
      <c r="J853" s="376"/>
      <c r="K853" s="378"/>
      <c r="L853" s="378"/>
      <c r="M853" s="378"/>
      <c r="N853" s="378"/>
      <c r="O853" s="378"/>
      <c r="P853" s="378"/>
    </row>
    <row r="854" spans="3:16" x14ac:dyDescent="0.3">
      <c r="C854" s="373"/>
      <c r="D854" s="374"/>
      <c r="E854" s="375"/>
      <c r="F854" s="376"/>
      <c r="G854" s="377"/>
      <c r="H854" s="377"/>
      <c r="I854" s="377"/>
      <c r="J854" s="376"/>
      <c r="K854" s="378"/>
      <c r="L854" s="378"/>
      <c r="M854" s="378"/>
      <c r="N854" s="378"/>
      <c r="O854" s="378"/>
      <c r="P854" s="378"/>
    </row>
    <row r="855" spans="3:16" x14ac:dyDescent="0.3">
      <c r="C855" s="373"/>
      <c r="D855" s="374"/>
      <c r="E855" s="375"/>
      <c r="F855" s="376"/>
      <c r="G855" s="377"/>
      <c r="H855" s="377"/>
      <c r="I855" s="377"/>
      <c r="J855" s="376"/>
      <c r="K855" s="378"/>
      <c r="L855" s="378"/>
      <c r="M855" s="378"/>
      <c r="N855" s="378"/>
      <c r="O855" s="378"/>
      <c r="P855" s="378"/>
    </row>
    <row r="856" spans="3:16" x14ac:dyDescent="0.3">
      <c r="C856" s="373"/>
      <c r="D856" s="374"/>
      <c r="E856" s="375"/>
      <c r="F856" s="376"/>
      <c r="G856" s="377"/>
      <c r="H856" s="377"/>
      <c r="I856" s="377"/>
      <c r="J856" s="376"/>
      <c r="K856" s="378"/>
      <c r="L856" s="378"/>
      <c r="M856" s="378"/>
      <c r="N856" s="378"/>
      <c r="O856" s="378"/>
      <c r="P856" s="378"/>
    </row>
    <row r="857" spans="3:16" x14ac:dyDescent="0.3">
      <c r="C857" s="373"/>
      <c r="D857" s="374"/>
      <c r="E857" s="375"/>
      <c r="F857" s="376"/>
      <c r="G857" s="377"/>
      <c r="H857" s="377"/>
      <c r="I857" s="377"/>
      <c r="J857" s="376"/>
      <c r="K857" s="378"/>
      <c r="L857" s="378"/>
      <c r="M857" s="378"/>
      <c r="N857" s="378"/>
      <c r="O857" s="378"/>
      <c r="P857" s="378"/>
    </row>
    <row r="858" spans="3:16" x14ac:dyDescent="0.3">
      <c r="C858" s="373"/>
      <c r="D858" s="374"/>
      <c r="E858" s="375"/>
      <c r="F858" s="376"/>
      <c r="G858" s="377"/>
      <c r="H858" s="377"/>
      <c r="I858" s="377"/>
      <c r="J858" s="376"/>
      <c r="K858" s="378"/>
      <c r="L858" s="378"/>
      <c r="M858" s="378"/>
      <c r="N858" s="378"/>
      <c r="O858" s="378"/>
      <c r="P858" s="378"/>
    </row>
    <row r="859" spans="3:16" x14ac:dyDescent="0.3">
      <c r="C859" s="373"/>
      <c r="D859" s="374"/>
      <c r="E859" s="375"/>
      <c r="F859" s="376"/>
      <c r="G859" s="377"/>
      <c r="H859" s="377"/>
      <c r="I859" s="377"/>
      <c r="J859" s="376"/>
      <c r="K859" s="378"/>
      <c r="L859" s="378"/>
      <c r="M859" s="378"/>
      <c r="N859" s="378"/>
      <c r="O859" s="378"/>
      <c r="P859" s="378"/>
    </row>
    <row r="860" spans="3:16" x14ac:dyDescent="0.3">
      <c r="C860" s="373"/>
      <c r="D860" s="374"/>
      <c r="E860" s="375"/>
      <c r="F860" s="376"/>
      <c r="G860" s="377"/>
      <c r="H860" s="377"/>
      <c r="I860" s="377"/>
      <c r="J860" s="376"/>
      <c r="K860" s="378"/>
      <c r="L860" s="378"/>
      <c r="M860" s="378"/>
      <c r="N860" s="378"/>
      <c r="O860" s="378"/>
      <c r="P860" s="378"/>
    </row>
    <row r="861" spans="3:16" x14ac:dyDescent="0.3">
      <c r="C861" s="373"/>
      <c r="D861" s="374"/>
      <c r="E861" s="375"/>
      <c r="F861" s="376"/>
      <c r="G861" s="377"/>
      <c r="H861" s="377"/>
      <c r="I861" s="377"/>
      <c r="J861" s="376"/>
      <c r="K861" s="378"/>
      <c r="L861" s="378"/>
      <c r="M861" s="378"/>
      <c r="N861" s="378"/>
      <c r="O861" s="378"/>
      <c r="P861" s="378"/>
    </row>
    <row r="862" spans="3:16" x14ac:dyDescent="0.3">
      <c r="C862" s="373"/>
      <c r="D862" s="374"/>
      <c r="E862" s="375"/>
      <c r="F862" s="376"/>
      <c r="G862" s="377"/>
      <c r="H862" s="377"/>
      <c r="I862" s="377"/>
      <c r="J862" s="376"/>
      <c r="K862" s="378"/>
      <c r="L862" s="378"/>
      <c r="M862" s="378"/>
      <c r="N862" s="378"/>
      <c r="O862" s="378"/>
      <c r="P862" s="378"/>
    </row>
    <row r="863" spans="3:16" x14ac:dyDescent="0.3">
      <c r="C863" s="373"/>
      <c r="D863" s="374"/>
      <c r="E863" s="375"/>
      <c r="F863" s="376"/>
      <c r="G863" s="377"/>
      <c r="H863" s="377"/>
      <c r="I863" s="377"/>
      <c r="J863" s="376"/>
      <c r="K863" s="378"/>
      <c r="L863" s="378"/>
      <c r="M863" s="378"/>
      <c r="N863" s="378"/>
      <c r="O863" s="378"/>
      <c r="P863" s="378"/>
    </row>
    <row r="864" spans="3:16" x14ac:dyDescent="0.3">
      <c r="C864" s="373"/>
      <c r="D864" s="374"/>
      <c r="E864" s="375"/>
      <c r="F864" s="376"/>
      <c r="G864" s="377"/>
      <c r="H864" s="377"/>
      <c r="I864" s="377"/>
      <c r="J864" s="376"/>
      <c r="K864" s="378"/>
      <c r="L864" s="378"/>
      <c r="M864" s="378"/>
      <c r="N864" s="378"/>
      <c r="O864" s="378"/>
      <c r="P864" s="378"/>
    </row>
    <row r="865" spans="3:16" x14ac:dyDescent="0.3">
      <c r="C865" s="373"/>
      <c r="D865" s="374"/>
      <c r="E865" s="375"/>
      <c r="F865" s="376"/>
      <c r="G865" s="377"/>
      <c r="H865" s="377"/>
      <c r="I865" s="377"/>
      <c r="J865" s="376"/>
      <c r="K865" s="378"/>
      <c r="L865" s="378"/>
      <c r="M865" s="378"/>
      <c r="N865" s="378"/>
      <c r="O865" s="378"/>
      <c r="P865" s="378"/>
    </row>
    <row r="866" spans="3:16" x14ac:dyDescent="0.3">
      <c r="C866" s="373"/>
      <c r="D866" s="374"/>
      <c r="E866" s="375"/>
      <c r="F866" s="376"/>
      <c r="G866" s="377"/>
      <c r="H866" s="377"/>
      <c r="I866" s="377"/>
      <c r="J866" s="376"/>
      <c r="K866" s="378"/>
      <c r="L866" s="378"/>
      <c r="M866" s="378"/>
      <c r="N866" s="378"/>
      <c r="O866" s="378"/>
      <c r="P866" s="378"/>
    </row>
    <row r="867" spans="3:16" x14ac:dyDescent="0.3">
      <c r="C867" s="373"/>
      <c r="D867" s="374"/>
      <c r="E867" s="375"/>
      <c r="F867" s="376"/>
      <c r="G867" s="377"/>
      <c r="H867" s="377"/>
      <c r="I867" s="377"/>
      <c r="J867" s="376"/>
      <c r="K867" s="378"/>
      <c r="L867" s="378"/>
      <c r="M867" s="378"/>
      <c r="N867" s="378"/>
      <c r="O867" s="378"/>
      <c r="P867" s="378"/>
    </row>
    <row r="868" spans="3:16" x14ac:dyDescent="0.3">
      <c r="C868" s="373"/>
      <c r="D868" s="374"/>
      <c r="E868" s="375"/>
      <c r="F868" s="376"/>
      <c r="G868" s="377"/>
      <c r="H868" s="377"/>
      <c r="I868" s="377"/>
      <c r="J868" s="376"/>
      <c r="K868" s="378"/>
      <c r="L868" s="378"/>
      <c r="M868" s="378"/>
      <c r="N868" s="378"/>
      <c r="O868" s="378"/>
      <c r="P868" s="378"/>
    </row>
    <row r="869" spans="3:16" x14ac:dyDescent="0.3">
      <c r="C869" s="373"/>
      <c r="D869" s="374"/>
      <c r="E869" s="375"/>
      <c r="F869" s="376"/>
      <c r="G869" s="377"/>
      <c r="H869" s="377"/>
      <c r="I869" s="377"/>
      <c r="J869" s="376"/>
      <c r="K869" s="378"/>
      <c r="L869" s="378"/>
      <c r="M869" s="378"/>
      <c r="N869" s="378"/>
      <c r="O869" s="378"/>
      <c r="P869" s="378"/>
    </row>
    <row r="870" spans="3:16" x14ac:dyDescent="0.3">
      <c r="C870" s="373"/>
      <c r="D870" s="374"/>
      <c r="E870" s="375"/>
      <c r="F870" s="376"/>
      <c r="G870" s="377"/>
      <c r="H870" s="377"/>
      <c r="I870" s="377"/>
      <c r="J870" s="376"/>
      <c r="K870" s="378"/>
      <c r="L870" s="378"/>
      <c r="M870" s="378"/>
      <c r="N870" s="378"/>
      <c r="O870" s="378"/>
      <c r="P870" s="378"/>
    </row>
    <row r="871" spans="3:16" x14ac:dyDescent="0.3">
      <c r="C871" s="373"/>
      <c r="D871" s="374"/>
      <c r="E871" s="375"/>
      <c r="F871" s="376"/>
      <c r="G871" s="377"/>
      <c r="H871" s="377"/>
      <c r="I871" s="377"/>
      <c r="J871" s="376"/>
      <c r="K871" s="378"/>
      <c r="L871" s="378"/>
      <c r="M871" s="378"/>
      <c r="N871" s="378"/>
      <c r="O871" s="378"/>
      <c r="P871" s="378"/>
    </row>
    <row r="872" spans="3:16" x14ac:dyDescent="0.3">
      <c r="C872" s="373"/>
      <c r="D872" s="374"/>
      <c r="E872" s="375"/>
      <c r="F872" s="376"/>
      <c r="G872" s="377"/>
      <c r="H872" s="377"/>
      <c r="I872" s="377"/>
      <c r="J872" s="376"/>
      <c r="K872" s="378"/>
      <c r="L872" s="378"/>
      <c r="M872" s="378"/>
      <c r="N872" s="378"/>
      <c r="O872" s="378"/>
      <c r="P872" s="378"/>
    </row>
    <row r="873" spans="3:16" x14ac:dyDescent="0.3">
      <c r="C873" s="373"/>
      <c r="D873" s="374"/>
      <c r="E873" s="375"/>
      <c r="F873" s="376"/>
      <c r="G873" s="377"/>
      <c r="H873" s="377"/>
      <c r="I873" s="377"/>
      <c r="J873" s="376"/>
      <c r="K873" s="378"/>
      <c r="L873" s="378"/>
      <c r="M873" s="378"/>
      <c r="N873" s="378"/>
      <c r="O873" s="378"/>
      <c r="P873" s="378"/>
    </row>
    <row r="874" spans="3:16" x14ac:dyDescent="0.3">
      <c r="C874" s="373"/>
      <c r="D874" s="374"/>
      <c r="E874" s="375"/>
      <c r="F874" s="376"/>
      <c r="G874" s="377"/>
      <c r="H874" s="377"/>
      <c r="I874" s="377"/>
      <c r="J874" s="376"/>
      <c r="K874" s="378"/>
      <c r="L874" s="378"/>
      <c r="M874" s="378"/>
      <c r="N874" s="378"/>
      <c r="O874" s="378"/>
      <c r="P874" s="378"/>
    </row>
    <row r="875" spans="3:16" x14ac:dyDescent="0.3">
      <c r="C875" s="373"/>
      <c r="D875" s="374"/>
      <c r="E875" s="375"/>
      <c r="F875" s="376"/>
      <c r="G875" s="377"/>
      <c r="H875" s="377"/>
      <c r="I875" s="377"/>
      <c r="J875" s="376"/>
      <c r="K875" s="378"/>
      <c r="L875" s="378"/>
      <c r="M875" s="378"/>
      <c r="N875" s="378"/>
      <c r="O875" s="378"/>
      <c r="P875" s="378"/>
    </row>
    <row r="876" spans="3:16" x14ac:dyDescent="0.3">
      <c r="C876" s="373"/>
      <c r="D876" s="374"/>
      <c r="E876" s="375"/>
      <c r="F876" s="376"/>
      <c r="G876" s="377"/>
      <c r="H876" s="377"/>
      <c r="I876" s="377"/>
      <c r="J876" s="376"/>
      <c r="K876" s="378"/>
      <c r="L876" s="378"/>
      <c r="M876" s="378"/>
      <c r="N876" s="378"/>
      <c r="O876" s="378"/>
      <c r="P876" s="378"/>
    </row>
    <row r="877" spans="3:16" x14ac:dyDescent="0.3">
      <c r="C877" s="379"/>
      <c r="D877" s="312"/>
      <c r="E877" s="380"/>
      <c r="F877" s="314"/>
      <c r="G877" s="315"/>
      <c r="H877" s="315"/>
      <c r="I877" s="315"/>
      <c r="J877" s="314"/>
      <c r="K877" s="316"/>
      <c r="L877" s="316"/>
      <c r="M877" s="316"/>
      <c r="N877" s="316"/>
      <c r="O877" s="316"/>
      <c r="P877" s="316"/>
    </row>
    <row r="878" spans="3:16" x14ac:dyDescent="0.3">
      <c r="C878" s="373"/>
      <c r="D878" s="374"/>
      <c r="E878" s="375"/>
      <c r="F878" s="376"/>
      <c r="G878" s="377"/>
      <c r="H878" s="377"/>
      <c r="I878" s="377"/>
      <c r="J878" s="376"/>
      <c r="K878" s="378"/>
      <c r="L878" s="378"/>
      <c r="M878" s="378"/>
      <c r="N878" s="378"/>
      <c r="O878" s="378"/>
      <c r="P878" s="378"/>
    </row>
    <row r="879" spans="3:16" x14ac:dyDescent="0.3">
      <c r="C879" s="373"/>
      <c r="D879" s="374"/>
      <c r="E879" s="375"/>
      <c r="F879" s="376"/>
      <c r="G879" s="377"/>
      <c r="H879" s="377"/>
      <c r="I879" s="377"/>
      <c r="J879" s="376"/>
      <c r="K879" s="378"/>
      <c r="L879" s="378"/>
      <c r="M879" s="378"/>
      <c r="N879" s="378"/>
      <c r="O879" s="378"/>
      <c r="P879" s="378"/>
    </row>
    <row r="880" spans="3:16" x14ac:dyDescent="0.3">
      <c r="C880" s="373"/>
      <c r="D880" s="374"/>
      <c r="E880" s="375"/>
      <c r="F880" s="376"/>
      <c r="G880" s="377"/>
      <c r="H880" s="377"/>
      <c r="I880" s="377"/>
      <c r="J880" s="376"/>
      <c r="K880" s="378"/>
      <c r="L880" s="378"/>
      <c r="M880" s="378"/>
      <c r="N880" s="378"/>
      <c r="O880" s="378"/>
      <c r="P880" s="378"/>
    </row>
    <row r="881" spans="3:16" x14ac:dyDescent="0.3">
      <c r="C881" s="373"/>
      <c r="D881" s="374"/>
      <c r="E881" s="375"/>
      <c r="F881" s="376"/>
      <c r="G881" s="377"/>
      <c r="H881" s="377"/>
      <c r="I881" s="377"/>
      <c r="J881" s="376"/>
      <c r="K881" s="378"/>
      <c r="L881" s="378"/>
      <c r="M881" s="378"/>
      <c r="N881" s="378"/>
      <c r="O881" s="378"/>
      <c r="P881" s="378"/>
    </row>
    <row r="882" spans="3:16" x14ac:dyDescent="0.3">
      <c r="C882" s="373"/>
      <c r="D882" s="374"/>
      <c r="E882" s="375"/>
      <c r="F882" s="376"/>
      <c r="G882" s="377"/>
      <c r="H882" s="377"/>
      <c r="I882" s="377"/>
      <c r="J882" s="376"/>
      <c r="K882" s="378"/>
      <c r="L882" s="378"/>
      <c r="M882" s="378"/>
      <c r="N882" s="378"/>
      <c r="O882" s="378"/>
      <c r="P882" s="378"/>
    </row>
    <row r="883" spans="3:16" x14ac:dyDescent="0.3">
      <c r="C883" s="373"/>
      <c r="D883" s="374"/>
      <c r="E883" s="375"/>
      <c r="F883" s="376"/>
      <c r="G883" s="377"/>
      <c r="H883" s="377"/>
      <c r="I883" s="377"/>
      <c r="J883" s="376"/>
      <c r="K883" s="378"/>
      <c r="L883" s="378"/>
      <c r="M883" s="378"/>
      <c r="N883" s="378"/>
      <c r="O883" s="378"/>
      <c r="P883" s="378"/>
    </row>
    <row r="884" spans="3:16" x14ac:dyDescent="0.3">
      <c r="C884" s="373"/>
      <c r="D884" s="374"/>
      <c r="E884" s="375"/>
      <c r="F884" s="376"/>
      <c r="G884" s="377"/>
      <c r="H884" s="377"/>
      <c r="I884" s="377"/>
      <c r="J884" s="376"/>
      <c r="K884" s="378"/>
      <c r="L884" s="378"/>
      <c r="M884" s="378"/>
      <c r="N884" s="378"/>
      <c r="O884" s="378"/>
      <c r="P884" s="378"/>
    </row>
    <row r="885" spans="3:16" x14ac:dyDescent="0.3">
      <c r="C885" s="373"/>
      <c r="D885" s="374"/>
      <c r="E885" s="375"/>
      <c r="F885" s="376"/>
      <c r="G885" s="377"/>
      <c r="H885" s="377"/>
      <c r="I885" s="377"/>
      <c r="J885" s="376"/>
      <c r="K885" s="378"/>
      <c r="L885" s="378"/>
      <c r="M885" s="378"/>
      <c r="N885" s="378"/>
      <c r="O885" s="378"/>
      <c r="P885" s="378"/>
    </row>
    <row r="886" spans="3:16" x14ac:dyDescent="0.3">
      <c r="C886" s="373"/>
      <c r="D886" s="374"/>
      <c r="E886" s="375"/>
      <c r="F886" s="376"/>
      <c r="G886" s="377"/>
      <c r="H886" s="377"/>
      <c r="I886" s="377"/>
      <c r="J886" s="376"/>
      <c r="K886" s="378"/>
      <c r="L886" s="378"/>
      <c r="M886" s="378"/>
      <c r="N886" s="378"/>
      <c r="O886" s="378"/>
      <c r="P886" s="378"/>
    </row>
    <row r="887" spans="3:16" x14ac:dyDescent="0.3">
      <c r="C887" s="373"/>
      <c r="D887" s="374"/>
      <c r="E887" s="375"/>
      <c r="F887" s="376"/>
      <c r="G887" s="377"/>
      <c r="H887" s="377"/>
      <c r="I887" s="377"/>
      <c r="J887" s="376"/>
      <c r="K887" s="378"/>
      <c r="L887" s="378"/>
      <c r="M887" s="378"/>
      <c r="N887" s="378"/>
      <c r="O887" s="378"/>
      <c r="P887" s="378"/>
    </row>
    <row r="888" spans="3:16" x14ac:dyDescent="0.3">
      <c r="C888" s="373"/>
      <c r="D888" s="374"/>
      <c r="E888" s="375"/>
      <c r="F888" s="376"/>
      <c r="G888" s="377"/>
      <c r="H888" s="377"/>
      <c r="I888" s="377"/>
      <c r="J888" s="376"/>
      <c r="K888" s="378"/>
      <c r="L888" s="378"/>
      <c r="M888" s="378"/>
      <c r="N888" s="378"/>
      <c r="O888" s="378"/>
      <c r="P888" s="378"/>
    </row>
    <row r="889" spans="3:16" x14ac:dyDescent="0.3">
      <c r="C889" s="373"/>
      <c r="D889" s="374"/>
      <c r="E889" s="375"/>
      <c r="F889" s="376"/>
      <c r="G889" s="377"/>
      <c r="H889" s="377"/>
      <c r="I889" s="377"/>
      <c r="J889" s="376"/>
      <c r="K889" s="378"/>
      <c r="L889" s="378"/>
      <c r="M889" s="378"/>
      <c r="N889" s="378"/>
      <c r="O889" s="378"/>
      <c r="P889" s="378"/>
    </row>
    <row r="890" spans="3:16" x14ac:dyDescent="0.3">
      <c r="C890" s="373"/>
      <c r="D890" s="374"/>
      <c r="E890" s="375"/>
      <c r="F890" s="376"/>
      <c r="G890" s="377"/>
      <c r="H890" s="377"/>
      <c r="I890" s="377"/>
      <c r="J890" s="376"/>
      <c r="K890" s="378"/>
      <c r="L890" s="378"/>
      <c r="M890" s="378"/>
      <c r="N890" s="378"/>
      <c r="O890" s="378"/>
      <c r="P890" s="378"/>
    </row>
    <row r="891" spans="3:16" x14ac:dyDescent="0.3">
      <c r="C891" s="373"/>
      <c r="D891" s="374"/>
      <c r="E891" s="375"/>
      <c r="F891" s="376"/>
      <c r="G891" s="377"/>
      <c r="H891" s="377"/>
      <c r="I891" s="377"/>
      <c r="J891" s="376"/>
      <c r="K891" s="378"/>
      <c r="L891" s="378"/>
      <c r="M891" s="378"/>
      <c r="N891" s="378"/>
      <c r="O891" s="378"/>
      <c r="P891" s="378"/>
    </row>
    <row r="892" spans="3:16" x14ac:dyDescent="0.3">
      <c r="C892" s="373"/>
      <c r="D892" s="374"/>
      <c r="E892" s="375"/>
      <c r="F892" s="376"/>
      <c r="G892" s="377"/>
      <c r="H892" s="377"/>
      <c r="I892" s="377"/>
      <c r="J892" s="376"/>
      <c r="K892" s="378"/>
      <c r="L892" s="378"/>
      <c r="M892" s="378"/>
      <c r="N892" s="378"/>
      <c r="O892" s="378"/>
      <c r="P892" s="378"/>
    </row>
    <row r="893" spans="3:16" x14ac:dyDescent="0.3">
      <c r="C893" s="373"/>
      <c r="D893" s="374"/>
      <c r="E893" s="375"/>
      <c r="F893" s="376"/>
      <c r="G893" s="377"/>
      <c r="H893" s="377"/>
      <c r="I893" s="377"/>
      <c r="J893" s="376"/>
      <c r="K893" s="378"/>
      <c r="L893" s="378"/>
      <c r="M893" s="378"/>
      <c r="N893" s="378"/>
      <c r="O893" s="378"/>
      <c r="P893" s="378"/>
    </row>
    <row r="894" spans="3:16" x14ac:dyDescent="0.3">
      <c r="C894" s="373"/>
      <c r="D894" s="374"/>
      <c r="E894" s="375"/>
      <c r="F894" s="376"/>
      <c r="G894" s="377"/>
      <c r="H894" s="377"/>
      <c r="I894" s="377"/>
      <c r="J894" s="376"/>
      <c r="K894" s="378"/>
      <c r="L894" s="378"/>
      <c r="M894" s="378"/>
      <c r="N894" s="378"/>
      <c r="O894" s="378"/>
      <c r="P894" s="378"/>
    </row>
    <row r="895" spans="3:16" x14ac:dyDescent="0.3">
      <c r="C895" s="373"/>
      <c r="D895" s="374"/>
      <c r="E895" s="375"/>
      <c r="F895" s="376"/>
      <c r="G895" s="377"/>
      <c r="H895" s="377"/>
      <c r="I895" s="377"/>
      <c r="J895" s="376"/>
      <c r="K895" s="378"/>
      <c r="L895" s="378"/>
      <c r="M895" s="378"/>
      <c r="N895" s="378"/>
      <c r="O895" s="378"/>
      <c r="P895" s="378"/>
    </row>
    <row r="896" spans="3:16" x14ac:dyDescent="0.3">
      <c r="C896" s="373"/>
      <c r="D896" s="374"/>
      <c r="E896" s="375"/>
      <c r="F896" s="376"/>
      <c r="G896" s="377"/>
      <c r="H896" s="377"/>
      <c r="I896" s="377"/>
      <c r="J896" s="376"/>
      <c r="K896" s="378"/>
      <c r="L896" s="378"/>
      <c r="M896" s="378"/>
      <c r="N896" s="378"/>
      <c r="O896" s="378"/>
      <c r="P896" s="378"/>
    </row>
    <row r="897" spans="3:16" x14ac:dyDescent="0.3">
      <c r="C897" s="373"/>
      <c r="D897" s="374"/>
      <c r="E897" s="375"/>
      <c r="F897" s="376"/>
      <c r="G897" s="377"/>
      <c r="H897" s="377"/>
      <c r="I897" s="377"/>
      <c r="J897" s="376"/>
      <c r="K897" s="378"/>
      <c r="L897" s="378"/>
      <c r="M897" s="378"/>
      <c r="N897" s="378"/>
      <c r="O897" s="378"/>
      <c r="P897" s="378"/>
    </row>
    <row r="898" spans="3:16" x14ac:dyDescent="0.3">
      <c r="C898" s="373"/>
      <c r="D898" s="374"/>
      <c r="E898" s="375"/>
      <c r="F898" s="376"/>
      <c r="G898" s="377"/>
      <c r="H898" s="377"/>
      <c r="I898" s="377"/>
      <c r="J898" s="376"/>
      <c r="K898" s="378"/>
      <c r="L898" s="378"/>
      <c r="M898" s="378"/>
      <c r="N898" s="378"/>
      <c r="O898" s="378"/>
      <c r="P898" s="378"/>
    </row>
    <row r="899" spans="3:16" x14ac:dyDescent="0.3">
      <c r="C899" s="373"/>
      <c r="D899" s="374"/>
      <c r="E899" s="375"/>
      <c r="F899" s="376"/>
      <c r="G899" s="377"/>
      <c r="H899" s="377"/>
      <c r="I899" s="377"/>
      <c r="J899" s="376"/>
      <c r="K899" s="378"/>
      <c r="L899" s="378"/>
      <c r="M899" s="378"/>
      <c r="N899" s="378"/>
      <c r="O899" s="378"/>
      <c r="P899" s="378"/>
    </row>
    <row r="900" spans="3:16" x14ac:dyDescent="0.3">
      <c r="C900" s="385"/>
      <c r="D900" s="386"/>
      <c r="E900" s="382"/>
      <c r="F900" s="383"/>
      <c r="G900" s="384"/>
      <c r="H900" s="384"/>
      <c r="I900" s="384"/>
      <c r="J900" s="314"/>
      <c r="K900" s="387"/>
      <c r="L900" s="387"/>
      <c r="M900" s="387"/>
      <c r="N900" s="387"/>
      <c r="O900" s="387"/>
      <c r="P900" s="387"/>
    </row>
    <row r="901" spans="3:16" x14ac:dyDescent="0.3">
      <c r="C901" s="395"/>
      <c r="D901" s="312"/>
      <c r="E901" s="380"/>
      <c r="F901" s="314"/>
      <c r="G901" s="315"/>
      <c r="H901" s="315"/>
      <c r="I901" s="315"/>
      <c r="J901" s="314"/>
      <c r="K901" s="316"/>
      <c r="L901" s="316"/>
      <c r="M901" s="316"/>
      <c r="N901" s="316"/>
      <c r="O901" s="316"/>
      <c r="P901" s="316"/>
    </row>
    <row r="902" spans="3:16" x14ac:dyDescent="0.3">
      <c r="C902" s="373"/>
      <c r="D902" s="374"/>
      <c r="E902" s="375"/>
      <c r="F902" s="376"/>
      <c r="G902" s="377"/>
      <c r="H902" s="377"/>
      <c r="I902" s="377"/>
      <c r="J902" s="376"/>
      <c r="K902" s="378"/>
      <c r="L902" s="378"/>
      <c r="M902" s="378"/>
      <c r="N902" s="378"/>
      <c r="O902" s="378"/>
      <c r="P902" s="378"/>
    </row>
    <row r="903" spans="3:16" x14ac:dyDescent="0.3">
      <c r="C903" s="373"/>
      <c r="D903" s="374"/>
      <c r="E903" s="375"/>
      <c r="F903" s="376"/>
      <c r="G903" s="377"/>
      <c r="H903" s="377"/>
      <c r="I903" s="377"/>
      <c r="J903" s="376"/>
      <c r="K903" s="378"/>
      <c r="L903" s="378"/>
      <c r="M903" s="378"/>
      <c r="N903" s="378"/>
      <c r="O903" s="378"/>
      <c r="P903" s="378"/>
    </row>
    <row r="904" spans="3:16" x14ac:dyDescent="0.3">
      <c r="C904" s="373"/>
      <c r="D904" s="374"/>
      <c r="E904" s="375"/>
      <c r="F904" s="376"/>
      <c r="G904" s="377"/>
      <c r="H904" s="377"/>
      <c r="I904" s="377"/>
      <c r="J904" s="376"/>
      <c r="K904" s="378"/>
      <c r="L904" s="378"/>
      <c r="M904" s="378"/>
      <c r="N904" s="378"/>
      <c r="O904" s="378"/>
      <c r="P904" s="378"/>
    </row>
    <row r="905" spans="3:16" x14ac:dyDescent="0.3">
      <c r="C905" s="373"/>
      <c r="D905" s="374"/>
      <c r="E905" s="375"/>
      <c r="F905" s="376"/>
      <c r="G905" s="377"/>
      <c r="H905" s="377"/>
      <c r="I905" s="377"/>
      <c r="J905" s="376"/>
      <c r="K905" s="378"/>
      <c r="L905" s="378"/>
      <c r="M905" s="378"/>
      <c r="N905" s="378"/>
      <c r="O905" s="378"/>
      <c r="P905" s="378"/>
    </row>
    <row r="906" spans="3:16" x14ac:dyDescent="0.3">
      <c r="C906" s="373"/>
      <c r="D906" s="374"/>
      <c r="E906" s="375"/>
      <c r="F906" s="376"/>
      <c r="G906" s="377"/>
      <c r="H906" s="377"/>
      <c r="I906" s="377"/>
      <c r="J906" s="376"/>
      <c r="K906" s="378"/>
      <c r="L906" s="378"/>
      <c r="M906" s="378"/>
      <c r="N906" s="378"/>
      <c r="O906" s="378"/>
      <c r="P906" s="378"/>
    </row>
    <row r="907" spans="3:16" x14ac:dyDescent="0.3">
      <c r="C907" s="373"/>
      <c r="D907" s="374"/>
      <c r="E907" s="375"/>
      <c r="F907" s="376"/>
      <c r="G907" s="377"/>
      <c r="H907" s="377"/>
      <c r="I907" s="377"/>
      <c r="J907" s="376"/>
      <c r="K907" s="378"/>
      <c r="L907" s="378"/>
      <c r="M907" s="378"/>
      <c r="N907" s="378"/>
      <c r="O907" s="378"/>
      <c r="P907" s="378"/>
    </row>
    <row r="908" spans="3:16" x14ac:dyDescent="0.3">
      <c r="C908" s="395"/>
      <c r="D908" s="312"/>
      <c r="E908" s="380"/>
      <c r="F908" s="314"/>
      <c r="G908" s="315"/>
      <c r="H908" s="315"/>
      <c r="I908" s="315"/>
      <c r="J908" s="314"/>
      <c r="K908" s="316"/>
      <c r="L908" s="316"/>
      <c r="M908" s="316"/>
      <c r="N908" s="316"/>
      <c r="O908" s="316"/>
      <c r="P908" s="316"/>
    </row>
    <row r="909" spans="3:16" x14ac:dyDescent="0.3">
      <c r="C909" s="373"/>
      <c r="D909" s="374"/>
      <c r="E909" s="375"/>
      <c r="F909" s="376"/>
      <c r="G909" s="377"/>
      <c r="H909" s="377"/>
      <c r="I909" s="377"/>
      <c r="J909" s="376"/>
      <c r="K909" s="378"/>
      <c r="L909" s="378"/>
      <c r="M909" s="378"/>
      <c r="N909" s="378"/>
      <c r="O909" s="378"/>
      <c r="P909" s="378"/>
    </row>
    <row r="910" spans="3:16" x14ac:dyDescent="0.3">
      <c r="C910" s="373"/>
      <c r="D910" s="374"/>
      <c r="E910" s="375"/>
      <c r="F910" s="376"/>
      <c r="G910" s="377"/>
      <c r="H910" s="377"/>
      <c r="I910" s="377"/>
      <c r="J910" s="376"/>
      <c r="K910" s="378"/>
      <c r="L910" s="378"/>
      <c r="M910" s="378"/>
      <c r="N910" s="378"/>
      <c r="O910" s="378"/>
      <c r="P910" s="378"/>
    </row>
    <row r="911" spans="3:16" x14ac:dyDescent="0.3">
      <c r="C911" s="373"/>
      <c r="D911" s="374"/>
      <c r="E911" s="375"/>
      <c r="F911" s="376"/>
      <c r="G911" s="377"/>
      <c r="H911" s="377"/>
      <c r="I911" s="377"/>
      <c r="J911" s="376"/>
      <c r="K911" s="378"/>
      <c r="L911" s="378"/>
      <c r="M911" s="378"/>
      <c r="N911" s="378"/>
      <c r="O911" s="378"/>
      <c r="P911" s="378"/>
    </row>
    <row r="912" spans="3:16" x14ac:dyDescent="0.3">
      <c r="C912" s="373"/>
      <c r="D912" s="374"/>
      <c r="E912" s="375"/>
      <c r="F912" s="376"/>
      <c r="G912" s="377"/>
      <c r="H912" s="377"/>
      <c r="I912" s="377"/>
      <c r="J912" s="376"/>
      <c r="K912" s="378"/>
      <c r="L912" s="378"/>
      <c r="M912" s="378"/>
      <c r="N912" s="378"/>
      <c r="O912" s="378"/>
      <c r="P912" s="378"/>
    </row>
    <row r="913" spans="3:16" x14ac:dyDescent="0.3">
      <c r="C913" s="373"/>
      <c r="D913" s="374"/>
      <c r="E913" s="375"/>
      <c r="F913" s="376"/>
      <c r="G913" s="377"/>
      <c r="H913" s="377"/>
      <c r="I913" s="377"/>
      <c r="J913" s="376"/>
      <c r="K913" s="378"/>
      <c r="L913" s="378"/>
      <c r="M913" s="378"/>
      <c r="N913" s="378"/>
      <c r="O913" s="378"/>
      <c r="P913" s="378"/>
    </row>
    <row r="914" spans="3:16" x14ac:dyDescent="0.3">
      <c r="C914" s="373"/>
      <c r="D914" s="374"/>
      <c r="E914" s="375"/>
      <c r="F914" s="376"/>
      <c r="G914" s="377"/>
      <c r="H914" s="377"/>
      <c r="I914" s="377"/>
      <c r="J914" s="376"/>
      <c r="K914" s="378"/>
      <c r="L914" s="378"/>
      <c r="M914" s="378"/>
      <c r="N914" s="378"/>
      <c r="O914" s="378"/>
      <c r="P914" s="378"/>
    </row>
    <row r="915" spans="3:16" x14ac:dyDescent="0.3">
      <c r="C915" s="373"/>
      <c r="D915" s="374"/>
      <c r="E915" s="375"/>
      <c r="F915" s="376"/>
      <c r="G915" s="377"/>
      <c r="H915" s="377"/>
      <c r="I915" s="377"/>
      <c r="J915" s="376"/>
      <c r="K915" s="378"/>
      <c r="L915" s="378"/>
      <c r="M915" s="378"/>
      <c r="N915" s="378"/>
      <c r="O915" s="378"/>
      <c r="P915" s="378"/>
    </row>
    <row r="916" spans="3:16" x14ac:dyDescent="0.3">
      <c r="C916" s="373"/>
      <c r="D916" s="374"/>
      <c r="E916" s="375"/>
      <c r="F916" s="376"/>
      <c r="G916" s="377"/>
      <c r="H916" s="377"/>
      <c r="I916" s="377"/>
      <c r="J916" s="376"/>
      <c r="K916" s="378"/>
      <c r="L916" s="378"/>
      <c r="M916" s="378"/>
      <c r="N916" s="378"/>
      <c r="O916" s="378"/>
      <c r="P916" s="378"/>
    </row>
    <row r="917" spans="3:16" x14ac:dyDescent="0.3">
      <c r="C917" s="395"/>
      <c r="D917" s="312"/>
      <c r="E917" s="380"/>
      <c r="F917" s="314"/>
      <c r="G917" s="315"/>
      <c r="H917" s="315"/>
      <c r="I917" s="315"/>
      <c r="J917" s="314"/>
      <c r="K917" s="316"/>
      <c r="L917" s="316"/>
      <c r="M917" s="316"/>
      <c r="N917" s="316"/>
      <c r="O917" s="316"/>
      <c r="P917" s="316"/>
    </row>
    <row r="918" spans="3:16" x14ac:dyDescent="0.3">
      <c r="C918" s="373"/>
      <c r="D918" s="374"/>
      <c r="E918" s="375"/>
      <c r="F918" s="376"/>
      <c r="G918" s="377"/>
      <c r="H918" s="377"/>
      <c r="I918" s="377"/>
      <c r="J918" s="376"/>
      <c r="K918" s="378"/>
      <c r="L918" s="378"/>
      <c r="M918" s="378"/>
      <c r="N918" s="378"/>
      <c r="O918" s="378"/>
      <c r="P918" s="378"/>
    </row>
    <row r="919" spans="3:16" x14ac:dyDescent="0.3">
      <c r="C919" s="373"/>
      <c r="D919" s="374"/>
      <c r="E919" s="375"/>
      <c r="F919" s="376"/>
      <c r="G919" s="377"/>
      <c r="H919" s="377"/>
      <c r="I919" s="377"/>
      <c r="J919" s="376"/>
      <c r="K919" s="378"/>
      <c r="L919" s="378"/>
      <c r="M919" s="378"/>
      <c r="N919" s="378"/>
      <c r="O919" s="378"/>
      <c r="P919" s="378"/>
    </row>
    <row r="920" spans="3:16" x14ac:dyDescent="0.3">
      <c r="C920" s="373"/>
      <c r="D920" s="374"/>
      <c r="E920" s="375"/>
      <c r="F920" s="376"/>
      <c r="G920" s="377"/>
      <c r="H920" s="377"/>
      <c r="I920" s="377"/>
      <c r="J920" s="376"/>
      <c r="K920" s="378"/>
      <c r="L920" s="378"/>
      <c r="M920" s="378"/>
      <c r="N920" s="378"/>
      <c r="O920" s="378"/>
      <c r="P920" s="378"/>
    </row>
    <row r="921" spans="3:16" x14ac:dyDescent="0.3">
      <c r="C921" s="373"/>
      <c r="D921" s="374"/>
      <c r="E921" s="375"/>
      <c r="F921" s="376"/>
      <c r="G921" s="377"/>
      <c r="H921" s="377"/>
      <c r="I921" s="377"/>
      <c r="J921" s="376"/>
      <c r="K921" s="378"/>
      <c r="L921" s="378"/>
      <c r="M921" s="378"/>
      <c r="N921" s="378"/>
      <c r="O921" s="378"/>
      <c r="P921" s="378"/>
    </row>
    <row r="922" spans="3:16" x14ac:dyDescent="0.3">
      <c r="C922" s="379"/>
      <c r="D922" s="312"/>
      <c r="E922" s="380"/>
      <c r="F922" s="314"/>
      <c r="G922" s="315"/>
      <c r="H922" s="315"/>
      <c r="I922" s="315"/>
      <c r="J922" s="314"/>
      <c r="K922" s="316"/>
      <c r="L922" s="316"/>
      <c r="M922" s="316"/>
      <c r="N922" s="316"/>
      <c r="O922" s="316"/>
      <c r="P922" s="316"/>
    </row>
    <row r="923" spans="3:16" x14ac:dyDescent="0.3">
      <c r="C923" s="385"/>
      <c r="D923" s="386"/>
      <c r="E923" s="382"/>
      <c r="F923" s="383"/>
      <c r="G923" s="384"/>
      <c r="H923" s="384"/>
      <c r="I923" s="384"/>
      <c r="J923" s="314"/>
      <c r="K923" s="387"/>
      <c r="L923" s="387"/>
      <c r="M923" s="387"/>
      <c r="N923" s="387"/>
      <c r="O923" s="387"/>
      <c r="P923" s="387"/>
    </row>
    <row r="924" spans="3:16" x14ac:dyDescent="0.3">
      <c r="C924" s="379"/>
      <c r="D924" s="312"/>
      <c r="E924" s="380"/>
      <c r="F924" s="314"/>
      <c r="G924" s="315"/>
      <c r="H924" s="315"/>
      <c r="I924" s="315"/>
      <c r="J924" s="314"/>
      <c r="K924" s="316"/>
      <c r="L924" s="316"/>
      <c r="M924" s="316"/>
      <c r="N924" s="316"/>
      <c r="O924" s="316"/>
      <c r="P924" s="316"/>
    </row>
    <row r="925" spans="3:16" x14ac:dyDescent="0.3">
      <c r="C925" s="373"/>
      <c r="D925" s="374"/>
      <c r="E925" s="375"/>
      <c r="F925" s="376"/>
      <c r="G925" s="377"/>
      <c r="H925" s="377"/>
      <c r="I925" s="377"/>
      <c r="J925" s="376"/>
      <c r="K925" s="378"/>
      <c r="L925" s="378"/>
      <c r="M925" s="378"/>
      <c r="N925" s="378"/>
      <c r="O925" s="378"/>
      <c r="P925" s="378"/>
    </row>
    <row r="926" spans="3:16" x14ac:dyDescent="0.3">
      <c r="C926" s="379"/>
      <c r="D926" s="312"/>
      <c r="E926" s="380"/>
      <c r="F926" s="314"/>
      <c r="G926" s="315"/>
      <c r="H926" s="315"/>
      <c r="I926" s="315"/>
      <c r="J926" s="314"/>
      <c r="K926" s="316"/>
      <c r="L926" s="316"/>
      <c r="M926" s="316"/>
      <c r="N926" s="316"/>
      <c r="O926" s="316"/>
      <c r="P926" s="316"/>
    </row>
    <row r="927" spans="3:16" x14ac:dyDescent="0.3">
      <c r="C927" s="385"/>
      <c r="D927" s="386"/>
      <c r="E927" s="382"/>
      <c r="F927" s="383"/>
      <c r="G927" s="384"/>
      <c r="H927" s="384"/>
      <c r="I927" s="384"/>
      <c r="J927" s="314"/>
      <c r="K927" s="387"/>
      <c r="L927" s="387"/>
      <c r="M927" s="387"/>
      <c r="N927" s="387"/>
      <c r="O927" s="387"/>
      <c r="P927" s="387"/>
    </row>
    <row r="928" spans="3:16" x14ac:dyDescent="0.3">
      <c r="C928" s="381"/>
      <c r="D928" s="390"/>
      <c r="E928" s="382"/>
      <c r="F928" s="383"/>
      <c r="G928" s="384"/>
      <c r="H928" s="384"/>
      <c r="I928" s="384"/>
      <c r="J928" s="314"/>
      <c r="K928" s="316"/>
      <c r="L928" s="316"/>
      <c r="M928" s="316"/>
      <c r="N928" s="316"/>
      <c r="O928" s="316"/>
      <c r="P928" s="316"/>
    </row>
    <row r="929" spans="3:16" x14ac:dyDescent="0.3">
      <c r="C929" s="381"/>
      <c r="D929" s="397"/>
      <c r="E929" s="382"/>
      <c r="F929" s="383"/>
      <c r="G929" s="384"/>
      <c r="H929" s="384"/>
      <c r="I929" s="384"/>
      <c r="J929" s="314"/>
      <c r="K929" s="316"/>
      <c r="L929" s="316"/>
      <c r="M929" s="316"/>
      <c r="N929" s="316"/>
      <c r="O929" s="316"/>
      <c r="P929" s="316"/>
    </row>
    <row r="930" spans="3:16" x14ac:dyDescent="0.3">
      <c r="C930" s="373"/>
      <c r="D930" s="374"/>
      <c r="E930" s="375"/>
      <c r="F930" s="376"/>
      <c r="G930" s="377"/>
      <c r="H930" s="377"/>
      <c r="I930" s="377"/>
      <c r="J930" s="376"/>
      <c r="K930" s="378"/>
      <c r="L930" s="378"/>
      <c r="M930" s="378"/>
      <c r="N930" s="378"/>
      <c r="O930" s="378"/>
      <c r="P930" s="378"/>
    </row>
    <row r="931" spans="3:16" x14ac:dyDescent="0.3">
      <c r="C931" s="381"/>
      <c r="D931" s="397"/>
      <c r="E931" s="382"/>
      <c r="F931" s="383"/>
      <c r="G931" s="384"/>
      <c r="H931" s="384"/>
      <c r="I931" s="384"/>
      <c r="J931" s="314"/>
      <c r="K931" s="316"/>
      <c r="L931" s="316"/>
      <c r="M931" s="316"/>
      <c r="N931" s="316"/>
      <c r="O931" s="316"/>
      <c r="P931" s="316"/>
    </row>
    <row r="932" spans="3:16" x14ac:dyDescent="0.3">
      <c r="C932" s="373"/>
      <c r="D932" s="374"/>
      <c r="E932" s="375"/>
      <c r="F932" s="376"/>
      <c r="G932" s="377"/>
      <c r="H932" s="377"/>
      <c r="I932" s="377"/>
      <c r="J932" s="376"/>
      <c r="K932" s="378"/>
      <c r="L932" s="378"/>
      <c r="M932" s="378"/>
      <c r="N932" s="378"/>
      <c r="O932" s="378"/>
      <c r="P932" s="378"/>
    </row>
    <row r="933" spans="3:16" x14ac:dyDescent="0.3">
      <c r="C933" s="381"/>
      <c r="D933" s="390"/>
      <c r="E933" s="382"/>
      <c r="F933" s="383"/>
      <c r="G933" s="384"/>
      <c r="H933" s="384"/>
      <c r="I933" s="384"/>
      <c r="J933" s="314"/>
      <c r="K933" s="316"/>
      <c r="L933" s="316"/>
      <c r="M933" s="316"/>
      <c r="N933" s="316"/>
      <c r="O933" s="316"/>
      <c r="P933" s="316"/>
    </row>
    <row r="934" spans="3:16" x14ac:dyDescent="0.3">
      <c r="C934" s="381"/>
      <c r="D934" s="397"/>
      <c r="E934" s="382"/>
      <c r="F934" s="383"/>
      <c r="G934" s="384"/>
      <c r="H934" s="384"/>
      <c r="I934" s="384"/>
      <c r="J934" s="314"/>
      <c r="K934" s="316"/>
      <c r="L934" s="316"/>
      <c r="M934" s="316"/>
      <c r="N934" s="316"/>
      <c r="O934" s="316"/>
      <c r="P934" s="316"/>
    </row>
    <row r="935" spans="3:16" x14ac:dyDescent="0.3">
      <c r="C935" s="373"/>
      <c r="D935" s="374"/>
      <c r="E935" s="375"/>
      <c r="F935" s="376"/>
      <c r="G935" s="377"/>
      <c r="H935" s="377"/>
      <c r="I935" s="377"/>
      <c r="J935" s="376"/>
      <c r="K935" s="378"/>
      <c r="L935" s="378"/>
      <c r="M935" s="378"/>
      <c r="N935" s="378"/>
      <c r="O935" s="378"/>
      <c r="P935" s="378"/>
    </row>
    <row r="936" spans="3:16" x14ac:dyDescent="0.3">
      <c r="C936" s="381"/>
      <c r="D936" s="397"/>
      <c r="E936" s="382"/>
      <c r="F936" s="383"/>
      <c r="G936" s="384"/>
      <c r="H936" s="384"/>
      <c r="I936" s="384"/>
      <c r="J936" s="314"/>
      <c r="K936" s="316"/>
      <c r="L936" s="316"/>
      <c r="M936" s="316"/>
      <c r="N936" s="316"/>
      <c r="O936" s="316"/>
      <c r="P936" s="316"/>
    </row>
    <row r="937" spans="3:16" x14ac:dyDescent="0.3">
      <c r="C937" s="373"/>
      <c r="D937" s="374"/>
      <c r="E937" s="375"/>
      <c r="F937" s="376"/>
      <c r="G937" s="377"/>
      <c r="H937" s="377"/>
      <c r="I937" s="377"/>
      <c r="J937" s="376"/>
      <c r="K937" s="378"/>
      <c r="L937" s="378"/>
      <c r="M937" s="378"/>
      <c r="N937" s="378"/>
      <c r="O937" s="378"/>
      <c r="P937" s="378"/>
    </row>
    <row r="938" spans="3:16" x14ac:dyDescent="0.3">
      <c r="C938" s="373"/>
      <c r="D938" s="374"/>
      <c r="E938" s="375"/>
      <c r="F938" s="376"/>
      <c r="G938" s="377"/>
      <c r="H938" s="377"/>
      <c r="I938" s="377"/>
      <c r="J938" s="376"/>
      <c r="K938" s="378"/>
      <c r="L938" s="378"/>
      <c r="M938" s="378"/>
      <c r="N938" s="378"/>
      <c r="O938" s="378"/>
      <c r="P938" s="378"/>
    </row>
    <row r="939" spans="3:16" x14ac:dyDescent="0.3">
      <c r="C939" s="381"/>
      <c r="D939" s="390"/>
      <c r="E939" s="382"/>
      <c r="F939" s="383"/>
      <c r="G939" s="384"/>
      <c r="H939" s="384"/>
      <c r="I939" s="384"/>
      <c r="J939" s="314"/>
      <c r="K939" s="316"/>
      <c r="L939" s="316"/>
      <c r="M939" s="316"/>
      <c r="N939" s="316"/>
      <c r="O939" s="316"/>
      <c r="P939" s="316"/>
    </row>
    <row r="940" spans="3:16" x14ac:dyDescent="0.3">
      <c r="C940" s="381"/>
      <c r="D940" s="397"/>
      <c r="E940" s="382"/>
      <c r="F940" s="383"/>
      <c r="G940" s="384"/>
      <c r="H940" s="384"/>
      <c r="I940" s="384"/>
      <c r="J940" s="314"/>
      <c r="K940" s="316"/>
      <c r="L940" s="316"/>
      <c r="M940" s="316"/>
      <c r="N940" s="316"/>
      <c r="O940" s="316"/>
      <c r="P940" s="316"/>
    </row>
    <row r="941" spans="3:16" x14ac:dyDescent="0.3">
      <c r="C941" s="373"/>
      <c r="D941" s="374"/>
      <c r="E941" s="375"/>
      <c r="F941" s="376"/>
      <c r="G941" s="377"/>
      <c r="H941" s="377"/>
      <c r="I941" s="377"/>
      <c r="J941" s="376"/>
      <c r="K941" s="378"/>
      <c r="L941" s="378"/>
      <c r="M941" s="378"/>
      <c r="N941" s="378"/>
      <c r="O941" s="378"/>
      <c r="P941" s="378"/>
    </row>
    <row r="942" spans="3:16" x14ac:dyDescent="0.3">
      <c r="C942" s="381"/>
      <c r="D942" s="390"/>
      <c r="E942" s="382"/>
      <c r="F942" s="383"/>
      <c r="G942" s="384"/>
      <c r="H942" s="384"/>
      <c r="I942" s="384"/>
      <c r="J942" s="314"/>
      <c r="K942" s="316"/>
      <c r="L942" s="316"/>
      <c r="M942" s="316"/>
      <c r="N942" s="316"/>
      <c r="O942" s="316"/>
      <c r="P942" s="316"/>
    </row>
    <row r="943" spans="3:16" x14ac:dyDescent="0.3">
      <c r="C943" s="381"/>
      <c r="D943" s="397"/>
      <c r="E943" s="382"/>
      <c r="F943" s="383"/>
      <c r="G943" s="384"/>
      <c r="H943" s="384"/>
      <c r="I943" s="384"/>
      <c r="J943" s="314"/>
      <c r="K943" s="316"/>
      <c r="L943" s="316"/>
      <c r="M943" s="316"/>
      <c r="N943" s="316"/>
      <c r="O943" s="316"/>
      <c r="P943" s="316"/>
    </row>
    <row r="944" spans="3:16" x14ac:dyDescent="0.3">
      <c r="C944" s="373"/>
      <c r="D944" s="374"/>
      <c r="E944" s="375"/>
      <c r="F944" s="376"/>
      <c r="G944" s="377"/>
      <c r="H944" s="377"/>
      <c r="I944" s="377"/>
      <c r="J944" s="376"/>
      <c r="K944" s="378"/>
      <c r="L944" s="378"/>
      <c r="M944" s="378"/>
      <c r="N944" s="378"/>
      <c r="O944" s="378"/>
      <c r="P944" s="378"/>
    </row>
    <row r="945" spans="3:16" x14ac:dyDescent="0.3">
      <c r="C945" s="373"/>
      <c r="D945" s="374"/>
      <c r="E945" s="375"/>
      <c r="F945" s="376"/>
      <c r="G945" s="377"/>
      <c r="H945" s="377"/>
      <c r="I945" s="377"/>
      <c r="J945" s="376"/>
      <c r="K945" s="378"/>
      <c r="L945" s="378"/>
      <c r="M945" s="378"/>
      <c r="N945" s="378"/>
      <c r="O945" s="378"/>
      <c r="P945" s="378"/>
    </row>
    <row r="946" spans="3:16" x14ac:dyDescent="0.3">
      <c r="C946" s="373"/>
      <c r="D946" s="374"/>
      <c r="E946" s="375"/>
      <c r="F946" s="376"/>
      <c r="G946" s="377"/>
      <c r="H946" s="377"/>
      <c r="I946" s="377"/>
      <c r="J946" s="376"/>
      <c r="K946" s="378"/>
      <c r="L946" s="378"/>
      <c r="M946" s="378"/>
      <c r="N946" s="378"/>
      <c r="O946" s="378"/>
      <c r="P946" s="378"/>
    </row>
    <row r="947" spans="3:16" x14ac:dyDescent="0.3">
      <c r="C947" s="381"/>
      <c r="D947" s="390"/>
      <c r="E947" s="382"/>
      <c r="F947" s="383"/>
      <c r="G947" s="384"/>
      <c r="H947" s="384"/>
      <c r="I947" s="384"/>
      <c r="J947" s="314"/>
      <c r="K947" s="316"/>
      <c r="L947" s="316"/>
      <c r="M947" s="316"/>
      <c r="N947" s="316"/>
      <c r="O947" s="316"/>
      <c r="P947" s="316"/>
    </row>
    <row r="948" spans="3:16" x14ac:dyDescent="0.3">
      <c r="C948" s="381"/>
      <c r="D948" s="397"/>
      <c r="E948" s="382"/>
      <c r="F948" s="383"/>
      <c r="G948" s="384"/>
      <c r="H948" s="384"/>
      <c r="I948" s="384"/>
      <c r="J948" s="314"/>
      <c r="K948" s="316"/>
      <c r="L948" s="316"/>
      <c r="M948" s="316"/>
      <c r="N948" s="316"/>
      <c r="O948" s="316"/>
      <c r="P948" s="316"/>
    </row>
    <row r="949" spans="3:16" x14ac:dyDescent="0.3">
      <c r="C949" s="373"/>
      <c r="D949" s="374"/>
      <c r="E949" s="375"/>
      <c r="F949" s="376"/>
      <c r="G949" s="377"/>
      <c r="H949" s="377"/>
      <c r="I949" s="377"/>
      <c r="J949" s="376"/>
      <c r="K949" s="378"/>
      <c r="L949" s="378"/>
      <c r="M949" s="378"/>
      <c r="N949" s="378"/>
      <c r="O949" s="378"/>
      <c r="P949" s="378"/>
    </row>
    <row r="950" spans="3:16" x14ac:dyDescent="0.3">
      <c r="C950" s="373"/>
      <c r="D950" s="374"/>
      <c r="E950" s="375"/>
      <c r="F950" s="376"/>
      <c r="G950" s="377"/>
      <c r="H950" s="377"/>
      <c r="I950" s="377"/>
      <c r="J950" s="376"/>
      <c r="K950" s="378"/>
      <c r="L950" s="378"/>
      <c r="M950" s="378"/>
      <c r="N950" s="378"/>
      <c r="O950" s="378"/>
      <c r="P950" s="378"/>
    </row>
    <row r="951" spans="3:16" x14ac:dyDescent="0.3">
      <c r="C951" s="381"/>
      <c r="D951" s="397"/>
      <c r="E951" s="382"/>
      <c r="F951" s="383"/>
      <c r="G951" s="384"/>
      <c r="H951" s="384"/>
      <c r="I951" s="384"/>
      <c r="J951" s="314"/>
      <c r="K951" s="316"/>
      <c r="L951" s="316"/>
      <c r="M951" s="316"/>
      <c r="N951" s="316"/>
      <c r="O951" s="316"/>
      <c r="P951" s="316"/>
    </row>
    <row r="952" spans="3:16" x14ac:dyDescent="0.3">
      <c r="C952" s="373"/>
      <c r="D952" s="374"/>
      <c r="E952" s="375"/>
      <c r="F952" s="376"/>
      <c r="G952" s="377"/>
      <c r="H952" s="377"/>
      <c r="I952" s="377"/>
      <c r="J952" s="376"/>
      <c r="K952" s="378"/>
      <c r="L952" s="378"/>
      <c r="M952" s="378"/>
      <c r="N952" s="378"/>
      <c r="O952" s="378"/>
      <c r="P952" s="378"/>
    </row>
    <row r="953" spans="3:16" x14ac:dyDescent="0.3">
      <c r="C953" s="379"/>
      <c r="D953" s="312"/>
      <c r="E953" s="380"/>
      <c r="F953" s="314"/>
      <c r="G953" s="315"/>
      <c r="H953" s="315"/>
      <c r="I953" s="315"/>
      <c r="J953" s="314"/>
      <c r="K953" s="316"/>
      <c r="L953" s="316"/>
      <c r="M953" s="316"/>
      <c r="N953" s="316"/>
      <c r="O953" s="316"/>
      <c r="P953" s="316"/>
    </row>
    <row r="954" spans="3:16" x14ac:dyDescent="0.3">
      <c r="C954" s="391"/>
      <c r="D954" s="386"/>
      <c r="E954" s="382"/>
      <c r="F954" s="383"/>
      <c r="G954" s="384"/>
      <c r="H954" s="384"/>
      <c r="I954" s="384"/>
      <c r="J954" s="314"/>
      <c r="K954" s="392"/>
      <c r="L954" s="392"/>
      <c r="M954" s="392"/>
      <c r="N954" s="392"/>
      <c r="O954" s="392"/>
      <c r="P954" s="392"/>
    </row>
    <row r="955" spans="3:16" x14ac:dyDescent="0.3">
      <c r="C955" s="385"/>
      <c r="D955" s="386"/>
      <c r="E955" s="382"/>
      <c r="F955" s="383"/>
      <c r="G955" s="384"/>
      <c r="H955" s="384"/>
      <c r="I955" s="384"/>
      <c r="J955" s="314"/>
      <c r="K955" s="387"/>
      <c r="L955" s="387"/>
      <c r="M955" s="387"/>
      <c r="N955" s="387"/>
      <c r="O955" s="387"/>
      <c r="P955" s="387"/>
    </row>
    <row r="956" spans="3:16" x14ac:dyDescent="0.3">
      <c r="C956" s="379"/>
      <c r="D956" s="312"/>
      <c r="E956" s="380"/>
      <c r="F956" s="314"/>
      <c r="G956" s="315"/>
      <c r="H956" s="315"/>
      <c r="I956" s="315"/>
      <c r="J956" s="314"/>
      <c r="K956" s="316"/>
      <c r="L956" s="316"/>
      <c r="M956" s="316"/>
      <c r="N956" s="316"/>
      <c r="O956" s="316"/>
      <c r="P956" s="316"/>
    </row>
    <row r="957" spans="3:16" x14ac:dyDescent="0.3">
      <c r="C957" s="373"/>
      <c r="D957" s="374"/>
      <c r="E957" s="375"/>
      <c r="F957" s="376"/>
      <c r="G957" s="377"/>
      <c r="H957" s="377"/>
      <c r="I957" s="377"/>
      <c r="J957" s="376"/>
      <c r="K957" s="378"/>
      <c r="L957" s="378"/>
      <c r="M957" s="378"/>
      <c r="N957" s="378"/>
      <c r="O957" s="378"/>
      <c r="P957" s="378"/>
    </row>
    <row r="958" spans="3:16" x14ac:dyDescent="0.3">
      <c r="C958" s="379"/>
      <c r="D958" s="312"/>
      <c r="E958" s="380"/>
      <c r="F958" s="314"/>
      <c r="G958" s="315"/>
      <c r="H958" s="315"/>
      <c r="I958" s="315"/>
      <c r="J958" s="314"/>
      <c r="K958" s="316"/>
      <c r="L958" s="316"/>
      <c r="M958" s="316"/>
      <c r="N958" s="316"/>
      <c r="O958" s="316"/>
      <c r="P958" s="316"/>
    </row>
    <row r="959" spans="3:16" x14ac:dyDescent="0.3">
      <c r="C959" s="373"/>
      <c r="D959" s="374"/>
      <c r="E959" s="375"/>
      <c r="F959" s="376"/>
      <c r="G959" s="377"/>
      <c r="H959" s="377"/>
      <c r="I959" s="377"/>
      <c r="J959" s="376"/>
      <c r="K959" s="378"/>
      <c r="L959" s="378"/>
      <c r="M959" s="378"/>
      <c r="N959" s="378"/>
      <c r="O959" s="378"/>
      <c r="P959" s="378"/>
    </row>
    <row r="960" spans="3:16" x14ac:dyDescent="0.3">
      <c r="C960" s="379"/>
      <c r="D960" s="312"/>
      <c r="E960" s="380"/>
      <c r="F960" s="314"/>
      <c r="G960" s="315"/>
      <c r="H960" s="315"/>
      <c r="I960" s="315"/>
      <c r="J960" s="314"/>
      <c r="K960" s="316"/>
      <c r="L960" s="316"/>
      <c r="M960" s="316"/>
      <c r="N960" s="316"/>
      <c r="O960" s="316"/>
      <c r="P960" s="316"/>
    </row>
    <row r="961" spans="3:16" x14ac:dyDescent="0.3">
      <c r="C961" s="391"/>
      <c r="D961" s="386"/>
      <c r="E961" s="382"/>
      <c r="F961" s="383"/>
      <c r="G961" s="384"/>
      <c r="H961" s="384"/>
      <c r="I961" s="384"/>
      <c r="J961" s="314"/>
      <c r="K961" s="392"/>
      <c r="L961" s="392"/>
      <c r="M961" s="392"/>
      <c r="N961" s="392"/>
      <c r="O961" s="392"/>
      <c r="P961" s="392"/>
    </row>
    <row r="962" spans="3:16" x14ac:dyDescent="0.3">
      <c r="C962" s="385"/>
      <c r="D962" s="386"/>
      <c r="E962" s="382"/>
      <c r="F962" s="383"/>
      <c r="G962" s="384"/>
      <c r="H962" s="384"/>
      <c r="I962" s="384"/>
      <c r="J962" s="314"/>
      <c r="K962" s="387"/>
      <c r="L962" s="387"/>
      <c r="M962" s="387"/>
      <c r="N962" s="387"/>
      <c r="O962" s="387"/>
      <c r="P962" s="387"/>
    </row>
    <row r="963" spans="3:16" x14ac:dyDescent="0.3">
      <c r="C963" s="379"/>
      <c r="D963" s="312"/>
      <c r="E963" s="380"/>
      <c r="F963" s="314"/>
      <c r="G963" s="315"/>
      <c r="H963" s="315"/>
      <c r="I963" s="315"/>
      <c r="J963" s="314"/>
      <c r="K963" s="316"/>
      <c r="L963" s="316"/>
      <c r="M963" s="316"/>
      <c r="N963" s="316"/>
      <c r="O963" s="316"/>
      <c r="P963" s="316"/>
    </row>
    <row r="964" spans="3:16" x14ac:dyDescent="0.3">
      <c r="C964" s="373"/>
      <c r="D964" s="374"/>
      <c r="E964" s="375"/>
      <c r="F964" s="376"/>
      <c r="G964" s="377"/>
      <c r="H964" s="377"/>
      <c r="I964" s="377"/>
      <c r="J964" s="376"/>
      <c r="K964" s="378"/>
      <c r="L964" s="378"/>
      <c r="M964" s="378"/>
      <c r="N964" s="378"/>
      <c r="O964" s="378"/>
      <c r="P964" s="378"/>
    </row>
    <row r="965" spans="3:16" x14ac:dyDescent="0.3">
      <c r="C965" s="379"/>
      <c r="D965" s="312"/>
      <c r="E965" s="380"/>
      <c r="F965" s="314"/>
      <c r="G965" s="315"/>
      <c r="H965" s="315"/>
      <c r="I965" s="315"/>
      <c r="J965" s="314"/>
      <c r="K965" s="316"/>
      <c r="L965" s="316"/>
      <c r="M965" s="316"/>
      <c r="N965" s="316"/>
      <c r="O965" s="316"/>
      <c r="P965" s="316"/>
    </row>
    <row r="966" spans="3:16" x14ac:dyDescent="0.3">
      <c r="C966" s="385"/>
      <c r="D966" s="386"/>
      <c r="E966" s="382"/>
      <c r="F966" s="383"/>
      <c r="G966" s="384"/>
      <c r="H966" s="384"/>
      <c r="I966" s="384"/>
      <c r="J966" s="314"/>
      <c r="K966" s="387"/>
      <c r="L966" s="387"/>
      <c r="M966" s="387"/>
      <c r="N966" s="387"/>
      <c r="O966" s="387"/>
      <c r="P966" s="387"/>
    </row>
    <row r="967" spans="3:16" x14ac:dyDescent="0.3">
      <c r="C967" s="395"/>
      <c r="D967" s="389"/>
      <c r="E967" s="380"/>
      <c r="F967" s="314"/>
      <c r="G967" s="315"/>
      <c r="H967" s="315"/>
      <c r="I967" s="315"/>
      <c r="J967" s="314"/>
      <c r="K967" s="316"/>
      <c r="L967" s="316"/>
      <c r="M967" s="316"/>
      <c r="N967" s="316"/>
      <c r="O967" s="316"/>
      <c r="P967" s="316"/>
    </row>
    <row r="968" spans="3:16" x14ac:dyDescent="0.3">
      <c r="C968" s="396"/>
      <c r="D968" s="374"/>
      <c r="E968" s="375"/>
      <c r="F968" s="376"/>
      <c r="G968" s="377"/>
      <c r="H968" s="377"/>
      <c r="I968" s="377"/>
      <c r="J968" s="376"/>
      <c r="K968" s="378"/>
      <c r="L968" s="378"/>
      <c r="M968" s="378"/>
      <c r="N968" s="378"/>
      <c r="O968" s="378"/>
      <c r="P968" s="378"/>
    </row>
    <row r="969" spans="3:16" x14ac:dyDescent="0.3">
      <c r="C969" s="379"/>
      <c r="D969" s="312"/>
      <c r="E969" s="380"/>
      <c r="F969" s="314"/>
      <c r="G969" s="315"/>
      <c r="H969" s="315"/>
      <c r="I969" s="315"/>
      <c r="J969" s="314"/>
      <c r="K969" s="316"/>
      <c r="L969" s="316"/>
      <c r="M969" s="316"/>
      <c r="N969" s="316"/>
      <c r="O969" s="316"/>
      <c r="P969" s="316"/>
    </row>
    <row r="970" spans="3:16" x14ac:dyDescent="0.3">
      <c r="C970" s="385"/>
      <c r="D970" s="386"/>
      <c r="E970" s="382"/>
      <c r="F970" s="383"/>
      <c r="G970" s="384"/>
      <c r="H970" s="384"/>
      <c r="I970" s="384"/>
      <c r="J970" s="314"/>
      <c r="K970" s="387"/>
      <c r="L970" s="387"/>
      <c r="M970" s="387"/>
      <c r="N970" s="387"/>
      <c r="O970" s="387"/>
      <c r="P970" s="387"/>
    </row>
    <row r="971" spans="3:16" x14ac:dyDescent="0.3">
      <c r="C971" s="379"/>
      <c r="D971" s="312"/>
      <c r="E971" s="380"/>
      <c r="F971" s="314"/>
      <c r="G971" s="315"/>
      <c r="H971" s="315"/>
      <c r="I971" s="315"/>
      <c r="J971" s="314"/>
      <c r="K971" s="316"/>
      <c r="L971" s="316"/>
      <c r="M971" s="316"/>
      <c r="N971" s="316"/>
      <c r="O971" s="316"/>
      <c r="P971" s="316"/>
    </row>
    <row r="972" spans="3:16" x14ac:dyDescent="0.3">
      <c r="C972" s="373"/>
      <c r="D972" s="374"/>
      <c r="E972" s="375"/>
      <c r="F972" s="376"/>
      <c r="G972" s="377"/>
      <c r="H972" s="377"/>
      <c r="I972" s="377"/>
      <c r="J972" s="376"/>
      <c r="K972" s="378"/>
      <c r="L972" s="378"/>
      <c r="M972" s="378"/>
      <c r="N972" s="378"/>
      <c r="O972" s="378"/>
      <c r="P972" s="378"/>
    </row>
    <row r="973" spans="3:16" x14ac:dyDescent="0.3">
      <c r="C973" s="373"/>
      <c r="D973" s="374"/>
      <c r="E973" s="375"/>
      <c r="F973" s="376"/>
      <c r="G973" s="377"/>
      <c r="H973" s="377"/>
      <c r="I973" s="377"/>
      <c r="J973" s="376"/>
      <c r="K973" s="378"/>
      <c r="L973" s="378"/>
      <c r="M973" s="378"/>
      <c r="N973" s="378"/>
      <c r="O973" s="378"/>
      <c r="P973" s="378"/>
    </row>
    <row r="974" spans="3:16" x14ac:dyDescent="0.3">
      <c r="C974" s="373"/>
      <c r="D974" s="374"/>
      <c r="E974" s="375"/>
      <c r="F974" s="376"/>
      <c r="G974" s="377"/>
      <c r="H974" s="377"/>
      <c r="I974" s="377"/>
      <c r="J974" s="376"/>
      <c r="K974" s="378"/>
      <c r="L974" s="378"/>
      <c r="M974" s="378"/>
      <c r="N974" s="378"/>
      <c r="O974" s="378"/>
      <c r="P974" s="378"/>
    </row>
    <row r="975" spans="3:16" x14ac:dyDescent="0.3">
      <c r="C975" s="373"/>
      <c r="D975" s="374"/>
      <c r="E975" s="375"/>
      <c r="F975" s="376"/>
      <c r="G975" s="377"/>
      <c r="H975" s="377"/>
      <c r="I975" s="377"/>
      <c r="J975" s="376"/>
      <c r="K975" s="378"/>
      <c r="L975" s="378"/>
      <c r="M975" s="378"/>
      <c r="N975" s="378"/>
      <c r="O975" s="378"/>
      <c r="P975" s="378"/>
    </row>
    <row r="976" spans="3:16" x14ac:dyDescent="0.3">
      <c r="C976" s="379"/>
      <c r="D976" s="312"/>
      <c r="E976" s="380"/>
      <c r="F976" s="314"/>
      <c r="G976" s="315"/>
      <c r="H976" s="315"/>
      <c r="I976" s="315"/>
      <c r="J976" s="314"/>
      <c r="K976" s="316"/>
      <c r="L976" s="316"/>
      <c r="M976" s="316"/>
      <c r="N976" s="316"/>
      <c r="O976" s="316"/>
      <c r="P976" s="316"/>
    </row>
    <row r="977" spans="3:16" x14ac:dyDescent="0.3">
      <c r="C977" s="373"/>
      <c r="D977" s="374"/>
      <c r="E977" s="375"/>
      <c r="F977" s="376"/>
      <c r="G977" s="377"/>
      <c r="H977" s="377"/>
      <c r="I977" s="377"/>
      <c r="J977" s="376"/>
      <c r="K977" s="378"/>
      <c r="L977" s="378"/>
      <c r="M977" s="378"/>
      <c r="N977" s="378"/>
      <c r="O977" s="378"/>
      <c r="P977" s="378"/>
    </row>
    <row r="978" spans="3:16" x14ac:dyDescent="0.3">
      <c r="C978" s="373"/>
      <c r="D978" s="374"/>
      <c r="E978" s="375"/>
      <c r="F978" s="376"/>
      <c r="G978" s="377"/>
      <c r="H978" s="377"/>
      <c r="I978" s="377"/>
      <c r="J978" s="376"/>
      <c r="K978" s="378"/>
      <c r="L978" s="378"/>
      <c r="M978" s="378"/>
      <c r="N978" s="378"/>
      <c r="O978" s="378"/>
      <c r="P978" s="378"/>
    </row>
    <row r="979" spans="3:16" x14ac:dyDescent="0.3">
      <c r="C979" s="373"/>
      <c r="D979" s="374"/>
      <c r="E979" s="375"/>
      <c r="F979" s="376"/>
      <c r="G979" s="377"/>
      <c r="H979" s="377"/>
      <c r="I979" s="377"/>
      <c r="J979" s="376"/>
      <c r="K979" s="378"/>
      <c r="L979" s="378"/>
      <c r="M979" s="378"/>
      <c r="N979" s="378"/>
      <c r="O979" s="378"/>
      <c r="P979" s="378"/>
    </row>
    <row r="980" spans="3:16" x14ac:dyDescent="0.3">
      <c r="C980" s="373"/>
      <c r="D980" s="374"/>
      <c r="E980" s="375"/>
      <c r="F980" s="376"/>
      <c r="G980" s="377"/>
      <c r="H980" s="377"/>
      <c r="I980" s="377"/>
      <c r="J980" s="376"/>
      <c r="K980" s="378"/>
      <c r="L980" s="378"/>
      <c r="M980" s="378"/>
      <c r="N980" s="378"/>
      <c r="O980" s="378"/>
      <c r="P980" s="378"/>
    </row>
    <row r="981" spans="3:16" x14ac:dyDescent="0.3">
      <c r="C981" s="373"/>
      <c r="D981" s="374"/>
      <c r="E981" s="375"/>
      <c r="F981" s="376"/>
      <c r="G981" s="377"/>
      <c r="H981" s="377"/>
      <c r="I981" s="377"/>
      <c r="J981" s="376"/>
      <c r="K981" s="378"/>
      <c r="L981" s="378"/>
      <c r="M981" s="378"/>
      <c r="N981" s="378"/>
      <c r="O981" s="378"/>
      <c r="P981" s="378"/>
    </row>
    <row r="982" spans="3:16" x14ac:dyDescent="0.3">
      <c r="C982" s="373"/>
      <c r="D982" s="374"/>
      <c r="E982" s="375"/>
      <c r="F982" s="376"/>
      <c r="G982" s="377"/>
      <c r="H982" s="377"/>
      <c r="I982" s="377"/>
      <c r="J982" s="376"/>
      <c r="K982" s="378"/>
      <c r="L982" s="378"/>
      <c r="M982" s="378"/>
      <c r="N982" s="378"/>
      <c r="O982" s="378"/>
      <c r="P982" s="378"/>
    </row>
    <row r="983" spans="3:16" x14ac:dyDescent="0.3">
      <c r="C983" s="379"/>
      <c r="D983" s="312"/>
      <c r="E983" s="380"/>
      <c r="F983" s="314"/>
      <c r="G983" s="315"/>
      <c r="H983" s="315"/>
      <c r="I983" s="315"/>
      <c r="J983" s="314"/>
      <c r="K983" s="316"/>
      <c r="L983" s="316"/>
      <c r="M983" s="316"/>
      <c r="N983" s="316"/>
      <c r="O983" s="316"/>
      <c r="P983" s="316"/>
    </row>
    <row r="984" spans="3:16" x14ac:dyDescent="0.3">
      <c r="C984" s="373"/>
      <c r="D984" s="374"/>
      <c r="E984" s="375"/>
      <c r="F984" s="376"/>
      <c r="G984" s="377"/>
      <c r="H984" s="377"/>
      <c r="I984" s="377"/>
      <c r="J984" s="376"/>
      <c r="K984" s="378"/>
      <c r="L984" s="378"/>
      <c r="M984" s="378"/>
      <c r="N984" s="378"/>
      <c r="O984" s="378"/>
      <c r="P984" s="378"/>
    </row>
    <row r="985" spans="3:16" x14ac:dyDescent="0.3">
      <c r="C985" s="379"/>
      <c r="D985" s="312"/>
      <c r="E985" s="380"/>
      <c r="F985" s="314"/>
      <c r="G985" s="315"/>
      <c r="H985" s="315"/>
      <c r="I985" s="315"/>
      <c r="J985" s="314"/>
      <c r="K985" s="316"/>
      <c r="L985" s="316"/>
      <c r="M985" s="316"/>
      <c r="N985" s="316"/>
      <c r="O985" s="316"/>
      <c r="P985" s="316"/>
    </row>
    <row r="986" spans="3:16" x14ac:dyDescent="0.3">
      <c r="C986" s="373"/>
      <c r="D986" s="374"/>
      <c r="E986" s="375"/>
      <c r="F986" s="376"/>
      <c r="G986" s="377"/>
      <c r="H986" s="377"/>
      <c r="I986" s="377"/>
      <c r="J986" s="376"/>
      <c r="K986" s="378"/>
      <c r="L986" s="378"/>
      <c r="M986" s="378"/>
      <c r="N986" s="378"/>
      <c r="O986" s="378"/>
      <c r="P986" s="378"/>
    </row>
    <row r="987" spans="3:16" x14ac:dyDescent="0.3">
      <c r="C987" s="373"/>
      <c r="D987" s="374"/>
      <c r="E987" s="375"/>
      <c r="F987" s="376"/>
      <c r="G987" s="377"/>
      <c r="H987" s="377"/>
      <c r="I987" s="377"/>
      <c r="J987" s="376"/>
      <c r="K987" s="378"/>
      <c r="L987" s="378"/>
      <c r="M987" s="378"/>
      <c r="N987" s="378"/>
      <c r="O987" s="378"/>
      <c r="P987" s="378"/>
    </row>
    <row r="988" spans="3:16" x14ac:dyDescent="0.3">
      <c r="C988" s="373"/>
      <c r="D988" s="374"/>
      <c r="E988" s="375"/>
      <c r="F988" s="376"/>
      <c r="G988" s="377"/>
      <c r="H988" s="377"/>
      <c r="I988" s="377"/>
      <c r="J988" s="376"/>
      <c r="K988" s="378"/>
      <c r="L988" s="378"/>
      <c r="M988" s="378"/>
      <c r="N988" s="378"/>
      <c r="O988" s="378"/>
      <c r="P988" s="378"/>
    </row>
    <row r="989" spans="3:16" x14ac:dyDescent="0.3">
      <c r="C989" s="373"/>
      <c r="D989" s="374"/>
      <c r="E989" s="375"/>
      <c r="F989" s="376"/>
      <c r="G989" s="377"/>
      <c r="H989" s="377"/>
      <c r="I989" s="377"/>
      <c r="J989" s="376"/>
      <c r="K989" s="378"/>
      <c r="L989" s="378"/>
      <c r="M989" s="378"/>
      <c r="N989" s="378"/>
      <c r="O989" s="378"/>
      <c r="P989" s="378"/>
    </row>
    <row r="990" spans="3:16" x14ac:dyDescent="0.3">
      <c r="C990" s="373"/>
      <c r="D990" s="374"/>
      <c r="E990" s="375"/>
      <c r="F990" s="376"/>
      <c r="G990" s="377"/>
      <c r="H990" s="377"/>
      <c r="I990" s="377"/>
      <c r="J990" s="376"/>
      <c r="K990" s="378"/>
      <c r="L990" s="378"/>
      <c r="M990" s="378"/>
      <c r="N990" s="378"/>
      <c r="O990" s="378"/>
      <c r="P990" s="378"/>
    </row>
    <row r="991" spans="3:16" x14ac:dyDescent="0.3">
      <c r="C991" s="379"/>
      <c r="D991" s="402"/>
      <c r="E991" s="313"/>
      <c r="F991" s="314"/>
      <c r="G991" s="315"/>
      <c r="H991" s="315"/>
      <c r="I991" s="315"/>
      <c r="J991" s="314"/>
      <c r="K991" s="316"/>
      <c r="L991" s="316"/>
      <c r="M991" s="316"/>
      <c r="N991" s="316"/>
      <c r="O991" s="316"/>
      <c r="P991" s="316"/>
    </row>
    <row r="992" spans="3:16" x14ac:dyDescent="0.3">
      <c r="C992" s="379"/>
      <c r="D992" s="402"/>
      <c r="E992" s="313"/>
      <c r="F992" s="314"/>
      <c r="G992" s="315"/>
      <c r="H992" s="315"/>
      <c r="I992" s="315"/>
      <c r="J992" s="314"/>
      <c r="K992" s="316"/>
      <c r="L992" s="316"/>
      <c r="M992" s="316"/>
      <c r="N992" s="316"/>
      <c r="O992" s="316"/>
      <c r="P992" s="316"/>
    </row>
    <row r="993" spans="3:16" x14ac:dyDescent="0.3">
      <c r="C993" s="379"/>
      <c r="D993" s="402"/>
      <c r="E993" s="313"/>
      <c r="F993" s="314"/>
      <c r="G993" s="315"/>
      <c r="H993" s="315"/>
      <c r="I993" s="315"/>
      <c r="J993" s="314"/>
      <c r="K993" s="316"/>
      <c r="L993" s="316"/>
      <c r="M993" s="316"/>
      <c r="N993" s="316"/>
      <c r="O993" s="316"/>
      <c r="P993" s="316"/>
    </row>
  </sheetData>
  <autoFilter ref="C16:Q153" xr:uid="{00000000-0009-0000-0000-00000A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66" orientation="portrait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etrado4"/>
  <dimension ref="A1:W1189"/>
  <sheetViews>
    <sheetView view="pageBreakPreview" zoomScale="85" zoomScaleNormal="85" zoomScaleSheetLayoutView="85" workbookViewId="0">
      <selection activeCell="D23" sqref="D23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10.6640625" style="104" bestFit="1" customWidth="1"/>
    <col min="4" max="4" width="63.88671875" style="214" customWidth="1"/>
    <col min="5" max="5" width="4.109375" style="215" customWidth="1"/>
    <col min="6" max="6" width="3.88671875" style="215" customWidth="1"/>
    <col min="7" max="7" width="8.4414062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4.886718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109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316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0.95" customHeight="1" x14ac:dyDescent="0.3">
      <c r="C16" s="180"/>
      <c r="D16" s="272"/>
      <c r="E16" s="273"/>
      <c r="F16" s="273"/>
      <c r="G16" s="182"/>
      <c r="H16" s="182"/>
      <c r="I16" s="182"/>
      <c r="J16" s="183"/>
      <c r="K16" s="274"/>
      <c r="L16" s="274"/>
      <c r="M16" s="182"/>
      <c r="N16" s="182"/>
      <c r="O16" s="183"/>
      <c r="P16" s="275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185">
        <v>1</v>
      </c>
      <c r="D18" s="366" t="s">
        <v>316</v>
      </c>
      <c r="E18" s="367"/>
      <c r="F18" s="280"/>
      <c r="G18" s="281"/>
      <c r="H18" s="281"/>
      <c r="I18" s="281"/>
      <c r="J18" s="282"/>
      <c r="K18" s="186"/>
      <c r="L18" s="186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128"/>
      <c r="K19" s="129"/>
      <c r="L19" s="129"/>
      <c r="M19" s="129"/>
      <c r="N19" s="129"/>
      <c r="O19" s="129"/>
      <c r="P19" s="129"/>
    </row>
    <row r="20" spans="1:16" s="110" customFormat="1" x14ac:dyDescent="0.2">
      <c r="A20" s="285">
        <v>2</v>
      </c>
      <c r="B20" s="108"/>
      <c r="C20" s="97" t="s">
        <v>397</v>
      </c>
      <c r="D20" s="98" t="s">
        <v>20</v>
      </c>
      <c r="E20" s="101"/>
      <c r="F20" s="51"/>
      <c r="G20" s="52"/>
      <c r="H20" s="52"/>
      <c r="I20" s="52"/>
      <c r="J20" s="59"/>
      <c r="K20" s="100"/>
      <c r="L20" s="100"/>
      <c r="M20" s="100"/>
      <c r="N20" s="100"/>
      <c r="O20" s="100"/>
      <c r="P20" s="100"/>
    </row>
    <row r="21" spans="1:16" s="150" customFormat="1" x14ac:dyDescent="0.2">
      <c r="A21" s="184">
        <v>3</v>
      </c>
      <c r="B21" s="149"/>
      <c r="C21" s="363" t="s">
        <v>447</v>
      </c>
      <c r="D21" s="362" t="s">
        <v>21</v>
      </c>
      <c r="E21" s="50"/>
      <c r="F21" s="51"/>
      <c r="G21" s="52"/>
      <c r="H21" s="52"/>
      <c r="I21" s="52"/>
      <c r="J21" s="59"/>
      <c r="K21" s="55"/>
      <c r="L21" s="55"/>
      <c r="M21" s="55"/>
      <c r="N21" s="55"/>
      <c r="O21" s="55"/>
      <c r="P21" s="55"/>
    </row>
    <row r="22" spans="1:16" x14ac:dyDescent="0.3">
      <c r="C22" s="48" t="s">
        <v>448</v>
      </c>
      <c r="D22" s="77" t="s">
        <v>381</v>
      </c>
      <c r="E22" s="50" t="s">
        <v>8</v>
      </c>
      <c r="F22" s="51"/>
      <c r="G22" s="52"/>
      <c r="H22" s="52"/>
      <c r="I22" s="52"/>
      <c r="J22" s="59"/>
      <c r="K22" s="55"/>
      <c r="L22" s="55"/>
      <c r="M22" s="55"/>
      <c r="N22" s="55"/>
      <c r="O22" s="55"/>
      <c r="P22" s="55">
        <f>SUM(L24:L24)</f>
        <v>26</v>
      </c>
    </row>
    <row r="23" spans="1:16" x14ac:dyDescent="0.3">
      <c r="C23" s="72"/>
      <c r="D23" s="79" t="s">
        <v>315</v>
      </c>
      <c r="E23" s="88"/>
      <c r="F23" s="51"/>
      <c r="G23" s="52"/>
      <c r="H23" s="52"/>
      <c r="I23" s="52"/>
      <c r="J23" s="54"/>
      <c r="K23" s="55"/>
      <c r="L23" s="55"/>
      <c r="M23" s="61"/>
      <c r="N23" s="61"/>
      <c r="O23" s="61"/>
      <c r="P23" s="61"/>
    </row>
    <row r="24" spans="1:16" x14ac:dyDescent="0.3">
      <c r="C24" s="56"/>
      <c r="D24" s="64" t="s">
        <v>382</v>
      </c>
      <c r="E24" s="90" t="s">
        <v>12</v>
      </c>
      <c r="F24" s="66">
        <v>26</v>
      </c>
      <c r="G24" s="67"/>
      <c r="H24" s="67"/>
      <c r="I24" s="67"/>
      <c r="J24" s="66">
        <v>1</v>
      </c>
      <c r="K24" s="68"/>
      <c r="L24" s="68">
        <f t="shared" ref="L24" si="0">IF(F24="","",PRODUCT(F24:J24))</f>
        <v>26</v>
      </c>
      <c r="M24" s="61"/>
      <c r="N24" s="61"/>
      <c r="O24" s="61"/>
      <c r="P24" s="61"/>
    </row>
    <row r="25" spans="1:16" s="110" customFormat="1" x14ac:dyDescent="0.2">
      <c r="A25" s="285">
        <v>2</v>
      </c>
      <c r="B25" s="108"/>
      <c r="C25" s="97" t="s">
        <v>428</v>
      </c>
      <c r="D25" s="98" t="s">
        <v>16</v>
      </c>
      <c r="E25" s="101"/>
      <c r="F25" s="51"/>
      <c r="G25" s="52"/>
      <c r="H25" s="52"/>
      <c r="I25" s="52"/>
      <c r="J25" s="59"/>
      <c r="K25" s="100"/>
      <c r="L25" s="100"/>
      <c r="M25" s="100"/>
      <c r="N25" s="100"/>
      <c r="O25" s="100"/>
      <c r="P25" s="100"/>
    </row>
    <row r="26" spans="1:16" x14ac:dyDescent="0.3">
      <c r="A26" s="104">
        <v>3</v>
      </c>
      <c r="C26" s="48" t="s">
        <v>430</v>
      </c>
      <c r="D26" s="77" t="s">
        <v>371</v>
      </c>
      <c r="E26" s="50" t="s">
        <v>12</v>
      </c>
      <c r="F26" s="78"/>
      <c r="G26" s="53"/>
      <c r="H26" s="53"/>
      <c r="I26" s="55"/>
      <c r="J26" s="54"/>
      <c r="K26" s="55"/>
      <c r="L26" s="55"/>
      <c r="M26" s="55"/>
      <c r="N26" s="55"/>
      <c r="O26" s="55"/>
      <c r="P26" s="55">
        <f>SUM(K26:K32)</f>
        <v>249.05</v>
      </c>
    </row>
    <row r="27" spans="1:16" x14ac:dyDescent="0.3">
      <c r="C27" s="48"/>
      <c r="D27" s="79" t="s">
        <v>315</v>
      </c>
      <c r="E27" s="88"/>
      <c r="F27" s="51"/>
      <c r="G27" s="52"/>
      <c r="H27" s="52"/>
      <c r="I27" s="52"/>
      <c r="J27" s="54"/>
      <c r="K27" s="55"/>
      <c r="L27" s="55"/>
      <c r="M27" s="55"/>
      <c r="N27" s="55"/>
      <c r="O27" s="55"/>
      <c r="P27" s="55"/>
    </row>
    <row r="28" spans="1:16" x14ac:dyDescent="0.3">
      <c r="C28" s="48"/>
      <c r="D28" s="79" t="s">
        <v>317</v>
      </c>
      <c r="E28" s="89"/>
      <c r="F28" s="59"/>
      <c r="G28" s="60"/>
      <c r="H28" s="60"/>
      <c r="I28" s="60"/>
      <c r="J28" s="62"/>
      <c r="K28" s="61"/>
      <c r="L28" s="55"/>
      <c r="M28" s="55"/>
      <c r="N28" s="55"/>
      <c r="O28" s="55"/>
      <c r="P28" s="55"/>
    </row>
    <row r="29" spans="1:16" x14ac:dyDescent="0.3">
      <c r="C29" s="48"/>
      <c r="D29" s="64" t="s">
        <v>318</v>
      </c>
      <c r="E29" s="90" t="s">
        <v>12</v>
      </c>
      <c r="F29" s="66">
        <v>20</v>
      </c>
      <c r="G29" s="67">
        <v>3.6</v>
      </c>
      <c r="H29" s="67"/>
      <c r="I29" s="111"/>
      <c r="J29" s="69">
        <v>1</v>
      </c>
      <c r="K29" s="68">
        <f>IF(F29="","",PRODUCT(F29:J29))</f>
        <v>72</v>
      </c>
      <c r="L29" s="55"/>
      <c r="M29" s="55"/>
      <c r="N29" s="55"/>
      <c r="O29" s="55"/>
      <c r="P29" s="55"/>
    </row>
    <row r="30" spans="1:16" x14ac:dyDescent="0.3">
      <c r="C30" s="48"/>
      <c r="D30" s="64"/>
      <c r="E30" s="90" t="s">
        <v>12</v>
      </c>
      <c r="F30" s="66">
        <v>23</v>
      </c>
      <c r="G30" s="67">
        <v>3.85</v>
      </c>
      <c r="H30" s="67"/>
      <c r="I30" s="111"/>
      <c r="J30" s="69">
        <v>1</v>
      </c>
      <c r="K30" s="68">
        <f>IF(F30="","",PRODUCT(F30:J30))</f>
        <v>88.55</v>
      </c>
      <c r="L30" s="55"/>
      <c r="M30" s="55"/>
      <c r="N30" s="55"/>
      <c r="O30" s="55"/>
      <c r="P30" s="55"/>
    </row>
    <row r="31" spans="1:16" x14ac:dyDescent="0.3">
      <c r="C31" s="48"/>
      <c r="D31" s="64"/>
      <c r="E31" s="90" t="s">
        <v>12</v>
      </c>
      <c r="F31" s="66">
        <v>10</v>
      </c>
      <c r="G31" s="67">
        <v>8.85</v>
      </c>
      <c r="H31" s="67"/>
      <c r="I31" s="111"/>
      <c r="J31" s="69">
        <v>1</v>
      </c>
      <c r="K31" s="68">
        <f>IF(F31="","",PRODUCT(F31:J31))</f>
        <v>88.5</v>
      </c>
      <c r="L31" s="55"/>
      <c r="M31" s="55"/>
      <c r="N31" s="55"/>
      <c r="O31" s="55"/>
      <c r="P31" s="55"/>
    </row>
    <row r="32" spans="1:16" x14ac:dyDescent="0.3">
      <c r="C32" s="48"/>
      <c r="D32" s="77"/>
      <c r="E32" s="50"/>
      <c r="F32" s="78"/>
      <c r="G32" s="53"/>
      <c r="H32" s="53"/>
      <c r="I32" s="55"/>
      <c r="J32" s="54"/>
      <c r="K32" s="55"/>
      <c r="L32" s="55"/>
      <c r="M32" s="55"/>
      <c r="N32" s="55"/>
      <c r="O32" s="55"/>
      <c r="P32" s="55"/>
    </row>
    <row r="33" spans="3:16" x14ac:dyDescent="0.3">
      <c r="C33" s="385"/>
      <c r="D33" s="403"/>
      <c r="E33" s="404"/>
      <c r="F33" s="405"/>
      <c r="G33" s="384"/>
      <c r="H33" s="384"/>
      <c r="I33" s="384"/>
      <c r="J33" s="314"/>
      <c r="K33" s="387"/>
      <c r="L33" s="387"/>
      <c r="M33" s="387"/>
      <c r="N33" s="387"/>
      <c r="O33" s="387"/>
      <c r="P33" s="387"/>
    </row>
    <row r="34" spans="3:16" x14ac:dyDescent="0.3">
      <c r="C34" s="381"/>
      <c r="D34" s="402"/>
      <c r="E34" s="406"/>
      <c r="F34" s="407"/>
      <c r="G34" s="384"/>
      <c r="H34" s="384"/>
      <c r="I34" s="384"/>
      <c r="J34" s="314"/>
      <c r="K34" s="316"/>
      <c r="L34" s="316"/>
      <c r="M34" s="316"/>
      <c r="N34" s="316"/>
      <c r="O34" s="316"/>
      <c r="P34" s="316"/>
    </row>
    <row r="35" spans="3:16" x14ac:dyDescent="0.3">
      <c r="C35" s="396"/>
      <c r="D35" s="408"/>
      <c r="E35" s="409"/>
      <c r="F35" s="410"/>
      <c r="G35" s="377"/>
      <c r="H35" s="377"/>
      <c r="I35" s="377"/>
      <c r="J35" s="376"/>
      <c r="K35" s="378"/>
      <c r="L35" s="378"/>
      <c r="M35" s="378"/>
      <c r="N35" s="378"/>
      <c r="O35" s="378"/>
      <c r="P35" s="378"/>
    </row>
    <row r="36" spans="3:16" x14ac:dyDescent="0.3">
      <c r="C36" s="373"/>
      <c r="D36" s="408"/>
      <c r="E36" s="409"/>
      <c r="F36" s="410"/>
      <c r="G36" s="377"/>
      <c r="H36" s="377"/>
      <c r="I36" s="377"/>
      <c r="J36" s="376"/>
      <c r="K36" s="378"/>
      <c r="L36" s="378"/>
      <c r="M36" s="378"/>
      <c r="N36" s="378"/>
      <c r="O36" s="378"/>
      <c r="P36" s="378"/>
    </row>
    <row r="37" spans="3:16" x14ac:dyDescent="0.3">
      <c r="C37" s="373"/>
      <c r="D37" s="408"/>
      <c r="E37" s="409"/>
      <c r="F37" s="410"/>
      <c r="G37" s="377"/>
      <c r="H37" s="377"/>
      <c r="I37" s="377"/>
      <c r="J37" s="376"/>
      <c r="K37" s="378"/>
      <c r="L37" s="378"/>
      <c r="M37" s="378"/>
      <c r="N37" s="378"/>
      <c r="O37" s="378"/>
      <c r="P37" s="378"/>
    </row>
    <row r="38" spans="3:16" x14ac:dyDescent="0.3">
      <c r="C38" s="379"/>
      <c r="D38" s="402"/>
      <c r="E38" s="313"/>
      <c r="F38" s="317"/>
      <c r="G38" s="315"/>
      <c r="H38" s="315"/>
      <c r="I38" s="315"/>
      <c r="J38" s="314"/>
      <c r="K38" s="316"/>
      <c r="L38" s="316"/>
      <c r="M38" s="316"/>
      <c r="N38" s="316"/>
      <c r="O38" s="316"/>
      <c r="P38" s="316"/>
    </row>
    <row r="39" spans="3:16" ht="10.95" customHeight="1" x14ac:dyDescent="0.3">
      <c r="C39" s="391"/>
      <c r="D39" s="411"/>
      <c r="E39" s="412"/>
      <c r="F39" s="413"/>
      <c r="G39" s="384"/>
      <c r="H39" s="384"/>
      <c r="I39" s="384"/>
      <c r="J39" s="314"/>
      <c r="K39" s="392"/>
      <c r="L39" s="392"/>
      <c r="M39" s="392"/>
      <c r="N39" s="392"/>
      <c r="O39" s="392"/>
      <c r="P39" s="392"/>
    </row>
    <row r="40" spans="3:16" ht="10.95" customHeight="1" x14ac:dyDescent="0.3">
      <c r="C40" s="414"/>
      <c r="D40" s="415"/>
      <c r="E40" s="416"/>
      <c r="F40" s="417"/>
      <c r="G40" s="384"/>
      <c r="H40" s="384"/>
      <c r="I40" s="384"/>
      <c r="J40" s="314"/>
      <c r="K40" s="418"/>
      <c r="L40" s="418"/>
      <c r="M40" s="418"/>
      <c r="N40" s="418"/>
      <c r="O40" s="418"/>
      <c r="P40" s="418"/>
    </row>
    <row r="41" spans="3:16" ht="10.95" customHeight="1" x14ac:dyDescent="0.3">
      <c r="C41" s="385"/>
      <c r="D41" s="403"/>
      <c r="E41" s="404"/>
      <c r="F41" s="405"/>
      <c r="G41" s="384"/>
      <c r="H41" s="384"/>
      <c r="I41" s="384"/>
      <c r="J41" s="314"/>
      <c r="K41" s="387"/>
      <c r="L41" s="387"/>
      <c r="M41" s="387"/>
      <c r="N41" s="387"/>
      <c r="O41" s="387"/>
      <c r="P41" s="387"/>
    </row>
    <row r="42" spans="3:16" x14ac:dyDescent="0.3">
      <c r="C42" s="381"/>
      <c r="D42" s="419"/>
      <c r="E42" s="406"/>
      <c r="F42" s="407"/>
      <c r="G42" s="384"/>
      <c r="H42" s="384"/>
      <c r="I42" s="384"/>
      <c r="J42" s="314"/>
      <c r="K42" s="316"/>
      <c r="L42" s="316"/>
      <c r="M42" s="316"/>
      <c r="N42" s="316"/>
      <c r="O42" s="316"/>
      <c r="P42" s="316"/>
    </row>
    <row r="43" spans="3:16" x14ac:dyDescent="0.3">
      <c r="C43" s="373"/>
      <c r="D43" s="408"/>
      <c r="E43" s="409"/>
      <c r="F43" s="376"/>
      <c r="G43" s="377"/>
      <c r="H43" s="377"/>
      <c r="I43" s="377"/>
      <c r="J43" s="376"/>
      <c r="K43" s="378"/>
      <c r="L43" s="378"/>
      <c r="M43" s="378"/>
      <c r="N43" s="378"/>
      <c r="O43" s="378"/>
      <c r="P43" s="378"/>
    </row>
    <row r="44" spans="3:16" x14ac:dyDescent="0.3">
      <c r="C44" s="379"/>
      <c r="D44" s="402"/>
      <c r="E44" s="313"/>
      <c r="F44" s="314"/>
      <c r="G44" s="315"/>
      <c r="H44" s="315"/>
      <c r="I44" s="315"/>
      <c r="J44" s="314"/>
      <c r="K44" s="316"/>
      <c r="L44" s="316"/>
      <c r="M44" s="316"/>
      <c r="N44" s="316"/>
      <c r="O44" s="316"/>
      <c r="P44" s="316"/>
    </row>
    <row r="45" spans="3:16" x14ac:dyDescent="0.3">
      <c r="C45" s="381"/>
      <c r="D45" s="402"/>
      <c r="E45" s="406"/>
      <c r="F45" s="383"/>
      <c r="G45" s="384"/>
      <c r="H45" s="384"/>
      <c r="I45" s="384"/>
      <c r="J45" s="314"/>
      <c r="K45" s="316"/>
      <c r="L45" s="316"/>
      <c r="M45" s="316"/>
      <c r="N45" s="316"/>
      <c r="O45" s="316"/>
      <c r="P45" s="316"/>
    </row>
    <row r="46" spans="3:16" x14ac:dyDescent="0.3">
      <c r="C46" s="373"/>
      <c r="D46" s="408"/>
      <c r="E46" s="409"/>
      <c r="F46" s="376"/>
      <c r="G46" s="377"/>
      <c r="H46" s="377"/>
      <c r="I46" s="377"/>
      <c r="J46" s="376"/>
      <c r="K46" s="378"/>
      <c r="L46" s="378"/>
      <c r="M46" s="378"/>
      <c r="N46" s="378"/>
      <c r="O46" s="378"/>
      <c r="P46" s="378"/>
    </row>
    <row r="47" spans="3:16" x14ac:dyDescent="0.3">
      <c r="C47" s="379"/>
      <c r="D47" s="402"/>
      <c r="E47" s="313"/>
      <c r="F47" s="314"/>
      <c r="G47" s="315"/>
      <c r="H47" s="315"/>
      <c r="I47" s="315"/>
      <c r="J47" s="314"/>
      <c r="K47" s="316"/>
      <c r="L47" s="316"/>
      <c r="M47" s="316"/>
      <c r="N47" s="316"/>
      <c r="O47" s="316"/>
      <c r="P47" s="316"/>
    </row>
    <row r="48" spans="3:16" x14ac:dyDescent="0.3">
      <c r="C48" s="381"/>
      <c r="D48" s="402"/>
      <c r="E48" s="406"/>
      <c r="F48" s="383"/>
      <c r="G48" s="384"/>
      <c r="H48" s="384"/>
      <c r="I48" s="384"/>
      <c r="J48" s="314"/>
      <c r="K48" s="316"/>
      <c r="L48" s="316"/>
      <c r="M48" s="316"/>
      <c r="N48" s="316"/>
      <c r="O48" s="316"/>
      <c r="P48" s="316"/>
    </row>
    <row r="49" spans="3:16" x14ac:dyDescent="0.3">
      <c r="C49" s="373"/>
      <c r="D49" s="408"/>
      <c r="E49" s="409"/>
      <c r="F49" s="376"/>
      <c r="G49" s="377"/>
      <c r="H49" s="377"/>
      <c r="I49" s="377"/>
      <c r="J49" s="376"/>
      <c r="K49" s="378"/>
      <c r="L49" s="378"/>
      <c r="M49" s="378"/>
      <c r="N49" s="378"/>
      <c r="O49" s="378"/>
      <c r="P49" s="378"/>
    </row>
    <row r="50" spans="3:16" x14ac:dyDescent="0.3">
      <c r="C50" s="379"/>
      <c r="D50" s="402"/>
      <c r="E50" s="313"/>
      <c r="F50" s="317"/>
      <c r="G50" s="315"/>
      <c r="H50" s="315"/>
      <c r="I50" s="315"/>
      <c r="J50" s="314"/>
      <c r="K50" s="316"/>
      <c r="L50" s="316"/>
      <c r="M50" s="316"/>
      <c r="N50" s="316"/>
      <c r="O50" s="316"/>
      <c r="P50" s="316"/>
    </row>
    <row r="51" spans="3:16" x14ac:dyDescent="0.3">
      <c r="C51" s="414"/>
      <c r="D51" s="415"/>
      <c r="E51" s="416"/>
      <c r="F51" s="417"/>
      <c r="G51" s="384"/>
      <c r="H51" s="384"/>
      <c r="I51" s="384"/>
      <c r="J51" s="314"/>
      <c r="K51" s="418"/>
      <c r="L51" s="418"/>
      <c r="M51" s="418"/>
      <c r="N51" s="418"/>
      <c r="O51" s="418"/>
      <c r="P51" s="418"/>
    </row>
    <row r="52" spans="3:16" x14ac:dyDescent="0.3">
      <c r="C52" s="385"/>
      <c r="D52" s="403"/>
      <c r="E52" s="404"/>
      <c r="F52" s="405"/>
      <c r="G52" s="384"/>
      <c r="H52" s="384"/>
      <c r="I52" s="384"/>
      <c r="J52" s="314"/>
      <c r="K52" s="387"/>
      <c r="L52" s="387"/>
      <c r="M52" s="387"/>
      <c r="N52" s="387"/>
      <c r="O52" s="387"/>
      <c r="P52" s="387"/>
    </row>
    <row r="53" spans="3:16" x14ac:dyDescent="0.3">
      <c r="C53" s="379"/>
      <c r="D53" s="402"/>
      <c r="E53" s="313"/>
      <c r="F53" s="317"/>
      <c r="G53" s="315"/>
      <c r="H53" s="315"/>
      <c r="I53" s="315"/>
      <c r="J53" s="314"/>
      <c r="K53" s="316"/>
      <c r="L53" s="316"/>
      <c r="M53" s="316"/>
      <c r="N53" s="316"/>
      <c r="O53" s="316"/>
      <c r="P53" s="316"/>
    </row>
    <row r="54" spans="3:16" x14ac:dyDescent="0.3">
      <c r="C54" s="381"/>
      <c r="D54" s="419"/>
      <c r="E54" s="406"/>
      <c r="F54" s="407"/>
      <c r="G54" s="384"/>
      <c r="H54" s="384"/>
      <c r="I54" s="384"/>
      <c r="J54" s="314"/>
      <c r="K54" s="316"/>
      <c r="L54" s="316"/>
      <c r="M54" s="316"/>
      <c r="N54" s="316"/>
      <c r="O54" s="316"/>
      <c r="P54" s="316"/>
    </row>
    <row r="55" spans="3:16" x14ac:dyDescent="0.3">
      <c r="C55" s="373"/>
      <c r="D55" s="408"/>
      <c r="E55" s="409"/>
      <c r="F55" s="410"/>
      <c r="G55" s="377"/>
      <c r="H55" s="377"/>
      <c r="I55" s="377"/>
      <c r="J55" s="376"/>
      <c r="K55" s="378"/>
      <c r="L55" s="378"/>
      <c r="M55" s="378"/>
      <c r="N55" s="378"/>
      <c r="O55" s="378"/>
      <c r="P55" s="378"/>
    </row>
    <row r="56" spans="3:16" x14ac:dyDescent="0.3">
      <c r="C56" s="373"/>
      <c r="D56" s="408"/>
      <c r="E56" s="409"/>
      <c r="F56" s="410"/>
      <c r="G56" s="377"/>
      <c r="H56" s="377"/>
      <c r="I56" s="377"/>
      <c r="J56" s="376"/>
      <c r="K56" s="378"/>
      <c r="L56" s="378"/>
      <c r="M56" s="378"/>
      <c r="N56" s="378"/>
      <c r="O56" s="378"/>
      <c r="P56" s="378"/>
    </row>
    <row r="57" spans="3:16" x14ac:dyDescent="0.3">
      <c r="C57" s="379"/>
      <c r="D57" s="402"/>
      <c r="E57" s="313"/>
      <c r="F57" s="317"/>
      <c r="G57" s="315"/>
      <c r="H57" s="315"/>
      <c r="I57" s="315"/>
      <c r="J57" s="314"/>
      <c r="K57" s="316"/>
      <c r="L57" s="316"/>
      <c r="M57" s="316"/>
      <c r="N57" s="316"/>
      <c r="O57" s="316"/>
      <c r="P57" s="316"/>
    </row>
    <row r="58" spans="3:16" x14ac:dyDescent="0.3">
      <c r="C58" s="385"/>
      <c r="D58" s="403"/>
      <c r="E58" s="404"/>
      <c r="F58" s="405"/>
      <c r="G58" s="384"/>
      <c r="H58" s="384"/>
      <c r="I58" s="384"/>
      <c r="J58" s="314"/>
      <c r="K58" s="387"/>
      <c r="L58" s="387"/>
      <c r="M58" s="387"/>
      <c r="N58" s="387"/>
      <c r="O58" s="387"/>
      <c r="P58" s="387"/>
    </row>
    <row r="59" spans="3:16" x14ac:dyDescent="0.3">
      <c r="C59" s="379"/>
      <c r="D59" s="402"/>
      <c r="E59" s="313"/>
      <c r="F59" s="317"/>
      <c r="G59" s="315"/>
      <c r="H59" s="315"/>
      <c r="I59" s="315"/>
      <c r="J59" s="314"/>
      <c r="K59" s="316"/>
      <c r="L59" s="316"/>
      <c r="M59" s="316"/>
      <c r="N59" s="316"/>
      <c r="O59" s="316"/>
      <c r="P59" s="316"/>
    </row>
    <row r="60" spans="3:16" x14ac:dyDescent="0.3">
      <c r="C60" s="381"/>
      <c r="D60" s="419"/>
      <c r="E60" s="406"/>
      <c r="F60" s="407"/>
      <c r="G60" s="384"/>
      <c r="H60" s="384"/>
      <c r="I60" s="384"/>
      <c r="J60" s="314"/>
      <c r="K60" s="316"/>
      <c r="L60" s="316"/>
      <c r="M60" s="316"/>
      <c r="N60" s="316"/>
      <c r="O60" s="316"/>
      <c r="P60" s="316"/>
    </row>
    <row r="61" spans="3:16" x14ac:dyDescent="0.3">
      <c r="C61" s="373"/>
      <c r="D61" s="408"/>
      <c r="E61" s="409"/>
      <c r="F61" s="410"/>
      <c r="G61" s="377"/>
      <c r="H61" s="377"/>
      <c r="I61" s="377"/>
      <c r="J61" s="376"/>
      <c r="K61" s="378"/>
      <c r="L61" s="378"/>
      <c r="M61" s="378"/>
      <c r="N61" s="378"/>
      <c r="O61" s="378"/>
      <c r="P61" s="378"/>
    </row>
    <row r="62" spans="3:16" x14ac:dyDescent="0.3">
      <c r="C62" s="373"/>
      <c r="D62" s="408"/>
      <c r="E62" s="409"/>
      <c r="F62" s="410"/>
      <c r="G62" s="377"/>
      <c r="H62" s="377"/>
      <c r="I62" s="377"/>
      <c r="J62" s="376"/>
      <c r="K62" s="378"/>
      <c r="L62" s="378"/>
      <c r="M62" s="378"/>
      <c r="N62" s="378"/>
      <c r="O62" s="378"/>
      <c r="P62" s="378"/>
    </row>
    <row r="63" spans="3:16" x14ac:dyDescent="0.3">
      <c r="C63" s="379"/>
      <c r="D63" s="402"/>
      <c r="E63" s="313"/>
      <c r="F63" s="317"/>
      <c r="G63" s="315"/>
      <c r="H63" s="315"/>
      <c r="I63" s="315"/>
      <c r="J63" s="314"/>
      <c r="K63" s="316"/>
      <c r="L63" s="316"/>
      <c r="M63" s="316"/>
      <c r="N63" s="316"/>
      <c r="O63" s="316"/>
      <c r="P63" s="316"/>
    </row>
    <row r="64" spans="3:16" x14ac:dyDescent="0.3">
      <c r="C64" s="381"/>
      <c r="D64" s="419"/>
      <c r="E64" s="406"/>
      <c r="F64" s="407"/>
      <c r="G64" s="384"/>
      <c r="H64" s="384"/>
      <c r="I64" s="384"/>
      <c r="J64" s="314"/>
      <c r="K64" s="316"/>
      <c r="L64" s="316"/>
      <c r="M64" s="316"/>
      <c r="N64" s="316"/>
      <c r="O64" s="316"/>
      <c r="P64" s="316"/>
    </row>
    <row r="65" spans="3:16" x14ac:dyDescent="0.3">
      <c r="C65" s="373"/>
      <c r="D65" s="408"/>
      <c r="E65" s="409"/>
      <c r="F65" s="410"/>
      <c r="G65" s="377"/>
      <c r="H65" s="377"/>
      <c r="I65" s="377"/>
      <c r="J65" s="376"/>
      <c r="K65" s="378"/>
      <c r="L65" s="378"/>
      <c r="M65" s="378"/>
      <c r="N65" s="378"/>
      <c r="O65" s="378"/>
      <c r="P65" s="378"/>
    </row>
    <row r="66" spans="3:16" x14ac:dyDescent="0.3">
      <c r="C66" s="373"/>
      <c r="D66" s="408"/>
      <c r="E66" s="409"/>
      <c r="F66" s="410"/>
      <c r="G66" s="377"/>
      <c r="H66" s="377"/>
      <c r="I66" s="377"/>
      <c r="J66" s="376"/>
      <c r="K66" s="378"/>
      <c r="L66" s="378"/>
      <c r="M66" s="378"/>
      <c r="N66" s="378"/>
      <c r="O66" s="378"/>
      <c r="P66" s="378"/>
    </row>
    <row r="67" spans="3:16" x14ac:dyDescent="0.3">
      <c r="C67" s="373"/>
      <c r="D67" s="408"/>
      <c r="E67" s="409"/>
      <c r="F67" s="410"/>
      <c r="G67" s="377"/>
      <c r="H67" s="377"/>
      <c r="I67" s="377"/>
      <c r="J67" s="376"/>
      <c r="K67" s="378"/>
      <c r="L67" s="378"/>
      <c r="M67" s="378"/>
      <c r="N67" s="378"/>
      <c r="O67" s="378"/>
      <c r="P67" s="378"/>
    </row>
    <row r="68" spans="3:16" x14ac:dyDescent="0.3">
      <c r="C68" s="379"/>
      <c r="D68" s="402"/>
      <c r="E68" s="313"/>
      <c r="F68" s="317"/>
      <c r="G68" s="315"/>
      <c r="H68" s="315"/>
      <c r="I68" s="315"/>
      <c r="J68" s="314"/>
      <c r="K68" s="316"/>
      <c r="L68" s="316"/>
      <c r="M68" s="316"/>
      <c r="N68" s="316"/>
      <c r="O68" s="316"/>
      <c r="P68" s="316"/>
    </row>
    <row r="69" spans="3:16" x14ac:dyDescent="0.3">
      <c r="C69" s="385"/>
      <c r="D69" s="403"/>
      <c r="E69" s="404"/>
      <c r="F69" s="405"/>
      <c r="G69" s="384"/>
      <c r="H69" s="384"/>
      <c r="I69" s="384"/>
      <c r="J69" s="314"/>
      <c r="K69" s="387"/>
      <c r="L69" s="387"/>
      <c r="M69" s="387"/>
      <c r="N69" s="387"/>
      <c r="O69" s="387"/>
      <c r="P69" s="387"/>
    </row>
    <row r="70" spans="3:16" x14ac:dyDescent="0.3">
      <c r="C70" s="379"/>
      <c r="D70" s="402"/>
      <c r="E70" s="313"/>
      <c r="F70" s="317"/>
      <c r="G70" s="315"/>
      <c r="H70" s="315"/>
      <c r="I70" s="315"/>
      <c r="J70" s="314"/>
      <c r="K70" s="316"/>
      <c r="L70" s="316"/>
      <c r="M70" s="316"/>
      <c r="N70" s="316"/>
      <c r="O70" s="316"/>
      <c r="P70" s="316"/>
    </row>
    <row r="71" spans="3:16" x14ac:dyDescent="0.3">
      <c r="C71" s="381"/>
      <c r="D71" s="419"/>
      <c r="E71" s="406"/>
      <c r="F71" s="407"/>
      <c r="G71" s="384"/>
      <c r="H71" s="384"/>
      <c r="I71" s="384"/>
      <c r="J71" s="314"/>
      <c r="K71" s="316"/>
      <c r="L71" s="316"/>
      <c r="M71" s="316"/>
      <c r="N71" s="316"/>
      <c r="O71" s="316"/>
      <c r="P71" s="316"/>
    </row>
    <row r="72" spans="3:16" x14ac:dyDescent="0.3">
      <c r="C72" s="373"/>
      <c r="D72" s="408"/>
      <c r="E72" s="409"/>
      <c r="F72" s="410"/>
      <c r="G72" s="377"/>
      <c r="H72" s="377"/>
      <c r="I72" s="377"/>
      <c r="J72" s="376"/>
      <c r="K72" s="378"/>
      <c r="L72" s="378"/>
      <c r="M72" s="378"/>
      <c r="N72" s="378"/>
      <c r="O72" s="378"/>
      <c r="P72" s="378"/>
    </row>
    <row r="73" spans="3:16" x14ac:dyDescent="0.3">
      <c r="C73" s="379"/>
      <c r="D73" s="402"/>
      <c r="E73" s="313"/>
      <c r="F73" s="317"/>
      <c r="G73" s="315"/>
      <c r="H73" s="315"/>
      <c r="I73" s="315"/>
      <c r="J73" s="314"/>
      <c r="K73" s="316"/>
      <c r="L73" s="316"/>
      <c r="M73" s="316"/>
      <c r="N73" s="316"/>
      <c r="O73" s="316"/>
      <c r="P73" s="316"/>
    </row>
    <row r="74" spans="3:16" x14ac:dyDescent="0.3">
      <c r="C74" s="385"/>
      <c r="D74" s="403"/>
      <c r="E74" s="404"/>
      <c r="F74" s="405"/>
      <c r="G74" s="384"/>
      <c r="H74" s="384"/>
      <c r="I74" s="384"/>
      <c r="J74" s="314"/>
      <c r="K74" s="387"/>
      <c r="L74" s="387"/>
      <c r="M74" s="387"/>
      <c r="N74" s="387"/>
      <c r="O74" s="387"/>
      <c r="P74" s="387"/>
    </row>
    <row r="75" spans="3:16" x14ac:dyDescent="0.3">
      <c r="C75" s="379"/>
      <c r="D75" s="402"/>
      <c r="E75" s="313"/>
      <c r="F75" s="317"/>
      <c r="G75" s="315"/>
      <c r="H75" s="315"/>
      <c r="I75" s="315"/>
      <c r="J75" s="314"/>
      <c r="K75" s="316"/>
      <c r="L75" s="316"/>
      <c r="M75" s="316"/>
      <c r="N75" s="316"/>
      <c r="O75" s="316"/>
      <c r="P75" s="316"/>
    </row>
    <row r="76" spans="3:16" x14ac:dyDescent="0.3">
      <c r="C76" s="373"/>
      <c r="D76" s="408"/>
      <c r="E76" s="409"/>
      <c r="F76" s="410"/>
      <c r="G76" s="377"/>
      <c r="H76" s="377"/>
      <c r="I76" s="377"/>
      <c r="J76" s="376"/>
      <c r="K76" s="378"/>
      <c r="L76" s="378"/>
      <c r="M76" s="378"/>
      <c r="N76" s="378"/>
      <c r="O76" s="378"/>
      <c r="P76" s="378"/>
    </row>
    <row r="77" spans="3:16" x14ac:dyDescent="0.3">
      <c r="C77" s="379"/>
      <c r="D77" s="402"/>
      <c r="E77" s="313"/>
      <c r="F77" s="317"/>
      <c r="G77" s="315"/>
      <c r="H77" s="315"/>
      <c r="I77" s="315"/>
      <c r="J77" s="314"/>
      <c r="K77" s="316"/>
      <c r="L77" s="316"/>
      <c r="M77" s="316"/>
      <c r="N77" s="316"/>
      <c r="O77" s="316"/>
      <c r="P77" s="316"/>
    </row>
    <row r="78" spans="3:16" x14ac:dyDescent="0.3">
      <c r="C78" s="379"/>
      <c r="D78" s="402"/>
      <c r="E78" s="313"/>
      <c r="F78" s="317"/>
      <c r="G78" s="315"/>
      <c r="H78" s="315"/>
      <c r="I78" s="315"/>
      <c r="J78" s="314"/>
      <c r="K78" s="316"/>
      <c r="L78" s="316"/>
      <c r="M78" s="316"/>
      <c r="N78" s="316"/>
      <c r="O78" s="316"/>
      <c r="P78" s="316"/>
    </row>
    <row r="79" spans="3:16" x14ac:dyDescent="0.3">
      <c r="C79" s="373"/>
      <c r="D79" s="408"/>
      <c r="E79" s="409"/>
      <c r="F79" s="410"/>
      <c r="G79" s="377"/>
      <c r="H79" s="377"/>
      <c r="I79" s="377"/>
      <c r="J79" s="376"/>
      <c r="K79" s="378"/>
      <c r="L79" s="378"/>
      <c r="M79" s="378"/>
      <c r="N79" s="378"/>
      <c r="O79" s="378"/>
      <c r="P79" s="378"/>
    </row>
    <row r="80" spans="3:16" x14ac:dyDescent="0.3">
      <c r="C80" s="373"/>
      <c r="D80" s="408"/>
      <c r="E80" s="409"/>
      <c r="F80" s="410"/>
      <c r="G80" s="377"/>
      <c r="H80" s="377"/>
      <c r="I80" s="377"/>
      <c r="J80" s="376"/>
      <c r="K80" s="378"/>
      <c r="L80" s="378"/>
      <c r="M80" s="378"/>
      <c r="N80" s="378"/>
      <c r="O80" s="378"/>
      <c r="P80" s="378"/>
    </row>
    <row r="81" spans="3:16" x14ac:dyDescent="0.3">
      <c r="C81" s="373"/>
      <c r="D81" s="408"/>
      <c r="E81" s="409"/>
      <c r="F81" s="410"/>
      <c r="G81" s="377"/>
      <c r="H81" s="377"/>
      <c r="I81" s="377"/>
      <c r="J81" s="376"/>
      <c r="K81" s="378"/>
      <c r="L81" s="378"/>
      <c r="M81" s="378"/>
      <c r="N81" s="378"/>
      <c r="O81" s="378"/>
      <c r="P81" s="378"/>
    </row>
    <row r="82" spans="3:16" x14ac:dyDescent="0.3">
      <c r="C82" s="373"/>
      <c r="D82" s="408"/>
      <c r="E82" s="409"/>
      <c r="F82" s="410"/>
      <c r="G82" s="377"/>
      <c r="H82" s="377"/>
      <c r="I82" s="377"/>
      <c r="J82" s="376"/>
      <c r="K82" s="378"/>
      <c r="L82" s="378"/>
      <c r="M82" s="378"/>
      <c r="N82" s="378"/>
      <c r="O82" s="378"/>
      <c r="P82" s="378"/>
    </row>
    <row r="83" spans="3:16" x14ac:dyDescent="0.3">
      <c r="C83" s="379"/>
      <c r="D83" s="402"/>
      <c r="E83" s="313"/>
      <c r="F83" s="317"/>
      <c r="G83" s="315"/>
      <c r="H83" s="315"/>
      <c r="I83" s="315"/>
      <c r="J83" s="314"/>
      <c r="K83" s="316"/>
      <c r="L83" s="316"/>
      <c r="M83" s="316"/>
      <c r="N83" s="316"/>
      <c r="O83" s="316"/>
      <c r="P83" s="316"/>
    </row>
    <row r="84" spans="3:16" x14ac:dyDescent="0.3">
      <c r="C84" s="414"/>
      <c r="D84" s="415"/>
      <c r="E84" s="416"/>
      <c r="F84" s="417"/>
      <c r="G84" s="384"/>
      <c r="H84" s="384"/>
      <c r="I84" s="384"/>
      <c r="J84" s="314"/>
      <c r="K84" s="418"/>
      <c r="L84" s="418"/>
      <c r="M84" s="418"/>
      <c r="N84" s="418"/>
      <c r="O84" s="418"/>
      <c r="P84" s="418"/>
    </row>
    <row r="85" spans="3:16" x14ac:dyDescent="0.3">
      <c r="C85" s="385"/>
      <c r="D85" s="403"/>
      <c r="E85" s="404"/>
      <c r="F85" s="405"/>
      <c r="G85" s="384"/>
      <c r="H85" s="384"/>
      <c r="I85" s="384"/>
      <c r="J85" s="314"/>
      <c r="K85" s="387"/>
      <c r="L85" s="387"/>
      <c r="M85" s="387"/>
      <c r="N85" s="387"/>
      <c r="O85" s="387"/>
      <c r="P85" s="387"/>
    </row>
    <row r="86" spans="3:16" x14ac:dyDescent="0.3">
      <c r="C86" s="381"/>
      <c r="D86" s="402"/>
      <c r="E86" s="406"/>
      <c r="F86" s="407"/>
      <c r="G86" s="384"/>
      <c r="H86" s="384"/>
      <c r="I86" s="384"/>
      <c r="J86" s="314"/>
      <c r="K86" s="316"/>
      <c r="L86" s="316"/>
      <c r="M86" s="316"/>
      <c r="N86" s="316"/>
      <c r="O86" s="316"/>
      <c r="P86" s="316"/>
    </row>
    <row r="87" spans="3:16" x14ac:dyDescent="0.3">
      <c r="C87" s="373"/>
      <c r="D87" s="408"/>
      <c r="E87" s="409"/>
      <c r="F87" s="410"/>
      <c r="G87" s="377"/>
      <c r="H87" s="377"/>
      <c r="I87" s="377"/>
      <c r="J87" s="376"/>
      <c r="K87" s="378"/>
      <c r="L87" s="378"/>
      <c r="M87" s="378"/>
      <c r="N87" s="378"/>
      <c r="O87" s="378"/>
      <c r="P87" s="378"/>
    </row>
    <row r="88" spans="3:16" x14ac:dyDescent="0.3">
      <c r="C88" s="379"/>
      <c r="D88" s="402"/>
      <c r="E88" s="313"/>
      <c r="F88" s="317"/>
      <c r="G88" s="315"/>
      <c r="H88" s="315"/>
      <c r="I88" s="315"/>
      <c r="J88" s="314"/>
      <c r="K88" s="316"/>
      <c r="L88" s="316"/>
      <c r="M88" s="316"/>
      <c r="N88" s="316"/>
      <c r="O88" s="316"/>
      <c r="P88" s="316"/>
    </row>
    <row r="89" spans="3:16" x14ac:dyDescent="0.3">
      <c r="C89" s="381"/>
      <c r="D89" s="402"/>
      <c r="E89" s="406"/>
      <c r="F89" s="407"/>
      <c r="G89" s="384"/>
      <c r="H89" s="384"/>
      <c r="I89" s="384"/>
      <c r="J89" s="314"/>
      <c r="K89" s="316"/>
      <c r="L89" s="316"/>
      <c r="M89" s="316"/>
      <c r="N89" s="316"/>
      <c r="O89" s="316"/>
      <c r="P89" s="316"/>
    </row>
    <row r="90" spans="3:16" x14ac:dyDescent="0.3">
      <c r="C90" s="373"/>
      <c r="D90" s="408"/>
      <c r="E90" s="409"/>
      <c r="F90" s="410"/>
      <c r="G90" s="377"/>
      <c r="H90" s="377"/>
      <c r="I90" s="377"/>
      <c r="J90" s="376"/>
      <c r="K90" s="378"/>
      <c r="L90" s="378"/>
      <c r="M90" s="378"/>
      <c r="N90" s="378"/>
      <c r="O90" s="378"/>
      <c r="P90" s="378"/>
    </row>
    <row r="91" spans="3:16" x14ac:dyDescent="0.3">
      <c r="C91" s="379"/>
      <c r="D91" s="402"/>
      <c r="E91" s="313"/>
      <c r="F91" s="317"/>
      <c r="G91" s="315"/>
      <c r="H91" s="315"/>
      <c r="I91" s="315"/>
      <c r="J91" s="314"/>
      <c r="K91" s="316"/>
      <c r="L91" s="316"/>
      <c r="M91" s="316"/>
      <c r="N91" s="316"/>
      <c r="O91" s="316"/>
      <c r="P91" s="316"/>
    </row>
    <row r="92" spans="3:16" x14ac:dyDescent="0.3">
      <c r="C92" s="381"/>
      <c r="D92" s="402"/>
      <c r="E92" s="406"/>
      <c r="F92" s="407"/>
      <c r="G92" s="384"/>
      <c r="H92" s="384"/>
      <c r="I92" s="384"/>
      <c r="J92" s="314"/>
      <c r="K92" s="316"/>
      <c r="L92" s="316"/>
      <c r="M92" s="316"/>
      <c r="N92" s="316"/>
      <c r="O92" s="316"/>
      <c r="P92" s="316"/>
    </row>
    <row r="93" spans="3:16" x14ac:dyDescent="0.3">
      <c r="C93" s="373"/>
      <c r="D93" s="408"/>
      <c r="E93" s="409"/>
      <c r="F93" s="410"/>
      <c r="G93" s="377"/>
      <c r="H93" s="377"/>
      <c r="I93" s="377"/>
      <c r="J93" s="376"/>
      <c r="K93" s="378"/>
      <c r="L93" s="378"/>
      <c r="M93" s="378"/>
      <c r="N93" s="378"/>
      <c r="O93" s="378"/>
      <c r="P93" s="378"/>
    </row>
    <row r="94" spans="3:16" x14ac:dyDescent="0.3">
      <c r="C94" s="379"/>
      <c r="D94" s="402"/>
      <c r="E94" s="313"/>
      <c r="F94" s="317"/>
      <c r="G94" s="315"/>
      <c r="H94" s="315"/>
      <c r="I94" s="315"/>
      <c r="J94" s="314"/>
      <c r="K94" s="316"/>
      <c r="L94" s="316"/>
      <c r="M94" s="316"/>
      <c r="N94" s="316"/>
      <c r="O94" s="316"/>
      <c r="P94" s="316"/>
    </row>
    <row r="95" spans="3:16" x14ac:dyDescent="0.3">
      <c r="C95" s="385"/>
      <c r="D95" s="403"/>
      <c r="E95" s="404"/>
      <c r="F95" s="405"/>
      <c r="G95" s="384"/>
      <c r="H95" s="384"/>
      <c r="I95" s="384"/>
      <c r="J95" s="314"/>
      <c r="K95" s="387"/>
      <c r="L95" s="387"/>
      <c r="M95" s="387"/>
      <c r="N95" s="387"/>
      <c r="O95" s="387"/>
      <c r="P95" s="387"/>
    </row>
    <row r="96" spans="3:16" x14ac:dyDescent="0.3">
      <c r="C96" s="381"/>
      <c r="D96" s="402"/>
      <c r="E96" s="406"/>
      <c r="F96" s="407"/>
      <c r="G96" s="384"/>
      <c r="H96" s="384"/>
      <c r="I96" s="384"/>
      <c r="J96" s="314"/>
      <c r="K96" s="316"/>
      <c r="L96" s="316"/>
      <c r="M96" s="316"/>
      <c r="N96" s="316"/>
      <c r="O96" s="316"/>
      <c r="P96" s="316"/>
    </row>
    <row r="97" spans="3:16" x14ac:dyDescent="0.3">
      <c r="C97" s="373"/>
      <c r="D97" s="408"/>
      <c r="E97" s="409"/>
      <c r="F97" s="410"/>
      <c r="G97" s="377"/>
      <c r="H97" s="377"/>
      <c r="I97" s="377"/>
      <c r="J97" s="376"/>
      <c r="K97" s="378"/>
      <c r="L97" s="378"/>
      <c r="M97" s="378"/>
      <c r="N97" s="378"/>
      <c r="O97" s="378"/>
      <c r="P97" s="378"/>
    </row>
    <row r="98" spans="3:16" x14ac:dyDescent="0.3">
      <c r="C98" s="379"/>
      <c r="D98" s="402"/>
      <c r="E98" s="313"/>
      <c r="F98" s="317"/>
      <c r="G98" s="315"/>
      <c r="H98" s="315"/>
      <c r="I98" s="315"/>
      <c r="J98" s="314"/>
      <c r="K98" s="316"/>
      <c r="L98" s="316"/>
      <c r="M98" s="316"/>
      <c r="N98" s="316"/>
      <c r="O98" s="316"/>
      <c r="P98" s="316"/>
    </row>
    <row r="99" spans="3:16" x14ac:dyDescent="0.3">
      <c r="C99" s="381"/>
      <c r="D99" s="402"/>
      <c r="E99" s="406"/>
      <c r="F99" s="407"/>
      <c r="G99" s="384"/>
      <c r="H99" s="384"/>
      <c r="I99" s="384"/>
      <c r="J99" s="314"/>
      <c r="K99" s="316"/>
      <c r="L99" s="316"/>
      <c r="M99" s="316"/>
      <c r="N99" s="316"/>
      <c r="O99" s="316"/>
      <c r="P99" s="316"/>
    </row>
    <row r="100" spans="3:16" x14ac:dyDescent="0.3">
      <c r="C100" s="373"/>
      <c r="D100" s="408"/>
      <c r="E100" s="409"/>
      <c r="F100" s="410"/>
      <c r="G100" s="377"/>
      <c r="H100" s="377"/>
      <c r="I100" s="377"/>
      <c r="J100" s="376"/>
      <c r="K100" s="378"/>
      <c r="L100" s="378"/>
      <c r="M100" s="378"/>
      <c r="N100" s="378"/>
      <c r="O100" s="378"/>
      <c r="P100" s="378"/>
    </row>
    <row r="101" spans="3:16" x14ac:dyDescent="0.3">
      <c r="C101" s="381"/>
      <c r="D101" s="419"/>
      <c r="E101" s="406"/>
      <c r="F101" s="407"/>
      <c r="G101" s="384"/>
      <c r="H101" s="384"/>
      <c r="I101" s="384"/>
      <c r="J101" s="314"/>
      <c r="K101" s="316"/>
      <c r="L101" s="316"/>
      <c r="M101" s="316"/>
      <c r="N101" s="316"/>
      <c r="O101" s="316"/>
      <c r="P101" s="316"/>
    </row>
    <row r="102" spans="3:16" x14ac:dyDescent="0.3">
      <c r="C102" s="414"/>
      <c r="D102" s="415"/>
      <c r="E102" s="416"/>
      <c r="F102" s="417"/>
      <c r="G102" s="384"/>
      <c r="H102" s="384"/>
      <c r="I102" s="384"/>
      <c r="J102" s="314"/>
      <c r="K102" s="418"/>
      <c r="L102" s="418"/>
      <c r="M102" s="418"/>
      <c r="N102" s="418"/>
      <c r="O102" s="418"/>
      <c r="P102" s="418"/>
    </row>
    <row r="103" spans="3:16" x14ac:dyDescent="0.3">
      <c r="C103" s="385"/>
      <c r="D103" s="403"/>
      <c r="E103" s="404"/>
      <c r="F103" s="405"/>
      <c r="G103" s="384"/>
      <c r="H103" s="384"/>
      <c r="I103" s="384"/>
      <c r="J103" s="314"/>
      <c r="K103" s="387"/>
      <c r="L103" s="387"/>
      <c r="M103" s="387"/>
      <c r="N103" s="387"/>
      <c r="O103" s="387"/>
      <c r="P103" s="387"/>
    </row>
    <row r="104" spans="3:16" x14ac:dyDescent="0.3">
      <c r="C104" s="373"/>
      <c r="D104" s="408"/>
      <c r="E104" s="409"/>
      <c r="F104" s="410"/>
      <c r="G104" s="377"/>
      <c r="H104" s="377"/>
      <c r="I104" s="377"/>
      <c r="J104" s="376"/>
      <c r="K104" s="378"/>
      <c r="L104" s="378"/>
      <c r="M104" s="378"/>
      <c r="N104" s="378"/>
      <c r="O104" s="378"/>
      <c r="P104" s="378"/>
    </row>
    <row r="105" spans="3:16" x14ac:dyDescent="0.3">
      <c r="C105" s="379"/>
      <c r="D105" s="402"/>
      <c r="E105" s="313"/>
      <c r="F105" s="317"/>
      <c r="G105" s="315"/>
      <c r="H105" s="315"/>
      <c r="I105" s="315"/>
      <c r="J105" s="314"/>
      <c r="K105" s="316"/>
      <c r="L105" s="316"/>
      <c r="M105" s="316"/>
      <c r="N105" s="316"/>
      <c r="O105" s="316"/>
      <c r="P105" s="316"/>
    </row>
    <row r="106" spans="3:16" x14ac:dyDescent="0.3">
      <c r="C106" s="391"/>
      <c r="D106" s="411"/>
      <c r="E106" s="412"/>
      <c r="F106" s="413"/>
      <c r="G106" s="384"/>
      <c r="H106" s="384"/>
      <c r="I106" s="384"/>
      <c r="J106" s="314"/>
      <c r="K106" s="392"/>
      <c r="L106" s="392"/>
      <c r="M106" s="392"/>
      <c r="N106" s="392"/>
      <c r="O106" s="392"/>
      <c r="P106" s="392"/>
    </row>
    <row r="107" spans="3:16" x14ac:dyDescent="0.3">
      <c r="C107" s="385"/>
      <c r="D107" s="403"/>
      <c r="E107" s="404"/>
      <c r="F107" s="405"/>
      <c r="G107" s="384"/>
      <c r="H107" s="384"/>
      <c r="I107" s="384"/>
      <c r="J107" s="314"/>
      <c r="K107" s="387"/>
      <c r="L107" s="387"/>
      <c r="M107" s="387"/>
      <c r="N107" s="387"/>
      <c r="O107" s="387"/>
      <c r="P107" s="387"/>
    </row>
    <row r="108" spans="3:16" x14ac:dyDescent="0.3">
      <c r="C108" s="381"/>
      <c r="D108" s="402"/>
      <c r="E108" s="406"/>
      <c r="F108" s="407"/>
      <c r="G108" s="384"/>
      <c r="H108" s="384"/>
      <c r="I108" s="384"/>
      <c r="J108" s="314"/>
      <c r="K108" s="316"/>
      <c r="L108" s="316"/>
      <c r="M108" s="316"/>
      <c r="N108" s="316"/>
      <c r="O108" s="316"/>
      <c r="P108" s="316"/>
    </row>
    <row r="109" spans="3:16" x14ac:dyDescent="0.3">
      <c r="C109" s="373"/>
      <c r="D109" s="408"/>
      <c r="E109" s="409"/>
      <c r="F109" s="410"/>
      <c r="G109" s="377"/>
      <c r="H109" s="377"/>
      <c r="I109" s="377"/>
      <c r="J109" s="376"/>
      <c r="K109" s="378"/>
      <c r="L109" s="378"/>
      <c r="M109" s="378"/>
      <c r="N109" s="378"/>
      <c r="O109" s="378"/>
      <c r="P109" s="378"/>
    </row>
    <row r="110" spans="3:16" x14ac:dyDescent="0.3">
      <c r="C110" s="379"/>
      <c r="D110" s="402"/>
      <c r="E110" s="313"/>
      <c r="F110" s="317"/>
      <c r="G110" s="315"/>
      <c r="H110" s="315"/>
      <c r="I110" s="315"/>
      <c r="J110" s="314"/>
      <c r="K110" s="316"/>
      <c r="L110" s="316"/>
      <c r="M110" s="316"/>
      <c r="N110" s="316"/>
      <c r="O110" s="316"/>
      <c r="P110" s="316"/>
    </row>
    <row r="111" spans="3:16" x14ac:dyDescent="0.3">
      <c r="C111" s="381"/>
      <c r="D111" s="402"/>
      <c r="E111" s="406"/>
      <c r="F111" s="407"/>
      <c r="G111" s="384"/>
      <c r="H111" s="384"/>
      <c r="I111" s="384"/>
      <c r="J111" s="314"/>
      <c r="K111" s="316"/>
      <c r="L111" s="316"/>
      <c r="M111" s="316"/>
      <c r="N111" s="316"/>
      <c r="O111" s="316"/>
      <c r="P111" s="316"/>
    </row>
    <row r="112" spans="3:16" x14ac:dyDescent="0.3">
      <c r="C112" s="373"/>
      <c r="D112" s="408"/>
      <c r="E112" s="409"/>
      <c r="F112" s="410"/>
      <c r="G112" s="377"/>
      <c r="H112" s="377"/>
      <c r="I112" s="377"/>
      <c r="J112" s="376"/>
      <c r="K112" s="378"/>
      <c r="L112" s="378"/>
      <c r="M112" s="378"/>
      <c r="N112" s="378"/>
      <c r="O112" s="378"/>
      <c r="P112" s="378"/>
    </row>
    <row r="113" spans="3:16" x14ac:dyDescent="0.3">
      <c r="C113" s="373"/>
      <c r="D113" s="408"/>
      <c r="E113" s="409"/>
      <c r="F113" s="410"/>
      <c r="G113" s="377"/>
      <c r="H113" s="377"/>
      <c r="I113" s="377"/>
      <c r="J113" s="376"/>
      <c r="K113" s="378"/>
      <c r="L113" s="378"/>
      <c r="M113" s="378"/>
      <c r="N113" s="378"/>
      <c r="O113" s="378"/>
      <c r="P113" s="378"/>
    </row>
    <row r="114" spans="3:16" x14ac:dyDescent="0.3">
      <c r="C114" s="379"/>
      <c r="D114" s="402"/>
      <c r="E114" s="313"/>
      <c r="F114" s="317"/>
      <c r="G114" s="315"/>
      <c r="H114" s="315"/>
      <c r="I114" s="315"/>
      <c r="J114" s="314"/>
      <c r="K114" s="316"/>
      <c r="L114" s="316"/>
      <c r="M114" s="316"/>
      <c r="N114" s="316"/>
      <c r="O114" s="316"/>
      <c r="P114" s="316"/>
    </row>
    <row r="115" spans="3:16" x14ac:dyDescent="0.3">
      <c r="C115" s="381"/>
      <c r="D115" s="402"/>
      <c r="E115" s="406"/>
      <c r="F115" s="407"/>
      <c r="G115" s="384"/>
      <c r="H115" s="384"/>
      <c r="I115" s="384"/>
      <c r="J115" s="314"/>
      <c r="K115" s="316"/>
      <c r="L115" s="316"/>
      <c r="M115" s="316"/>
      <c r="N115" s="316"/>
      <c r="O115" s="316"/>
      <c r="P115" s="316"/>
    </row>
    <row r="116" spans="3:16" x14ac:dyDescent="0.3">
      <c r="C116" s="396"/>
      <c r="D116" s="408"/>
      <c r="E116" s="409"/>
      <c r="F116" s="410"/>
      <c r="G116" s="377"/>
      <c r="H116" s="377"/>
      <c r="I116" s="377"/>
      <c r="J116" s="376"/>
      <c r="K116" s="378"/>
      <c r="L116" s="378"/>
      <c r="M116" s="378"/>
      <c r="N116" s="378"/>
      <c r="O116" s="378"/>
      <c r="P116" s="378"/>
    </row>
    <row r="117" spans="3:16" x14ac:dyDescent="0.3">
      <c r="C117" s="373"/>
      <c r="D117" s="408"/>
      <c r="E117" s="409"/>
      <c r="F117" s="410"/>
      <c r="G117" s="377"/>
      <c r="H117" s="377"/>
      <c r="I117" s="377"/>
      <c r="J117" s="376"/>
      <c r="K117" s="378"/>
      <c r="L117" s="378"/>
      <c r="M117" s="378"/>
      <c r="N117" s="378"/>
      <c r="O117" s="378"/>
      <c r="P117" s="378"/>
    </row>
    <row r="118" spans="3:16" x14ac:dyDescent="0.3">
      <c r="C118" s="373"/>
      <c r="D118" s="408"/>
      <c r="E118" s="409"/>
      <c r="F118" s="410"/>
      <c r="G118" s="377"/>
      <c r="H118" s="377"/>
      <c r="I118" s="377"/>
      <c r="J118" s="376"/>
      <c r="K118" s="378"/>
      <c r="L118" s="378"/>
      <c r="M118" s="378"/>
      <c r="N118" s="378"/>
      <c r="O118" s="378"/>
      <c r="P118" s="378"/>
    </row>
    <row r="119" spans="3:16" x14ac:dyDescent="0.3">
      <c r="C119" s="379"/>
      <c r="D119" s="402"/>
      <c r="E119" s="313"/>
      <c r="F119" s="317"/>
      <c r="G119" s="315"/>
      <c r="H119" s="315"/>
      <c r="I119" s="315"/>
      <c r="J119" s="314"/>
      <c r="K119" s="316"/>
      <c r="L119" s="316"/>
      <c r="M119" s="316"/>
      <c r="N119" s="316"/>
      <c r="O119" s="316"/>
      <c r="P119" s="316"/>
    </row>
    <row r="120" spans="3:16" x14ac:dyDescent="0.3">
      <c r="C120" s="385"/>
      <c r="D120" s="403"/>
      <c r="E120" s="404"/>
      <c r="F120" s="405"/>
      <c r="G120" s="384"/>
      <c r="H120" s="384"/>
      <c r="I120" s="384"/>
      <c r="J120" s="314"/>
      <c r="K120" s="387"/>
      <c r="L120" s="387"/>
      <c r="M120" s="387"/>
      <c r="N120" s="387"/>
      <c r="O120" s="387"/>
      <c r="P120" s="387"/>
    </row>
    <row r="121" spans="3:16" x14ac:dyDescent="0.3">
      <c r="C121" s="381"/>
      <c r="D121" s="402"/>
      <c r="E121" s="406"/>
      <c r="F121" s="407"/>
      <c r="G121" s="384"/>
      <c r="H121" s="384"/>
      <c r="I121" s="384"/>
      <c r="J121" s="314"/>
      <c r="K121" s="316"/>
      <c r="L121" s="316"/>
      <c r="M121" s="316"/>
      <c r="N121" s="316"/>
      <c r="O121" s="316"/>
      <c r="P121" s="316"/>
    </row>
    <row r="122" spans="3:16" x14ac:dyDescent="0.3">
      <c r="C122" s="373"/>
      <c r="D122" s="408"/>
      <c r="E122" s="409"/>
      <c r="F122" s="410"/>
      <c r="G122" s="377"/>
      <c r="H122" s="377"/>
      <c r="I122" s="377"/>
      <c r="J122" s="376"/>
      <c r="K122" s="378"/>
      <c r="L122" s="378"/>
      <c r="M122" s="378"/>
      <c r="N122" s="378"/>
      <c r="O122" s="378"/>
      <c r="P122" s="378"/>
    </row>
    <row r="123" spans="3:16" x14ac:dyDescent="0.3">
      <c r="C123" s="373"/>
      <c r="D123" s="408"/>
      <c r="E123" s="409"/>
      <c r="F123" s="410"/>
      <c r="G123" s="377"/>
      <c r="H123" s="377"/>
      <c r="I123" s="377"/>
      <c r="J123" s="376"/>
      <c r="K123" s="378"/>
      <c r="L123" s="378"/>
      <c r="M123" s="378"/>
      <c r="N123" s="378"/>
      <c r="O123" s="378"/>
      <c r="P123" s="378"/>
    </row>
    <row r="124" spans="3:16" x14ac:dyDescent="0.3">
      <c r="C124" s="373"/>
      <c r="D124" s="408"/>
      <c r="E124" s="409"/>
      <c r="F124" s="410"/>
      <c r="G124" s="377"/>
      <c r="H124" s="377"/>
      <c r="I124" s="377"/>
      <c r="J124" s="376"/>
      <c r="K124" s="378"/>
      <c r="L124" s="378"/>
      <c r="M124" s="378"/>
      <c r="N124" s="378"/>
      <c r="O124" s="378"/>
      <c r="P124" s="378"/>
    </row>
    <row r="125" spans="3:16" x14ac:dyDescent="0.3">
      <c r="C125" s="379"/>
      <c r="D125" s="402"/>
      <c r="E125" s="313"/>
      <c r="F125" s="317"/>
      <c r="G125" s="315"/>
      <c r="H125" s="315"/>
      <c r="I125" s="315"/>
      <c r="J125" s="314"/>
      <c r="K125" s="316"/>
      <c r="L125" s="316"/>
      <c r="M125" s="316"/>
      <c r="N125" s="316"/>
      <c r="O125" s="316"/>
      <c r="P125" s="316"/>
    </row>
    <row r="126" spans="3:16" x14ac:dyDescent="0.3">
      <c r="C126" s="385"/>
      <c r="D126" s="403"/>
      <c r="E126" s="404"/>
      <c r="F126" s="405"/>
      <c r="G126" s="384"/>
      <c r="H126" s="384"/>
      <c r="I126" s="384"/>
      <c r="J126" s="314"/>
      <c r="K126" s="387"/>
      <c r="L126" s="387"/>
      <c r="M126" s="387"/>
      <c r="N126" s="387"/>
      <c r="O126" s="387"/>
      <c r="P126" s="387"/>
    </row>
    <row r="127" spans="3:16" x14ac:dyDescent="0.3">
      <c r="C127" s="381"/>
      <c r="D127" s="402"/>
      <c r="E127" s="406"/>
      <c r="F127" s="407"/>
      <c r="G127" s="384"/>
      <c r="H127" s="384"/>
      <c r="I127" s="384"/>
      <c r="J127" s="314"/>
      <c r="K127" s="316"/>
      <c r="L127" s="316"/>
      <c r="M127" s="316"/>
      <c r="N127" s="316"/>
      <c r="O127" s="316"/>
      <c r="P127" s="316"/>
    </row>
    <row r="128" spans="3:16" x14ac:dyDescent="0.3">
      <c r="C128" s="373"/>
      <c r="D128" s="408"/>
      <c r="E128" s="409"/>
      <c r="F128" s="410"/>
      <c r="G128" s="377"/>
      <c r="H128" s="377"/>
      <c r="I128" s="377"/>
      <c r="J128" s="376"/>
      <c r="K128" s="378"/>
      <c r="L128" s="378"/>
      <c r="M128" s="378"/>
      <c r="N128" s="378"/>
      <c r="O128" s="378"/>
      <c r="P128" s="378"/>
    </row>
    <row r="129" spans="3:16" x14ac:dyDescent="0.3">
      <c r="C129" s="379"/>
      <c r="D129" s="402"/>
      <c r="E129" s="313"/>
      <c r="F129" s="317"/>
      <c r="G129" s="315"/>
      <c r="H129" s="315"/>
      <c r="I129" s="315"/>
      <c r="J129" s="314"/>
      <c r="K129" s="316"/>
      <c r="L129" s="316"/>
      <c r="M129" s="316"/>
      <c r="N129" s="316"/>
      <c r="O129" s="316"/>
      <c r="P129" s="316"/>
    </row>
    <row r="130" spans="3:16" x14ac:dyDescent="0.3">
      <c r="C130" s="381"/>
      <c r="D130" s="402"/>
      <c r="E130" s="406"/>
      <c r="F130" s="407"/>
      <c r="G130" s="384"/>
      <c r="H130" s="384"/>
      <c r="I130" s="384"/>
      <c r="J130" s="314"/>
      <c r="K130" s="316"/>
      <c r="L130" s="316"/>
      <c r="M130" s="316"/>
      <c r="N130" s="316"/>
      <c r="O130" s="316"/>
      <c r="P130" s="316"/>
    </row>
    <row r="131" spans="3:16" x14ac:dyDescent="0.3">
      <c r="C131" s="373"/>
      <c r="D131" s="408"/>
      <c r="E131" s="409"/>
      <c r="F131" s="410"/>
      <c r="G131" s="377"/>
      <c r="H131" s="377"/>
      <c r="I131" s="377"/>
      <c r="J131" s="376"/>
      <c r="K131" s="378"/>
      <c r="L131" s="378"/>
      <c r="M131" s="378"/>
      <c r="N131" s="378"/>
      <c r="O131" s="378"/>
      <c r="P131" s="378"/>
    </row>
    <row r="132" spans="3:16" x14ac:dyDescent="0.3">
      <c r="C132" s="373"/>
      <c r="D132" s="408"/>
      <c r="E132" s="409"/>
      <c r="F132" s="410"/>
      <c r="G132" s="377"/>
      <c r="H132" s="377"/>
      <c r="I132" s="377"/>
      <c r="J132" s="376"/>
      <c r="K132" s="378"/>
      <c r="L132" s="378"/>
      <c r="M132" s="378"/>
      <c r="N132" s="378"/>
      <c r="O132" s="378"/>
      <c r="P132" s="378"/>
    </row>
    <row r="133" spans="3:16" x14ac:dyDescent="0.3">
      <c r="C133" s="379"/>
      <c r="D133" s="402"/>
      <c r="E133" s="313"/>
      <c r="F133" s="317"/>
      <c r="G133" s="315"/>
      <c r="H133" s="315"/>
      <c r="I133" s="315"/>
      <c r="J133" s="314"/>
      <c r="K133" s="316"/>
      <c r="L133" s="316"/>
      <c r="M133" s="316"/>
      <c r="N133" s="316"/>
      <c r="O133" s="316"/>
      <c r="P133" s="316"/>
    </row>
    <row r="134" spans="3:16" x14ac:dyDescent="0.3">
      <c r="C134" s="385"/>
      <c r="D134" s="403"/>
      <c r="E134" s="404"/>
      <c r="F134" s="405"/>
      <c r="G134" s="384"/>
      <c r="H134" s="384"/>
      <c r="I134" s="384"/>
      <c r="J134" s="314"/>
      <c r="K134" s="387"/>
      <c r="L134" s="387"/>
      <c r="M134" s="387"/>
      <c r="N134" s="387"/>
      <c r="O134" s="387"/>
      <c r="P134" s="387"/>
    </row>
    <row r="135" spans="3:16" x14ac:dyDescent="0.3">
      <c r="C135" s="381"/>
      <c r="D135" s="402"/>
      <c r="E135" s="406"/>
      <c r="F135" s="407"/>
      <c r="G135" s="384"/>
      <c r="H135" s="384"/>
      <c r="I135" s="384"/>
      <c r="J135" s="314"/>
      <c r="K135" s="316"/>
      <c r="L135" s="316"/>
      <c r="M135" s="316"/>
      <c r="N135" s="316"/>
      <c r="O135" s="316"/>
      <c r="P135" s="316"/>
    </row>
    <row r="136" spans="3:16" x14ac:dyDescent="0.3">
      <c r="C136" s="396"/>
      <c r="D136" s="408"/>
      <c r="E136" s="409"/>
      <c r="F136" s="410"/>
      <c r="G136" s="377"/>
      <c r="H136" s="377"/>
      <c r="I136" s="377"/>
      <c r="J136" s="376"/>
      <c r="K136" s="378"/>
      <c r="L136" s="378"/>
      <c r="M136" s="378"/>
      <c r="N136" s="378"/>
      <c r="O136" s="378"/>
      <c r="P136" s="378"/>
    </row>
    <row r="137" spans="3:16" x14ac:dyDescent="0.3">
      <c r="C137" s="373"/>
      <c r="D137" s="408"/>
      <c r="E137" s="409"/>
      <c r="F137" s="410"/>
      <c r="G137" s="377"/>
      <c r="H137" s="377"/>
      <c r="I137" s="377"/>
      <c r="J137" s="376"/>
      <c r="K137" s="378"/>
      <c r="L137" s="378"/>
      <c r="M137" s="378"/>
      <c r="N137" s="378"/>
      <c r="O137" s="378"/>
      <c r="P137" s="378"/>
    </row>
    <row r="138" spans="3:16" x14ac:dyDescent="0.3">
      <c r="C138" s="373"/>
      <c r="D138" s="408"/>
      <c r="E138" s="409"/>
      <c r="F138" s="410"/>
      <c r="G138" s="377"/>
      <c r="H138" s="377"/>
      <c r="I138" s="377"/>
      <c r="J138" s="376"/>
      <c r="K138" s="378"/>
      <c r="L138" s="378"/>
      <c r="M138" s="378"/>
      <c r="N138" s="378"/>
      <c r="O138" s="378"/>
      <c r="P138" s="378"/>
    </row>
    <row r="139" spans="3:16" x14ac:dyDescent="0.3">
      <c r="C139" s="379"/>
      <c r="D139" s="402"/>
      <c r="E139" s="313"/>
      <c r="F139" s="317"/>
      <c r="G139" s="315"/>
      <c r="H139" s="315"/>
      <c r="I139" s="315"/>
      <c r="J139" s="314"/>
      <c r="K139" s="316"/>
      <c r="L139" s="316"/>
      <c r="M139" s="316"/>
      <c r="N139" s="316"/>
      <c r="O139" s="316"/>
      <c r="P139" s="316"/>
    </row>
    <row r="140" spans="3:16" x14ac:dyDescent="0.3">
      <c r="C140" s="385"/>
      <c r="D140" s="403"/>
      <c r="E140" s="404"/>
      <c r="F140" s="405"/>
      <c r="G140" s="384"/>
      <c r="H140" s="384"/>
      <c r="I140" s="384"/>
      <c r="J140" s="314"/>
      <c r="K140" s="387"/>
      <c r="L140" s="387"/>
      <c r="M140" s="387"/>
      <c r="N140" s="387"/>
      <c r="O140" s="387"/>
      <c r="P140" s="387"/>
    </row>
    <row r="141" spans="3:16" x14ac:dyDescent="0.3">
      <c r="C141" s="381"/>
      <c r="D141" s="402"/>
      <c r="E141" s="406"/>
      <c r="F141" s="407"/>
      <c r="G141" s="384"/>
      <c r="H141" s="384"/>
      <c r="I141" s="384"/>
      <c r="J141" s="314"/>
      <c r="K141" s="316"/>
      <c r="L141" s="316"/>
      <c r="M141" s="316"/>
      <c r="N141" s="316"/>
      <c r="O141" s="316"/>
      <c r="P141" s="316"/>
    </row>
    <row r="142" spans="3:16" x14ac:dyDescent="0.3">
      <c r="C142" s="396"/>
      <c r="D142" s="408"/>
      <c r="E142" s="409"/>
      <c r="F142" s="410"/>
      <c r="G142" s="377"/>
      <c r="H142" s="377"/>
      <c r="I142" s="377"/>
      <c r="J142" s="376"/>
      <c r="K142" s="378"/>
      <c r="L142" s="378"/>
      <c r="M142" s="378"/>
      <c r="N142" s="378"/>
      <c r="O142" s="378"/>
      <c r="P142" s="378"/>
    </row>
    <row r="143" spans="3:16" x14ac:dyDescent="0.3">
      <c r="C143" s="396"/>
      <c r="D143" s="408"/>
      <c r="E143" s="409"/>
      <c r="F143" s="410"/>
      <c r="G143" s="377"/>
      <c r="H143" s="377"/>
      <c r="I143" s="377"/>
      <c r="J143" s="376"/>
      <c r="K143" s="378"/>
      <c r="L143" s="378"/>
      <c r="M143" s="378"/>
      <c r="N143" s="378"/>
      <c r="O143" s="378"/>
      <c r="P143" s="378"/>
    </row>
    <row r="144" spans="3:16" x14ac:dyDescent="0.3">
      <c r="C144" s="381"/>
      <c r="D144" s="402"/>
      <c r="E144" s="313"/>
      <c r="F144" s="317"/>
      <c r="G144" s="315"/>
      <c r="H144" s="315"/>
      <c r="I144" s="315"/>
      <c r="J144" s="314"/>
      <c r="K144" s="316"/>
      <c r="L144" s="316"/>
      <c r="M144" s="316"/>
      <c r="N144" s="316"/>
      <c r="O144" s="316"/>
      <c r="P144" s="316"/>
    </row>
    <row r="145" spans="3:16" x14ac:dyDescent="0.3">
      <c r="C145" s="381"/>
      <c r="D145" s="402"/>
      <c r="E145" s="406"/>
      <c r="F145" s="407"/>
      <c r="G145" s="384"/>
      <c r="H145" s="384"/>
      <c r="I145" s="384"/>
      <c r="J145" s="314"/>
      <c r="K145" s="316"/>
      <c r="L145" s="316"/>
      <c r="M145" s="316"/>
      <c r="N145" s="316"/>
      <c r="O145" s="316"/>
      <c r="P145" s="316"/>
    </row>
    <row r="146" spans="3:16" x14ac:dyDescent="0.3">
      <c r="C146" s="396"/>
      <c r="D146" s="408"/>
      <c r="E146" s="409"/>
      <c r="F146" s="410"/>
      <c r="G146" s="377"/>
      <c r="H146" s="377"/>
      <c r="I146" s="377"/>
      <c r="J146" s="376"/>
      <c r="K146" s="378"/>
      <c r="L146" s="378"/>
      <c r="M146" s="378"/>
      <c r="N146" s="378"/>
      <c r="O146" s="378"/>
      <c r="P146" s="378"/>
    </row>
    <row r="147" spans="3:16" x14ac:dyDescent="0.3">
      <c r="C147" s="396"/>
      <c r="D147" s="408"/>
      <c r="E147" s="409"/>
      <c r="F147" s="410"/>
      <c r="G147" s="377"/>
      <c r="H147" s="377"/>
      <c r="I147" s="377"/>
      <c r="J147" s="376"/>
      <c r="K147" s="378"/>
      <c r="L147" s="378"/>
      <c r="M147" s="378"/>
      <c r="N147" s="378"/>
      <c r="O147" s="378"/>
      <c r="P147" s="378"/>
    </row>
    <row r="148" spans="3:16" x14ac:dyDescent="0.3">
      <c r="C148" s="396"/>
      <c r="D148" s="408"/>
      <c r="E148" s="409"/>
      <c r="F148" s="410"/>
      <c r="G148" s="377"/>
      <c r="H148" s="377"/>
      <c r="I148" s="377"/>
      <c r="J148" s="376"/>
      <c r="K148" s="378"/>
      <c r="L148" s="378"/>
      <c r="M148" s="378"/>
      <c r="N148" s="378"/>
      <c r="O148" s="378"/>
      <c r="P148" s="378"/>
    </row>
    <row r="149" spans="3:16" x14ac:dyDescent="0.3">
      <c r="C149" s="396"/>
      <c r="D149" s="408"/>
      <c r="E149" s="409"/>
      <c r="F149" s="410"/>
      <c r="G149" s="377"/>
      <c r="H149" s="377"/>
      <c r="I149" s="377"/>
      <c r="J149" s="376"/>
      <c r="K149" s="378"/>
      <c r="L149" s="378"/>
      <c r="M149" s="378"/>
      <c r="N149" s="378"/>
      <c r="O149" s="378"/>
      <c r="P149" s="378"/>
    </row>
    <row r="150" spans="3:16" x14ac:dyDescent="0.3">
      <c r="C150" s="381"/>
      <c r="D150" s="402"/>
      <c r="E150" s="313"/>
      <c r="F150" s="317"/>
      <c r="G150" s="315"/>
      <c r="H150" s="315"/>
      <c r="I150" s="315"/>
      <c r="J150" s="314"/>
      <c r="K150" s="316"/>
      <c r="L150" s="316"/>
      <c r="M150" s="316"/>
      <c r="N150" s="316"/>
      <c r="O150" s="316"/>
      <c r="P150" s="316"/>
    </row>
    <row r="151" spans="3:16" x14ac:dyDescent="0.3">
      <c r="C151" s="385"/>
      <c r="D151" s="403"/>
      <c r="E151" s="404"/>
      <c r="F151" s="405"/>
      <c r="G151" s="384"/>
      <c r="H151" s="384"/>
      <c r="I151" s="384"/>
      <c r="J151" s="314"/>
      <c r="K151" s="387"/>
      <c r="L151" s="387"/>
      <c r="M151" s="387"/>
      <c r="N151" s="387"/>
      <c r="O151" s="387"/>
      <c r="P151" s="387"/>
    </row>
    <row r="152" spans="3:16" x14ac:dyDescent="0.3">
      <c r="C152" s="381"/>
      <c r="D152" s="402"/>
      <c r="E152" s="406"/>
      <c r="F152" s="407"/>
      <c r="G152" s="384"/>
      <c r="H152" s="384"/>
      <c r="I152" s="384"/>
      <c r="J152" s="314"/>
      <c r="K152" s="316"/>
      <c r="L152" s="316"/>
      <c r="M152" s="316"/>
      <c r="N152" s="316"/>
      <c r="O152" s="316"/>
      <c r="P152" s="316"/>
    </row>
    <row r="153" spans="3:16" x14ac:dyDescent="0.3">
      <c r="C153" s="396"/>
      <c r="D153" s="408"/>
      <c r="E153" s="409"/>
      <c r="F153" s="410"/>
      <c r="G153" s="377"/>
      <c r="H153" s="377"/>
      <c r="I153" s="377"/>
      <c r="J153" s="376"/>
      <c r="K153" s="378"/>
      <c r="L153" s="378"/>
      <c r="M153" s="378"/>
      <c r="N153" s="378"/>
      <c r="O153" s="378"/>
      <c r="P153" s="378"/>
    </row>
    <row r="154" spans="3:16" x14ac:dyDescent="0.3">
      <c r="C154" s="396"/>
      <c r="D154" s="408"/>
      <c r="E154" s="409"/>
      <c r="F154" s="410"/>
      <c r="G154" s="377"/>
      <c r="H154" s="377"/>
      <c r="I154" s="377"/>
      <c r="J154" s="376"/>
      <c r="K154" s="378"/>
      <c r="L154" s="378"/>
      <c r="M154" s="378"/>
      <c r="N154" s="378"/>
      <c r="O154" s="378"/>
      <c r="P154" s="378"/>
    </row>
    <row r="155" spans="3:16" x14ac:dyDescent="0.3">
      <c r="C155" s="379"/>
      <c r="D155" s="402"/>
      <c r="E155" s="313"/>
      <c r="F155" s="317"/>
      <c r="G155" s="315"/>
      <c r="H155" s="315"/>
      <c r="I155" s="315"/>
      <c r="J155" s="314"/>
      <c r="K155" s="316"/>
      <c r="L155" s="316"/>
      <c r="M155" s="316"/>
      <c r="N155" s="316"/>
      <c r="O155" s="316"/>
      <c r="P155" s="316"/>
    </row>
    <row r="156" spans="3:16" x14ac:dyDescent="0.3">
      <c r="C156" s="391"/>
      <c r="D156" s="411"/>
      <c r="E156" s="412"/>
      <c r="F156" s="413"/>
      <c r="G156" s="384"/>
      <c r="H156" s="384"/>
      <c r="I156" s="384"/>
      <c r="J156" s="314"/>
      <c r="K156" s="392"/>
      <c r="L156" s="392"/>
      <c r="M156" s="392"/>
      <c r="N156" s="392"/>
      <c r="O156" s="392"/>
      <c r="P156" s="392"/>
    </row>
    <row r="157" spans="3:16" x14ac:dyDescent="0.3">
      <c r="C157" s="385"/>
      <c r="D157" s="403"/>
      <c r="E157" s="404"/>
      <c r="F157" s="405"/>
      <c r="G157" s="384"/>
      <c r="H157" s="384"/>
      <c r="I157" s="384"/>
      <c r="J157" s="314"/>
      <c r="K157" s="387"/>
      <c r="L157" s="387"/>
      <c r="M157" s="387"/>
      <c r="N157" s="387"/>
      <c r="O157" s="387"/>
      <c r="P157" s="387"/>
    </row>
    <row r="158" spans="3:16" x14ac:dyDescent="0.3">
      <c r="C158" s="395"/>
      <c r="D158" s="402"/>
      <c r="E158" s="313"/>
      <c r="F158" s="317"/>
      <c r="G158" s="315"/>
      <c r="H158" s="315"/>
      <c r="I158" s="315"/>
      <c r="J158" s="314"/>
      <c r="K158" s="316"/>
      <c r="L158" s="316"/>
      <c r="M158" s="316"/>
      <c r="N158" s="316"/>
      <c r="O158" s="316"/>
      <c r="P158" s="316"/>
    </row>
    <row r="159" spans="3:16" x14ac:dyDescent="0.3">
      <c r="C159" s="373"/>
      <c r="D159" s="408"/>
      <c r="E159" s="409"/>
      <c r="F159" s="410"/>
      <c r="G159" s="377"/>
      <c r="H159" s="377"/>
      <c r="I159" s="377"/>
      <c r="J159" s="376"/>
      <c r="K159" s="378"/>
      <c r="L159" s="378"/>
      <c r="M159" s="378"/>
      <c r="N159" s="378"/>
      <c r="O159" s="378"/>
      <c r="P159" s="378"/>
    </row>
    <row r="160" spans="3:16" x14ac:dyDescent="0.3">
      <c r="C160" s="373"/>
      <c r="D160" s="408"/>
      <c r="E160" s="409"/>
      <c r="F160" s="410"/>
      <c r="G160" s="377"/>
      <c r="H160" s="377"/>
      <c r="I160" s="377"/>
      <c r="J160" s="376"/>
      <c r="K160" s="378"/>
      <c r="L160" s="378"/>
      <c r="M160" s="378"/>
      <c r="N160" s="378"/>
      <c r="O160" s="378"/>
      <c r="P160" s="378"/>
    </row>
    <row r="161" spans="3:16" x14ac:dyDescent="0.3">
      <c r="C161" s="379"/>
      <c r="D161" s="402"/>
      <c r="E161" s="313"/>
      <c r="F161" s="317"/>
      <c r="G161" s="315"/>
      <c r="H161" s="315"/>
      <c r="I161" s="315"/>
      <c r="J161" s="314"/>
      <c r="K161" s="316"/>
      <c r="L161" s="316"/>
      <c r="M161" s="316"/>
      <c r="N161" s="316"/>
      <c r="O161" s="316"/>
      <c r="P161" s="316"/>
    </row>
    <row r="162" spans="3:16" x14ac:dyDescent="0.3">
      <c r="C162" s="395"/>
      <c r="D162" s="402"/>
      <c r="E162" s="313"/>
      <c r="F162" s="317"/>
      <c r="G162" s="315"/>
      <c r="H162" s="315"/>
      <c r="I162" s="315"/>
      <c r="J162" s="314"/>
      <c r="K162" s="316"/>
      <c r="L162" s="316"/>
      <c r="M162" s="316"/>
      <c r="N162" s="316"/>
      <c r="O162" s="316"/>
      <c r="P162" s="316"/>
    </row>
    <row r="163" spans="3:16" x14ac:dyDescent="0.3">
      <c r="C163" s="373"/>
      <c r="D163" s="408"/>
      <c r="E163" s="409"/>
      <c r="F163" s="410"/>
      <c r="G163" s="377"/>
      <c r="H163" s="377"/>
      <c r="I163" s="377"/>
      <c r="J163" s="376"/>
      <c r="K163" s="378"/>
      <c r="L163" s="378"/>
      <c r="M163" s="378"/>
      <c r="N163" s="378"/>
      <c r="O163" s="378"/>
      <c r="P163" s="378"/>
    </row>
    <row r="164" spans="3:16" x14ac:dyDescent="0.3">
      <c r="C164" s="373"/>
      <c r="D164" s="408"/>
      <c r="E164" s="409"/>
      <c r="F164" s="410"/>
      <c r="G164" s="377"/>
      <c r="H164" s="377"/>
      <c r="I164" s="377"/>
      <c r="J164" s="376"/>
      <c r="K164" s="378"/>
      <c r="L164" s="378"/>
      <c r="M164" s="378"/>
      <c r="N164" s="378"/>
      <c r="O164" s="378"/>
      <c r="P164" s="378"/>
    </row>
    <row r="165" spans="3:16" x14ac:dyDescent="0.3">
      <c r="C165" s="379"/>
      <c r="D165" s="402"/>
      <c r="E165" s="313"/>
      <c r="F165" s="317"/>
      <c r="G165" s="315"/>
      <c r="H165" s="315"/>
      <c r="I165" s="315"/>
      <c r="J165" s="314"/>
      <c r="K165" s="316"/>
      <c r="L165" s="316"/>
      <c r="M165" s="316"/>
      <c r="N165" s="316"/>
      <c r="O165" s="316"/>
      <c r="P165" s="316"/>
    </row>
    <row r="166" spans="3:16" x14ac:dyDescent="0.3">
      <c r="C166" s="395"/>
      <c r="D166" s="402"/>
      <c r="E166" s="313"/>
      <c r="F166" s="317"/>
      <c r="G166" s="315"/>
      <c r="H166" s="315"/>
      <c r="I166" s="315"/>
      <c r="J166" s="314"/>
      <c r="K166" s="316"/>
      <c r="L166" s="316"/>
      <c r="M166" s="316"/>
      <c r="N166" s="316"/>
      <c r="O166" s="316"/>
      <c r="P166" s="316"/>
    </row>
    <row r="167" spans="3:16" x14ac:dyDescent="0.3">
      <c r="C167" s="373"/>
      <c r="D167" s="408"/>
      <c r="E167" s="409"/>
      <c r="F167" s="410"/>
      <c r="G167" s="377"/>
      <c r="H167" s="377"/>
      <c r="I167" s="377"/>
      <c r="J167" s="376"/>
      <c r="K167" s="378"/>
      <c r="L167" s="378"/>
      <c r="M167" s="378"/>
      <c r="N167" s="378"/>
      <c r="O167" s="378"/>
      <c r="P167" s="378"/>
    </row>
    <row r="168" spans="3:16" x14ac:dyDescent="0.3">
      <c r="C168" s="373"/>
      <c r="D168" s="408"/>
      <c r="E168" s="409"/>
      <c r="F168" s="410"/>
      <c r="G168" s="377"/>
      <c r="H168" s="377"/>
      <c r="I168" s="377"/>
      <c r="J168" s="376"/>
      <c r="K168" s="378"/>
      <c r="L168" s="378"/>
      <c r="M168" s="378"/>
      <c r="N168" s="378"/>
      <c r="O168" s="378"/>
      <c r="P168" s="378"/>
    </row>
    <row r="169" spans="3:16" x14ac:dyDescent="0.3">
      <c r="C169" s="373"/>
      <c r="D169" s="408"/>
      <c r="E169" s="409"/>
      <c r="F169" s="410"/>
      <c r="G169" s="377"/>
      <c r="H169" s="377"/>
      <c r="I169" s="377"/>
      <c r="J169" s="376"/>
      <c r="K169" s="378"/>
      <c r="L169" s="378"/>
      <c r="M169" s="378"/>
      <c r="N169" s="378"/>
      <c r="O169" s="378"/>
      <c r="P169" s="378"/>
    </row>
    <row r="170" spans="3:16" x14ac:dyDescent="0.3">
      <c r="C170" s="373"/>
      <c r="D170" s="408"/>
      <c r="E170" s="409"/>
      <c r="F170" s="410"/>
      <c r="G170" s="377"/>
      <c r="H170" s="377"/>
      <c r="I170" s="377"/>
      <c r="J170" s="376"/>
      <c r="K170" s="378"/>
      <c r="L170" s="378"/>
      <c r="M170" s="378"/>
      <c r="N170" s="378"/>
      <c r="O170" s="378"/>
      <c r="P170" s="378"/>
    </row>
    <row r="171" spans="3:16" x14ac:dyDescent="0.3">
      <c r="C171" s="373"/>
      <c r="D171" s="408"/>
      <c r="E171" s="409"/>
      <c r="F171" s="410"/>
      <c r="G171" s="377"/>
      <c r="H171" s="377"/>
      <c r="I171" s="377"/>
      <c r="J171" s="376"/>
      <c r="K171" s="378"/>
      <c r="L171" s="378"/>
      <c r="M171" s="378"/>
      <c r="N171" s="378"/>
      <c r="O171" s="378"/>
      <c r="P171" s="378"/>
    </row>
    <row r="172" spans="3:16" x14ac:dyDescent="0.3">
      <c r="C172" s="373"/>
      <c r="D172" s="408"/>
      <c r="E172" s="409"/>
      <c r="F172" s="410"/>
      <c r="G172" s="377"/>
      <c r="H172" s="377"/>
      <c r="I172" s="377"/>
      <c r="J172" s="376"/>
      <c r="K172" s="378"/>
      <c r="L172" s="378"/>
      <c r="M172" s="378"/>
      <c r="N172" s="378"/>
      <c r="O172" s="378"/>
      <c r="P172" s="378"/>
    </row>
    <row r="173" spans="3:16" x14ac:dyDescent="0.3">
      <c r="C173" s="379"/>
      <c r="D173" s="402"/>
      <c r="E173" s="313"/>
      <c r="F173" s="317"/>
      <c r="G173" s="315"/>
      <c r="H173" s="315"/>
      <c r="I173" s="315"/>
      <c r="J173" s="314"/>
      <c r="K173" s="316"/>
      <c r="L173" s="316"/>
      <c r="M173" s="316"/>
      <c r="N173" s="316"/>
      <c r="O173" s="316"/>
      <c r="P173" s="316"/>
    </row>
    <row r="174" spans="3:16" x14ac:dyDescent="0.3">
      <c r="C174" s="385"/>
      <c r="D174" s="403"/>
      <c r="E174" s="404"/>
      <c r="F174" s="405"/>
      <c r="G174" s="384"/>
      <c r="H174" s="384"/>
      <c r="I174" s="384"/>
      <c r="J174" s="314"/>
      <c r="K174" s="387"/>
      <c r="L174" s="387"/>
      <c r="M174" s="387"/>
      <c r="N174" s="387"/>
      <c r="O174" s="387"/>
      <c r="P174" s="387"/>
    </row>
    <row r="175" spans="3:16" x14ac:dyDescent="0.3">
      <c r="C175" s="395"/>
      <c r="D175" s="402"/>
      <c r="E175" s="313"/>
      <c r="F175" s="317"/>
      <c r="G175" s="315"/>
      <c r="H175" s="315"/>
      <c r="I175" s="315"/>
      <c r="J175" s="314"/>
      <c r="K175" s="316"/>
      <c r="L175" s="316"/>
      <c r="M175" s="316"/>
      <c r="N175" s="316"/>
      <c r="O175" s="316"/>
      <c r="P175" s="316"/>
    </row>
    <row r="176" spans="3:16" x14ac:dyDescent="0.3">
      <c r="C176" s="373"/>
      <c r="D176" s="408"/>
      <c r="E176" s="409"/>
      <c r="F176" s="410"/>
      <c r="G176" s="377"/>
      <c r="H176" s="377"/>
      <c r="I176" s="377"/>
      <c r="J176" s="376"/>
      <c r="K176" s="378"/>
      <c r="L176" s="378"/>
      <c r="M176" s="378"/>
      <c r="N176" s="378"/>
      <c r="O176" s="378"/>
      <c r="P176" s="378"/>
    </row>
    <row r="177" spans="3:16" x14ac:dyDescent="0.3">
      <c r="C177" s="395"/>
      <c r="D177" s="402"/>
      <c r="E177" s="313"/>
      <c r="F177" s="317"/>
      <c r="G177" s="315"/>
      <c r="H177" s="315"/>
      <c r="I177" s="315"/>
      <c r="J177" s="314"/>
      <c r="K177" s="316"/>
      <c r="L177" s="316"/>
      <c r="M177" s="316"/>
      <c r="N177" s="316"/>
      <c r="O177" s="316"/>
      <c r="P177" s="316"/>
    </row>
    <row r="178" spans="3:16" x14ac:dyDescent="0.3">
      <c r="C178" s="391"/>
      <c r="D178" s="411"/>
      <c r="E178" s="412"/>
      <c r="F178" s="413"/>
      <c r="G178" s="384"/>
      <c r="H178" s="384"/>
      <c r="I178" s="384"/>
      <c r="J178" s="314"/>
      <c r="K178" s="392"/>
      <c r="L178" s="392"/>
      <c r="M178" s="392"/>
      <c r="N178" s="392"/>
      <c r="O178" s="392"/>
      <c r="P178" s="392"/>
    </row>
    <row r="179" spans="3:16" x14ac:dyDescent="0.3">
      <c r="C179" s="385"/>
      <c r="D179" s="403"/>
      <c r="E179" s="404"/>
      <c r="F179" s="405"/>
      <c r="G179" s="384"/>
      <c r="H179" s="384"/>
      <c r="I179" s="384"/>
      <c r="J179" s="314"/>
      <c r="K179" s="387"/>
      <c r="L179" s="387"/>
      <c r="M179" s="387"/>
      <c r="N179" s="387"/>
      <c r="O179" s="387"/>
      <c r="P179" s="387"/>
    </row>
    <row r="180" spans="3:16" x14ac:dyDescent="0.3">
      <c r="C180" s="379"/>
      <c r="D180" s="402"/>
      <c r="E180" s="313"/>
      <c r="F180" s="317"/>
      <c r="G180" s="315"/>
      <c r="H180" s="315"/>
      <c r="I180" s="315"/>
      <c r="J180" s="314"/>
      <c r="K180" s="316"/>
      <c r="L180" s="316"/>
      <c r="M180" s="316"/>
      <c r="N180" s="316"/>
      <c r="O180" s="316"/>
      <c r="P180" s="316"/>
    </row>
    <row r="181" spans="3:16" x14ac:dyDescent="0.3">
      <c r="C181" s="373"/>
      <c r="D181" s="408"/>
      <c r="E181" s="409"/>
      <c r="F181" s="410"/>
      <c r="G181" s="377"/>
      <c r="H181" s="377"/>
      <c r="I181" s="377"/>
      <c r="J181" s="376"/>
      <c r="K181" s="378"/>
      <c r="L181" s="378"/>
      <c r="M181" s="378"/>
      <c r="N181" s="378"/>
      <c r="O181" s="378"/>
      <c r="P181" s="378"/>
    </row>
    <row r="182" spans="3:16" x14ac:dyDescent="0.3">
      <c r="C182" s="373"/>
      <c r="D182" s="408"/>
      <c r="E182" s="409"/>
      <c r="F182" s="410"/>
      <c r="G182" s="377"/>
      <c r="H182" s="377"/>
      <c r="I182" s="377"/>
      <c r="J182" s="376"/>
      <c r="K182" s="378"/>
      <c r="L182" s="378"/>
      <c r="M182" s="378"/>
      <c r="N182" s="378"/>
      <c r="O182" s="378"/>
      <c r="P182" s="378"/>
    </row>
    <row r="183" spans="3:16" x14ac:dyDescent="0.3">
      <c r="C183" s="373"/>
      <c r="D183" s="408"/>
      <c r="E183" s="409"/>
      <c r="F183" s="410"/>
      <c r="G183" s="377"/>
      <c r="H183" s="377"/>
      <c r="I183" s="377"/>
      <c r="J183" s="376"/>
      <c r="K183" s="378"/>
      <c r="L183" s="378"/>
      <c r="M183" s="378"/>
      <c r="N183" s="378"/>
      <c r="O183" s="378"/>
      <c r="P183" s="378"/>
    </row>
    <row r="184" spans="3:16" x14ac:dyDescent="0.3">
      <c r="C184" s="379"/>
      <c r="D184" s="402"/>
      <c r="E184" s="313"/>
      <c r="F184" s="317"/>
      <c r="G184" s="315"/>
      <c r="H184" s="315"/>
      <c r="I184" s="315"/>
      <c r="J184" s="314"/>
      <c r="K184" s="316"/>
      <c r="L184" s="316"/>
      <c r="M184" s="316"/>
      <c r="N184" s="316"/>
      <c r="O184" s="316"/>
      <c r="P184" s="316"/>
    </row>
    <row r="185" spans="3:16" x14ac:dyDescent="0.3">
      <c r="C185" s="379"/>
      <c r="D185" s="402"/>
      <c r="E185" s="313"/>
      <c r="F185" s="317"/>
      <c r="G185" s="315"/>
      <c r="H185" s="315"/>
      <c r="I185" s="315"/>
      <c r="J185" s="314"/>
      <c r="K185" s="316"/>
      <c r="L185" s="316"/>
      <c r="M185" s="316"/>
      <c r="N185" s="316"/>
      <c r="O185" s="316"/>
      <c r="P185" s="316"/>
    </row>
    <row r="186" spans="3:16" x14ac:dyDescent="0.3">
      <c r="C186" s="373"/>
      <c r="D186" s="408"/>
      <c r="E186" s="409"/>
      <c r="F186" s="410"/>
      <c r="G186" s="377"/>
      <c r="H186" s="377"/>
      <c r="I186" s="377"/>
      <c r="J186" s="376"/>
      <c r="K186" s="378"/>
      <c r="L186" s="378"/>
      <c r="M186" s="378"/>
      <c r="N186" s="378"/>
      <c r="O186" s="378"/>
      <c r="P186" s="378"/>
    </row>
    <row r="187" spans="3:16" x14ac:dyDescent="0.3">
      <c r="C187" s="373"/>
      <c r="D187" s="408"/>
      <c r="E187" s="409"/>
      <c r="F187" s="410"/>
      <c r="G187" s="377"/>
      <c r="H187" s="377"/>
      <c r="I187" s="377"/>
      <c r="J187" s="376"/>
      <c r="K187" s="378"/>
      <c r="L187" s="378"/>
      <c r="M187" s="378"/>
      <c r="N187" s="378"/>
      <c r="O187" s="378"/>
      <c r="P187" s="378"/>
    </row>
    <row r="188" spans="3:16" x14ac:dyDescent="0.3">
      <c r="C188" s="373"/>
      <c r="D188" s="408"/>
      <c r="E188" s="409"/>
      <c r="F188" s="410"/>
      <c r="G188" s="377"/>
      <c r="H188" s="377"/>
      <c r="I188" s="377"/>
      <c r="J188" s="376"/>
      <c r="K188" s="378"/>
      <c r="L188" s="378"/>
      <c r="M188" s="378"/>
      <c r="N188" s="378"/>
      <c r="O188" s="378"/>
      <c r="P188" s="378"/>
    </row>
    <row r="189" spans="3:16" x14ac:dyDescent="0.3">
      <c r="C189" s="373"/>
      <c r="D189" s="408"/>
      <c r="E189" s="409"/>
      <c r="F189" s="410"/>
      <c r="G189" s="377"/>
      <c r="H189" s="377"/>
      <c r="I189" s="377"/>
      <c r="J189" s="376"/>
      <c r="K189" s="378"/>
      <c r="L189" s="378"/>
      <c r="M189" s="378"/>
      <c r="N189" s="378"/>
      <c r="O189" s="378"/>
      <c r="P189" s="378"/>
    </row>
    <row r="190" spans="3:16" x14ac:dyDescent="0.3">
      <c r="C190" s="373"/>
      <c r="D190" s="408"/>
      <c r="E190" s="409"/>
      <c r="F190" s="410"/>
      <c r="G190" s="377"/>
      <c r="H190" s="377"/>
      <c r="I190" s="377"/>
      <c r="J190" s="376"/>
      <c r="K190" s="378"/>
      <c r="L190" s="378"/>
      <c r="M190" s="378"/>
      <c r="N190" s="378"/>
      <c r="O190" s="378"/>
      <c r="P190" s="378"/>
    </row>
    <row r="191" spans="3:16" x14ac:dyDescent="0.3">
      <c r="C191" s="379"/>
      <c r="D191" s="402"/>
      <c r="E191" s="313"/>
      <c r="F191" s="317"/>
      <c r="G191" s="315"/>
      <c r="H191" s="315"/>
      <c r="I191" s="315"/>
      <c r="J191" s="314"/>
      <c r="K191" s="316"/>
      <c r="L191" s="316"/>
      <c r="M191" s="316"/>
      <c r="N191" s="316"/>
      <c r="O191" s="316"/>
      <c r="P191" s="316"/>
    </row>
    <row r="192" spans="3:16" x14ac:dyDescent="0.3">
      <c r="C192" s="379"/>
      <c r="D192" s="402"/>
      <c r="E192" s="313"/>
      <c r="F192" s="317"/>
      <c r="G192" s="315"/>
      <c r="H192" s="315"/>
      <c r="I192" s="315"/>
      <c r="J192" s="314"/>
      <c r="K192" s="316"/>
      <c r="L192" s="316"/>
      <c r="M192" s="316"/>
      <c r="N192" s="316"/>
      <c r="O192" s="316"/>
      <c r="P192" s="316"/>
    </row>
    <row r="193" spans="3:16" x14ac:dyDescent="0.3">
      <c r="C193" s="373"/>
      <c r="D193" s="408"/>
      <c r="E193" s="409"/>
      <c r="F193" s="410"/>
      <c r="G193" s="377"/>
      <c r="H193" s="377"/>
      <c r="I193" s="377"/>
      <c r="J193" s="376"/>
      <c r="K193" s="378"/>
      <c r="L193" s="378"/>
      <c r="M193" s="378"/>
      <c r="N193" s="378"/>
      <c r="O193" s="378"/>
      <c r="P193" s="378"/>
    </row>
    <row r="194" spans="3:16" x14ac:dyDescent="0.3">
      <c r="C194" s="373"/>
      <c r="D194" s="408"/>
      <c r="E194" s="409"/>
      <c r="F194" s="410"/>
      <c r="G194" s="377"/>
      <c r="H194" s="377"/>
      <c r="I194" s="377"/>
      <c r="J194" s="376"/>
      <c r="K194" s="378"/>
      <c r="L194" s="378"/>
      <c r="M194" s="378"/>
      <c r="N194" s="378"/>
      <c r="O194" s="378"/>
      <c r="P194" s="378"/>
    </row>
    <row r="195" spans="3:16" x14ac:dyDescent="0.3">
      <c r="C195" s="373"/>
      <c r="D195" s="408"/>
      <c r="E195" s="409"/>
      <c r="F195" s="410"/>
      <c r="G195" s="377"/>
      <c r="H195" s="377"/>
      <c r="I195" s="377"/>
      <c r="J195" s="376"/>
      <c r="K195" s="378"/>
      <c r="L195" s="378"/>
      <c r="M195" s="378"/>
      <c r="N195" s="378"/>
      <c r="O195" s="378"/>
      <c r="P195" s="378"/>
    </row>
    <row r="196" spans="3:16" x14ac:dyDescent="0.3">
      <c r="C196" s="373"/>
      <c r="D196" s="408"/>
      <c r="E196" s="409"/>
      <c r="F196" s="410"/>
      <c r="G196" s="377"/>
      <c r="H196" s="377"/>
      <c r="I196" s="377"/>
      <c r="J196" s="376"/>
      <c r="K196" s="378"/>
      <c r="L196" s="378"/>
      <c r="M196" s="378"/>
      <c r="N196" s="378"/>
      <c r="O196" s="378"/>
      <c r="P196" s="378"/>
    </row>
    <row r="197" spans="3:16" x14ac:dyDescent="0.3">
      <c r="C197" s="373"/>
      <c r="D197" s="408"/>
      <c r="E197" s="409"/>
      <c r="F197" s="410"/>
      <c r="G197" s="377"/>
      <c r="H197" s="377"/>
      <c r="I197" s="377"/>
      <c r="J197" s="376"/>
      <c r="K197" s="378"/>
      <c r="L197" s="378"/>
      <c r="M197" s="378"/>
      <c r="N197" s="378"/>
      <c r="O197" s="378"/>
      <c r="P197" s="378"/>
    </row>
    <row r="198" spans="3:16" x14ac:dyDescent="0.3">
      <c r="C198" s="373"/>
      <c r="D198" s="408"/>
      <c r="E198" s="409"/>
      <c r="F198" s="410"/>
      <c r="G198" s="377"/>
      <c r="H198" s="377"/>
      <c r="I198" s="377"/>
      <c r="J198" s="376"/>
      <c r="K198" s="378"/>
      <c r="L198" s="378"/>
      <c r="M198" s="378"/>
      <c r="N198" s="378"/>
      <c r="O198" s="378"/>
      <c r="P198" s="378"/>
    </row>
    <row r="199" spans="3:16" x14ac:dyDescent="0.3">
      <c r="C199" s="373"/>
      <c r="D199" s="408"/>
      <c r="E199" s="409"/>
      <c r="F199" s="410"/>
      <c r="G199" s="377"/>
      <c r="H199" s="377"/>
      <c r="I199" s="377"/>
      <c r="J199" s="376"/>
      <c r="K199" s="378"/>
      <c r="L199" s="378"/>
      <c r="M199" s="378"/>
      <c r="N199" s="378"/>
      <c r="O199" s="378"/>
      <c r="P199" s="378"/>
    </row>
    <row r="200" spans="3:16" x14ac:dyDescent="0.3">
      <c r="C200" s="373"/>
      <c r="D200" s="408"/>
      <c r="E200" s="409"/>
      <c r="F200" s="410"/>
      <c r="G200" s="377"/>
      <c r="H200" s="377"/>
      <c r="I200" s="377"/>
      <c r="J200" s="376"/>
      <c r="K200" s="378"/>
      <c r="L200" s="378"/>
      <c r="M200" s="378"/>
      <c r="N200" s="378"/>
      <c r="O200" s="378"/>
      <c r="P200" s="378"/>
    </row>
    <row r="201" spans="3:16" x14ac:dyDescent="0.3">
      <c r="C201" s="373"/>
      <c r="D201" s="408"/>
      <c r="E201" s="409"/>
      <c r="F201" s="410"/>
      <c r="G201" s="377"/>
      <c r="H201" s="377"/>
      <c r="I201" s="377"/>
      <c r="J201" s="376"/>
      <c r="K201" s="378"/>
      <c r="L201" s="378"/>
      <c r="M201" s="378"/>
      <c r="N201" s="378"/>
      <c r="O201" s="378"/>
      <c r="P201" s="378"/>
    </row>
    <row r="202" spans="3:16" x14ac:dyDescent="0.3">
      <c r="C202" s="373"/>
      <c r="D202" s="408"/>
      <c r="E202" s="409"/>
      <c r="F202" s="410"/>
      <c r="G202" s="377"/>
      <c r="H202" s="377"/>
      <c r="I202" s="377"/>
      <c r="J202" s="376"/>
      <c r="K202" s="378"/>
      <c r="L202" s="378"/>
      <c r="M202" s="378"/>
      <c r="N202" s="378"/>
      <c r="O202" s="378"/>
      <c r="P202" s="378"/>
    </row>
    <row r="203" spans="3:16" x14ac:dyDescent="0.3">
      <c r="C203" s="373"/>
      <c r="D203" s="408"/>
      <c r="E203" s="409"/>
      <c r="F203" s="410"/>
      <c r="G203" s="377"/>
      <c r="H203" s="377"/>
      <c r="I203" s="377"/>
      <c r="J203" s="376"/>
      <c r="K203" s="378"/>
      <c r="L203" s="378"/>
      <c r="M203" s="378"/>
      <c r="N203" s="378"/>
      <c r="O203" s="378"/>
      <c r="P203" s="378"/>
    </row>
    <row r="204" spans="3:16" x14ac:dyDescent="0.3">
      <c r="C204" s="373"/>
      <c r="D204" s="408"/>
      <c r="E204" s="409"/>
      <c r="F204" s="410"/>
      <c r="G204" s="377"/>
      <c r="H204" s="377"/>
      <c r="I204" s="377"/>
      <c r="J204" s="376"/>
      <c r="K204" s="378"/>
      <c r="L204" s="378"/>
      <c r="M204" s="378"/>
      <c r="N204" s="378"/>
      <c r="O204" s="378"/>
      <c r="P204" s="378"/>
    </row>
    <row r="205" spans="3:16" x14ac:dyDescent="0.3">
      <c r="C205" s="373"/>
      <c r="D205" s="408"/>
      <c r="E205" s="409"/>
      <c r="F205" s="410"/>
      <c r="G205" s="377"/>
      <c r="H205" s="377"/>
      <c r="I205" s="377"/>
      <c r="J205" s="376"/>
      <c r="K205" s="378"/>
      <c r="L205" s="378"/>
      <c r="M205" s="378"/>
      <c r="N205" s="378"/>
      <c r="O205" s="378"/>
      <c r="P205" s="378"/>
    </row>
    <row r="206" spans="3:16" x14ac:dyDescent="0.3">
      <c r="C206" s="379"/>
      <c r="D206" s="402"/>
      <c r="E206" s="313"/>
      <c r="F206" s="317"/>
      <c r="G206" s="315"/>
      <c r="H206" s="315"/>
      <c r="I206" s="315"/>
      <c r="J206" s="314"/>
      <c r="K206" s="316"/>
      <c r="L206" s="316"/>
      <c r="M206" s="316"/>
      <c r="N206" s="316"/>
      <c r="O206" s="316"/>
      <c r="P206" s="316"/>
    </row>
    <row r="207" spans="3:16" x14ac:dyDescent="0.3">
      <c r="C207" s="373"/>
      <c r="D207" s="408"/>
      <c r="E207" s="409"/>
      <c r="F207" s="410"/>
      <c r="G207" s="377"/>
      <c r="H207" s="377"/>
      <c r="I207" s="377"/>
      <c r="J207" s="376"/>
      <c r="K207" s="378"/>
      <c r="L207" s="378"/>
      <c r="M207" s="378"/>
      <c r="N207" s="378"/>
      <c r="O207" s="378"/>
      <c r="P207" s="378"/>
    </row>
    <row r="208" spans="3:16" x14ac:dyDescent="0.3">
      <c r="C208" s="379"/>
      <c r="D208" s="402"/>
      <c r="E208" s="313"/>
      <c r="F208" s="317"/>
      <c r="G208" s="315"/>
      <c r="H208" s="315"/>
      <c r="I208" s="315"/>
      <c r="J208" s="314"/>
      <c r="K208" s="316"/>
      <c r="L208" s="316"/>
      <c r="M208" s="316"/>
      <c r="N208" s="316"/>
      <c r="O208" s="316"/>
      <c r="P208" s="316"/>
    </row>
    <row r="209" spans="3:16" x14ac:dyDescent="0.3">
      <c r="C209" s="385"/>
      <c r="D209" s="403"/>
      <c r="E209" s="404"/>
      <c r="F209" s="405"/>
      <c r="G209" s="384"/>
      <c r="H209" s="384"/>
      <c r="I209" s="384"/>
      <c r="J209" s="314"/>
      <c r="K209" s="387"/>
      <c r="L209" s="387"/>
      <c r="M209" s="387"/>
      <c r="N209" s="387"/>
      <c r="O209" s="387"/>
      <c r="P209" s="387"/>
    </row>
    <row r="210" spans="3:16" x14ac:dyDescent="0.3">
      <c r="C210" s="381"/>
      <c r="D210" s="419"/>
      <c r="E210" s="406"/>
      <c r="F210" s="407"/>
      <c r="G210" s="384"/>
      <c r="H210" s="384"/>
      <c r="I210" s="384"/>
      <c r="J210" s="314"/>
      <c r="K210" s="316"/>
      <c r="L210" s="316"/>
      <c r="M210" s="316"/>
      <c r="N210" s="316"/>
      <c r="O210" s="316"/>
      <c r="P210" s="316"/>
    </row>
    <row r="211" spans="3:16" x14ac:dyDescent="0.3">
      <c r="C211" s="379"/>
      <c r="D211" s="419"/>
      <c r="E211" s="406"/>
      <c r="F211" s="407"/>
      <c r="G211" s="384"/>
      <c r="H211" s="384"/>
      <c r="I211" s="384"/>
      <c r="J211" s="314"/>
      <c r="K211" s="316"/>
      <c r="L211" s="316"/>
      <c r="M211" s="316"/>
      <c r="N211" s="316"/>
      <c r="O211" s="316"/>
      <c r="P211" s="316"/>
    </row>
    <row r="212" spans="3:16" x14ac:dyDescent="0.3">
      <c r="C212" s="373"/>
      <c r="D212" s="420"/>
      <c r="E212" s="409"/>
      <c r="F212" s="421"/>
      <c r="G212" s="422"/>
      <c r="H212" s="422"/>
      <c r="I212" s="422"/>
      <c r="J212" s="376"/>
      <c r="K212" s="378"/>
      <c r="L212" s="378"/>
      <c r="M212" s="378"/>
      <c r="N212" s="378"/>
      <c r="O212" s="378"/>
      <c r="P212" s="378"/>
    </row>
    <row r="213" spans="3:16" x14ac:dyDescent="0.3">
      <c r="C213" s="373"/>
      <c r="D213" s="420"/>
      <c r="E213" s="409"/>
      <c r="F213" s="421"/>
      <c r="G213" s="422"/>
      <c r="H213" s="422"/>
      <c r="I213" s="422"/>
      <c r="J213" s="376"/>
      <c r="K213" s="378"/>
      <c r="L213" s="378"/>
      <c r="M213" s="378"/>
      <c r="N213" s="378"/>
      <c r="O213" s="378"/>
      <c r="P213" s="378"/>
    </row>
    <row r="214" spans="3:16" x14ac:dyDescent="0.3">
      <c r="C214" s="373"/>
      <c r="D214" s="420"/>
      <c r="E214" s="409"/>
      <c r="F214" s="421"/>
      <c r="G214" s="422"/>
      <c r="H214" s="422"/>
      <c r="I214" s="422"/>
      <c r="J214" s="376"/>
      <c r="K214" s="378"/>
      <c r="L214" s="378"/>
      <c r="M214" s="378"/>
      <c r="N214" s="378"/>
      <c r="O214" s="378"/>
      <c r="P214" s="378"/>
    </row>
    <row r="215" spans="3:16" x14ac:dyDescent="0.3">
      <c r="C215" s="373"/>
      <c r="D215" s="420"/>
      <c r="E215" s="409"/>
      <c r="F215" s="421"/>
      <c r="G215" s="422"/>
      <c r="H215" s="422"/>
      <c r="I215" s="422"/>
      <c r="J215" s="376"/>
      <c r="K215" s="378"/>
      <c r="L215" s="378"/>
      <c r="M215" s="378"/>
      <c r="N215" s="378"/>
      <c r="O215" s="378"/>
      <c r="P215" s="378"/>
    </row>
    <row r="216" spans="3:16" x14ac:dyDescent="0.3">
      <c r="C216" s="373"/>
      <c r="D216" s="420"/>
      <c r="E216" s="409"/>
      <c r="F216" s="421"/>
      <c r="G216" s="422"/>
      <c r="H216" s="422"/>
      <c r="I216" s="422"/>
      <c r="J216" s="376"/>
      <c r="K216" s="378"/>
      <c r="L216" s="378"/>
      <c r="M216" s="378"/>
      <c r="N216" s="378"/>
      <c r="O216" s="378"/>
      <c r="P216" s="378"/>
    </row>
    <row r="217" spans="3:16" x14ac:dyDescent="0.3">
      <c r="C217" s="373"/>
      <c r="D217" s="420"/>
      <c r="E217" s="409"/>
      <c r="F217" s="421"/>
      <c r="G217" s="422"/>
      <c r="H217" s="422"/>
      <c r="I217" s="422"/>
      <c r="J217" s="376"/>
      <c r="K217" s="378"/>
      <c r="L217" s="378"/>
      <c r="M217" s="378"/>
      <c r="N217" s="378"/>
      <c r="O217" s="378"/>
      <c r="P217" s="378"/>
    </row>
    <row r="218" spans="3:16" x14ac:dyDescent="0.3">
      <c r="C218" s="373"/>
      <c r="D218" s="420"/>
      <c r="E218" s="409"/>
      <c r="F218" s="421"/>
      <c r="G218" s="422"/>
      <c r="H218" s="422"/>
      <c r="I218" s="422"/>
      <c r="J218" s="376"/>
      <c r="K218" s="378"/>
      <c r="L218" s="378"/>
      <c r="M218" s="378"/>
      <c r="N218" s="378"/>
      <c r="O218" s="378"/>
      <c r="P218" s="378"/>
    </row>
    <row r="219" spans="3:16" x14ac:dyDescent="0.3">
      <c r="C219" s="373"/>
      <c r="D219" s="420"/>
      <c r="E219" s="409"/>
      <c r="F219" s="421"/>
      <c r="G219" s="422"/>
      <c r="H219" s="422"/>
      <c r="I219" s="422"/>
      <c r="J219" s="376"/>
      <c r="K219" s="378"/>
      <c r="L219" s="378"/>
      <c r="M219" s="378"/>
      <c r="N219" s="378"/>
      <c r="O219" s="378"/>
      <c r="P219" s="378"/>
    </row>
    <row r="220" spans="3:16" x14ac:dyDescent="0.3">
      <c r="C220" s="373"/>
      <c r="D220" s="420"/>
      <c r="E220" s="409"/>
      <c r="F220" s="421"/>
      <c r="G220" s="422"/>
      <c r="H220" s="422"/>
      <c r="I220" s="422"/>
      <c r="J220" s="376"/>
      <c r="K220" s="378"/>
      <c r="L220" s="378"/>
      <c r="M220" s="378"/>
      <c r="N220" s="378"/>
      <c r="O220" s="378"/>
      <c r="P220" s="378"/>
    </row>
    <row r="221" spans="3:16" x14ac:dyDescent="0.3">
      <c r="C221" s="379"/>
      <c r="D221" s="419"/>
      <c r="E221" s="313"/>
      <c r="F221" s="407"/>
      <c r="G221" s="384"/>
      <c r="H221" s="384"/>
      <c r="I221" s="384"/>
      <c r="J221" s="314"/>
      <c r="K221" s="316"/>
      <c r="L221" s="316"/>
      <c r="M221" s="316"/>
      <c r="N221" s="316"/>
      <c r="O221" s="316"/>
      <c r="P221" s="316"/>
    </row>
    <row r="222" spans="3:16" x14ac:dyDescent="0.3">
      <c r="C222" s="379"/>
      <c r="D222" s="419"/>
      <c r="E222" s="313"/>
      <c r="F222" s="317"/>
      <c r="G222" s="315"/>
      <c r="H222" s="315"/>
      <c r="I222" s="315"/>
      <c r="J222" s="314"/>
      <c r="K222" s="316"/>
      <c r="L222" s="316"/>
      <c r="M222" s="316"/>
      <c r="N222" s="316"/>
      <c r="O222" s="316"/>
      <c r="P222" s="316"/>
    </row>
    <row r="223" spans="3:16" x14ac:dyDescent="0.3">
      <c r="C223" s="373"/>
      <c r="D223" s="420"/>
      <c r="E223" s="409"/>
      <c r="F223" s="421"/>
      <c r="G223" s="422"/>
      <c r="H223" s="422"/>
      <c r="I223" s="422"/>
      <c r="J223" s="376"/>
      <c r="K223" s="378"/>
      <c r="L223" s="378"/>
      <c r="M223" s="378"/>
      <c r="N223" s="378"/>
      <c r="O223" s="378"/>
      <c r="P223" s="378"/>
    </row>
    <row r="224" spans="3:16" x14ac:dyDescent="0.3">
      <c r="C224" s="373"/>
      <c r="D224" s="420"/>
      <c r="E224" s="409"/>
      <c r="F224" s="421"/>
      <c r="G224" s="422"/>
      <c r="H224" s="422"/>
      <c r="I224" s="422"/>
      <c r="J224" s="376"/>
      <c r="K224" s="378"/>
      <c r="L224" s="378"/>
      <c r="M224" s="378"/>
      <c r="N224" s="378"/>
      <c r="O224" s="378"/>
      <c r="P224" s="378"/>
    </row>
    <row r="225" spans="3:16" x14ac:dyDescent="0.3">
      <c r="C225" s="373"/>
      <c r="D225" s="420"/>
      <c r="E225" s="409"/>
      <c r="F225" s="421"/>
      <c r="G225" s="422"/>
      <c r="H225" s="422"/>
      <c r="I225" s="422"/>
      <c r="J225" s="376"/>
      <c r="K225" s="378"/>
      <c r="L225" s="378"/>
      <c r="M225" s="378"/>
      <c r="N225" s="378"/>
      <c r="O225" s="378"/>
      <c r="P225" s="378"/>
    </row>
    <row r="226" spans="3:16" x14ac:dyDescent="0.3">
      <c r="C226" s="373"/>
      <c r="D226" s="420"/>
      <c r="E226" s="409"/>
      <c r="F226" s="421"/>
      <c r="G226" s="422"/>
      <c r="H226" s="422"/>
      <c r="I226" s="422"/>
      <c r="J226" s="376"/>
      <c r="K226" s="378"/>
      <c r="L226" s="378"/>
      <c r="M226" s="378"/>
      <c r="N226" s="378"/>
      <c r="O226" s="378"/>
      <c r="P226" s="378"/>
    </row>
    <row r="227" spans="3:16" x14ac:dyDescent="0.3">
      <c r="C227" s="373"/>
      <c r="D227" s="420"/>
      <c r="E227" s="409"/>
      <c r="F227" s="421"/>
      <c r="G227" s="422"/>
      <c r="H227" s="422"/>
      <c r="I227" s="422"/>
      <c r="J227" s="376"/>
      <c r="K227" s="378"/>
      <c r="L227" s="378"/>
      <c r="M227" s="378"/>
      <c r="N227" s="378"/>
      <c r="O227" s="378"/>
      <c r="P227" s="378"/>
    </row>
    <row r="228" spans="3:16" x14ac:dyDescent="0.3">
      <c r="C228" s="373"/>
      <c r="D228" s="420"/>
      <c r="E228" s="409"/>
      <c r="F228" s="421"/>
      <c r="G228" s="422"/>
      <c r="H228" s="422"/>
      <c r="I228" s="422"/>
      <c r="J228" s="376"/>
      <c r="K228" s="378"/>
      <c r="L228" s="378"/>
      <c r="M228" s="378"/>
      <c r="N228" s="378"/>
      <c r="O228" s="378"/>
      <c r="P228" s="378"/>
    </row>
    <row r="229" spans="3:16" x14ac:dyDescent="0.3">
      <c r="C229" s="373"/>
      <c r="D229" s="420"/>
      <c r="E229" s="409"/>
      <c r="F229" s="421"/>
      <c r="G229" s="422"/>
      <c r="H229" s="422"/>
      <c r="I229" s="422"/>
      <c r="J229" s="376"/>
      <c r="K229" s="378"/>
      <c r="L229" s="378"/>
      <c r="M229" s="378"/>
      <c r="N229" s="378"/>
      <c r="O229" s="378"/>
      <c r="P229" s="378"/>
    </row>
    <row r="230" spans="3:16" x14ac:dyDescent="0.3">
      <c r="C230" s="373"/>
      <c r="D230" s="420"/>
      <c r="E230" s="409"/>
      <c r="F230" s="421"/>
      <c r="G230" s="422"/>
      <c r="H230" s="422"/>
      <c r="I230" s="422"/>
      <c r="J230" s="376"/>
      <c r="K230" s="378"/>
      <c r="L230" s="378"/>
      <c r="M230" s="378"/>
      <c r="N230" s="378"/>
      <c r="O230" s="378"/>
      <c r="P230" s="378"/>
    </row>
    <row r="231" spans="3:16" x14ac:dyDescent="0.3">
      <c r="C231" s="373"/>
      <c r="D231" s="420"/>
      <c r="E231" s="409"/>
      <c r="F231" s="421"/>
      <c r="G231" s="422"/>
      <c r="H231" s="422"/>
      <c r="I231" s="422"/>
      <c r="J231" s="376"/>
      <c r="K231" s="378"/>
      <c r="L231" s="378"/>
      <c r="M231" s="378"/>
      <c r="N231" s="378"/>
      <c r="O231" s="378"/>
      <c r="P231" s="378"/>
    </row>
    <row r="232" spans="3:16" x14ac:dyDescent="0.3">
      <c r="C232" s="373"/>
      <c r="D232" s="420"/>
      <c r="E232" s="409"/>
      <c r="F232" s="421"/>
      <c r="G232" s="422"/>
      <c r="H232" s="422"/>
      <c r="I232" s="422"/>
      <c r="J232" s="376"/>
      <c r="K232" s="378"/>
      <c r="L232" s="378"/>
      <c r="M232" s="378"/>
      <c r="N232" s="378"/>
      <c r="O232" s="378"/>
      <c r="P232" s="378"/>
    </row>
    <row r="233" spans="3:16" x14ac:dyDescent="0.3">
      <c r="C233" s="373"/>
      <c r="D233" s="420"/>
      <c r="E233" s="409"/>
      <c r="F233" s="421"/>
      <c r="G233" s="422"/>
      <c r="H233" s="422"/>
      <c r="I233" s="422"/>
      <c r="J233" s="376"/>
      <c r="K233" s="378"/>
      <c r="L233" s="378"/>
      <c r="M233" s="378"/>
      <c r="N233" s="378"/>
      <c r="O233" s="378"/>
      <c r="P233" s="378"/>
    </row>
    <row r="234" spans="3:16" x14ac:dyDescent="0.3">
      <c r="C234" s="379"/>
      <c r="D234" s="419"/>
      <c r="E234" s="313"/>
      <c r="F234" s="407"/>
      <c r="G234" s="384"/>
      <c r="H234" s="384"/>
      <c r="I234" s="384"/>
      <c r="J234" s="314"/>
      <c r="K234" s="316"/>
      <c r="L234" s="316"/>
      <c r="M234" s="316"/>
      <c r="N234" s="316"/>
      <c r="O234" s="316"/>
      <c r="P234" s="316"/>
    </row>
    <row r="235" spans="3:16" x14ac:dyDescent="0.3">
      <c r="C235" s="379"/>
      <c r="D235" s="419"/>
      <c r="E235" s="406"/>
      <c r="F235" s="407"/>
      <c r="G235" s="384"/>
      <c r="H235" s="384"/>
      <c r="I235" s="384"/>
      <c r="J235" s="314"/>
      <c r="K235" s="316"/>
      <c r="L235" s="316"/>
      <c r="M235" s="316"/>
      <c r="N235" s="316"/>
      <c r="O235" s="316"/>
      <c r="P235" s="316"/>
    </row>
    <row r="236" spans="3:16" x14ac:dyDescent="0.3">
      <c r="C236" s="373"/>
      <c r="D236" s="420"/>
      <c r="E236" s="409"/>
      <c r="F236" s="421"/>
      <c r="G236" s="422"/>
      <c r="H236" s="422"/>
      <c r="I236" s="422"/>
      <c r="J236" s="376"/>
      <c r="K236" s="378"/>
      <c r="L236" s="378"/>
      <c r="M236" s="378"/>
      <c r="N236" s="378"/>
      <c r="O236" s="378"/>
      <c r="P236" s="378"/>
    </row>
    <row r="237" spans="3:16" x14ac:dyDescent="0.3">
      <c r="C237" s="373"/>
      <c r="D237" s="420"/>
      <c r="E237" s="409"/>
      <c r="F237" s="421"/>
      <c r="G237" s="422"/>
      <c r="H237" s="422"/>
      <c r="I237" s="422"/>
      <c r="J237" s="376"/>
      <c r="K237" s="378"/>
      <c r="L237" s="378"/>
      <c r="M237" s="378"/>
      <c r="N237" s="378"/>
      <c r="O237" s="378"/>
      <c r="P237" s="378"/>
    </row>
    <row r="238" spans="3:16" x14ac:dyDescent="0.3">
      <c r="C238" s="379"/>
      <c r="D238" s="419"/>
      <c r="E238" s="313"/>
      <c r="F238" s="407"/>
      <c r="G238" s="384"/>
      <c r="H238" s="384"/>
      <c r="I238" s="384"/>
      <c r="J238" s="314"/>
      <c r="K238" s="316"/>
      <c r="L238" s="316"/>
      <c r="M238" s="316"/>
      <c r="N238" s="316"/>
      <c r="O238" s="316"/>
      <c r="P238" s="316"/>
    </row>
    <row r="239" spans="3:16" x14ac:dyDescent="0.3">
      <c r="C239" s="381"/>
      <c r="D239" s="419"/>
      <c r="E239" s="406"/>
      <c r="F239" s="407"/>
      <c r="G239" s="384"/>
      <c r="H239" s="384"/>
      <c r="I239" s="384"/>
      <c r="J239" s="314"/>
      <c r="K239" s="316"/>
      <c r="L239" s="316"/>
      <c r="M239" s="316"/>
      <c r="N239" s="316"/>
      <c r="O239" s="316"/>
      <c r="P239" s="316"/>
    </row>
    <row r="240" spans="3:16" x14ac:dyDescent="0.3">
      <c r="C240" s="379"/>
      <c r="D240" s="419"/>
      <c r="E240" s="406"/>
      <c r="F240" s="407"/>
      <c r="G240" s="384"/>
      <c r="H240" s="384"/>
      <c r="I240" s="384"/>
      <c r="J240" s="314"/>
      <c r="K240" s="316"/>
      <c r="L240" s="316"/>
      <c r="M240" s="316"/>
      <c r="N240" s="316"/>
      <c r="O240" s="316"/>
      <c r="P240" s="316"/>
    </row>
    <row r="241" spans="3:16" x14ac:dyDescent="0.3">
      <c r="C241" s="373"/>
      <c r="D241" s="420"/>
      <c r="E241" s="409"/>
      <c r="F241" s="421"/>
      <c r="G241" s="422"/>
      <c r="H241" s="422"/>
      <c r="I241" s="422"/>
      <c r="J241" s="376"/>
      <c r="K241" s="378"/>
      <c r="L241" s="378"/>
      <c r="M241" s="378"/>
      <c r="N241" s="378"/>
      <c r="O241" s="378"/>
      <c r="P241" s="378"/>
    </row>
    <row r="242" spans="3:16" x14ac:dyDescent="0.3">
      <c r="C242" s="373"/>
      <c r="D242" s="420"/>
      <c r="E242" s="409"/>
      <c r="F242" s="421"/>
      <c r="G242" s="422"/>
      <c r="H242" s="422"/>
      <c r="I242" s="422"/>
      <c r="J242" s="376"/>
      <c r="K242" s="378"/>
      <c r="L242" s="378"/>
      <c r="M242" s="378"/>
      <c r="N242" s="378"/>
      <c r="O242" s="378"/>
      <c r="P242" s="378"/>
    </row>
    <row r="243" spans="3:16" x14ac:dyDescent="0.3">
      <c r="C243" s="379"/>
      <c r="D243" s="419"/>
      <c r="E243" s="313"/>
      <c r="F243" s="407"/>
      <c r="G243" s="384"/>
      <c r="H243" s="384"/>
      <c r="I243" s="384"/>
      <c r="J243" s="314"/>
      <c r="K243" s="316"/>
      <c r="L243" s="316"/>
      <c r="M243" s="316"/>
      <c r="N243" s="316"/>
      <c r="O243" s="316"/>
      <c r="P243" s="316"/>
    </row>
    <row r="244" spans="3:16" x14ac:dyDescent="0.3">
      <c r="C244" s="379"/>
      <c r="D244" s="419"/>
      <c r="E244" s="406"/>
      <c r="F244" s="407"/>
      <c r="G244" s="384"/>
      <c r="H244" s="384"/>
      <c r="I244" s="384"/>
      <c r="J244" s="314"/>
      <c r="K244" s="316"/>
      <c r="L244" s="316"/>
      <c r="M244" s="316"/>
      <c r="N244" s="316"/>
      <c r="O244" s="316"/>
      <c r="P244" s="316"/>
    </row>
    <row r="245" spans="3:16" x14ac:dyDescent="0.3">
      <c r="C245" s="373"/>
      <c r="D245" s="420"/>
      <c r="E245" s="409"/>
      <c r="F245" s="421"/>
      <c r="G245" s="422"/>
      <c r="H245" s="422"/>
      <c r="I245" s="422"/>
      <c r="J245" s="376"/>
      <c r="K245" s="378"/>
      <c r="L245" s="378"/>
      <c r="M245" s="378"/>
      <c r="N245" s="378"/>
      <c r="O245" s="378"/>
      <c r="P245" s="378"/>
    </row>
    <row r="246" spans="3:16" x14ac:dyDescent="0.3">
      <c r="C246" s="373"/>
      <c r="D246" s="420"/>
      <c r="E246" s="409"/>
      <c r="F246" s="421"/>
      <c r="G246" s="422"/>
      <c r="H246" s="422"/>
      <c r="I246" s="422"/>
      <c r="J246" s="376"/>
      <c r="K246" s="378"/>
      <c r="L246" s="378"/>
      <c r="M246" s="378"/>
      <c r="N246" s="378"/>
      <c r="O246" s="378"/>
      <c r="P246" s="378"/>
    </row>
    <row r="247" spans="3:16" x14ac:dyDescent="0.3">
      <c r="C247" s="373"/>
      <c r="D247" s="420"/>
      <c r="E247" s="409"/>
      <c r="F247" s="421"/>
      <c r="G247" s="422"/>
      <c r="H247" s="422"/>
      <c r="I247" s="422"/>
      <c r="J247" s="376"/>
      <c r="K247" s="378"/>
      <c r="L247" s="378"/>
      <c r="M247" s="378"/>
      <c r="N247" s="378"/>
      <c r="O247" s="378"/>
      <c r="P247" s="378"/>
    </row>
    <row r="248" spans="3:16" x14ac:dyDescent="0.3">
      <c r="C248" s="373"/>
      <c r="D248" s="420"/>
      <c r="E248" s="409"/>
      <c r="F248" s="421"/>
      <c r="G248" s="422"/>
      <c r="H248" s="422"/>
      <c r="I248" s="422"/>
      <c r="J248" s="376"/>
      <c r="K248" s="378"/>
      <c r="L248" s="378"/>
      <c r="M248" s="378"/>
      <c r="N248" s="378"/>
      <c r="O248" s="378"/>
      <c r="P248" s="378"/>
    </row>
    <row r="249" spans="3:16" x14ac:dyDescent="0.3">
      <c r="C249" s="373"/>
      <c r="D249" s="420"/>
      <c r="E249" s="409"/>
      <c r="F249" s="421"/>
      <c r="G249" s="422"/>
      <c r="H249" s="422"/>
      <c r="I249" s="422"/>
      <c r="J249" s="376"/>
      <c r="K249" s="378"/>
      <c r="L249" s="378"/>
      <c r="M249" s="378"/>
      <c r="N249" s="378"/>
      <c r="O249" s="378"/>
      <c r="P249" s="378"/>
    </row>
    <row r="250" spans="3:16" x14ac:dyDescent="0.3">
      <c r="C250" s="373"/>
      <c r="D250" s="420"/>
      <c r="E250" s="409"/>
      <c r="F250" s="421"/>
      <c r="G250" s="422"/>
      <c r="H250" s="422"/>
      <c r="I250" s="422"/>
      <c r="J250" s="376"/>
      <c r="K250" s="378"/>
      <c r="L250" s="378"/>
      <c r="M250" s="378"/>
      <c r="N250" s="378"/>
      <c r="O250" s="378"/>
      <c r="P250" s="378"/>
    </row>
    <row r="251" spans="3:16" x14ac:dyDescent="0.3">
      <c r="C251" s="373"/>
      <c r="D251" s="420"/>
      <c r="E251" s="409"/>
      <c r="F251" s="421"/>
      <c r="G251" s="422"/>
      <c r="H251" s="422"/>
      <c r="I251" s="422"/>
      <c r="J251" s="376"/>
      <c r="K251" s="378"/>
      <c r="L251" s="378"/>
      <c r="M251" s="378"/>
      <c r="N251" s="378"/>
      <c r="O251" s="378"/>
      <c r="P251" s="378"/>
    </row>
    <row r="252" spans="3:16" x14ac:dyDescent="0.3">
      <c r="C252" s="373"/>
      <c r="D252" s="420"/>
      <c r="E252" s="409"/>
      <c r="F252" s="421"/>
      <c r="G252" s="422"/>
      <c r="H252" s="422"/>
      <c r="I252" s="422"/>
      <c r="J252" s="376"/>
      <c r="K252" s="378"/>
      <c r="L252" s="378"/>
      <c r="M252" s="378"/>
      <c r="N252" s="378"/>
      <c r="O252" s="378"/>
      <c r="P252" s="378"/>
    </row>
    <row r="253" spans="3:16" x14ac:dyDescent="0.3">
      <c r="C253" s="373"/>
      <c r="D253" s="420"/>
      <c r="E253" s="409"/>
      <c r="F253" s="421"/>
      <c r="G253" s="422"/>
      <c r="H253" s="422"/>
      <c r="I253" s="422"/>
      <c r="J253" s="376"/>
      <c r="K253" s="378"/>
      <c r="L253" s="378"/>
      <c r="M253" s="378"/>
      <c r="N253" s="378"/>
      <c r="O253" s="378"/>
      <c r="P253" s="378"/>
    </row>
    <row r="254" spans="3:16" x14ac:dyDescent="0.3">
      <c r="C254" s="373"/>
      <c r="D254" s="420"/>
      <c r="E254" s="409"/>
      <c r="F254" s="421"/>
      <c r="G254" s="422"/>
      <c r="H254" s="422"/>
      <c r="I254" s="422"/>
      <c r="J254" s="376"/>
      <c r="K254" s="378"/>
      <c r="L254" s="378"/>
      <c r="M254" s="378"/>
      <c r="N254" s="378"/>
      <c r="O254" s="378"/>
      <c r="P254" s="378"/>
    </row>
    <row r="255" spans="3:16" x14ac:dyDescent="0.3">
      <c r="C255" s="373"/>
      <c r="D255" s="420"/>
      <c r="E255" s="409"/>
      <c r="F255" s="421"/>
      <c r="G255" s="422"/>
      <c r="H255" s="422"/>
      <c r="I255" s="422"/>
      <c r="J255" s="376"/>
      <c r="K255" s="378"/>
      <c r="L255" s="378"/>
      <c r="M255" s="378"/>
      <c r="N255" s="378"/>
      <c r="O255" s="378"/>
      <c r="P255" s="378"/>
    </row>
    <row r="256" spans="3:16" x14ac:dyDescent="0.3">
      <c r="C256" s="379"/>
      <c r="D256" s="419"/>
      <c r="E256" s="313"/>
      <c r="F256" s="407"/>
      <c r="G256" s="384"/>
      <c r="H256" s="384"/>
      <c r="I256" s="384"/>
      <c r="J256" s="314"/>
      <c r="K256" s="316"/>
      <c r="L256" s="316"/>
      <c r="M256" s="316"/>
      <c r="N256" s="316"/>
      <c r="O256" s="316"/>
      <c r="P256" s="316"/>
    </row>
    <row r="257" spans="3:16" x14ac:dyDescent="0.3">
      <c r="C257" s="379"/>
      <c r="D257" s="419"/>
      <c r="E257" s="313"/>
      <c r="F257" s="407"/>
      <c r="G257" s="384"/>
      <c r="H257" s="384"/>
      <c r="I257" s="384"/>
      <c r="J257" s="314"/>
      <c r="K257" s="316"/>
      <c r="L257" s="316"/>
      <c r="M257" s="316"/>
      <c r="N257" s="316"/>
      <c r="O257" s="316"/>
      <c r="P257" s="316"/>
    </row>
    <row r="258" spans="3:16" x14ac:dyDescent="0.3">
      <c r="C258" s="381"/>
      <c r="D258" s="419"/>
      <c r="E258" s="406"/>
      <c r="F258" s="407"/>
      <c r="G258" s="384"/>
      <c r="H258" s="384"/>
      <c r="I258" s="384"/>
      <c r="J258" s="314"/>
      <c r="K258" s="316"/>
      <c r="L258" s="316"/>
      <c r="M258" s="316"/>
      <c r="N258" s="316"/>
      <c r="O258" s="316"/>
      <c r="P258" s="316"/>
    </row>
    <row r="259" spans="3:16" x14ac:dyDescent="0.3">
      <c r="C259" s="381"/>
      <c r="D259" s="419"/>
      <c r="E259" s="406"/>
      <c r="F259" s="407"/>
      <c r="G259" s="384"/>
      <c r="H259" s="384"/>
      <c r="I259" s="384"/>
      <c r="J259" s="314"/>
      <c r="K259" s="316"/>
      <c r="L259" s="316"/>
      <c r="M259" s="316"/>
      <c r="N259" s="316"/>
      <c r="O259" s="316"/>
      <c r="P259" s="316"/>
    </row>
    <row r="260" spans="3:16" x14ac:dyDescent="0.3">
      <c r="C260" s="373"/>
      <c r="D260" s="420"/>
      <c r="E260" s="409"/>
      <c r="F260" s="421"/>
      <c r="G260" s="422"/>
      <c r="H260" s="422"/>
      <c r="I260" s="422"/>
      <c r="J260" s="376"/>
      <c r="K260" s="378"/>
      <c r="L260" s="378"/>
      <c r="M260" s="378"/>
      <c r="N260" s="378"/>
      <c r="O260" s="378"/>
      <c r="P260" s="378"/>
    </row>
    <row r="261" spans="3:16" x14ac:dyDescent="0.3">
      <c r="C261" s="373"/>
      <c r="D261" s="420"/>
      <c r="E261" s="409"/>
      <c r="F261" s="421"/>
      <c r="G261" s="422"/>
      <c r="H261" s="422"/>
      <c r="I261" s="422"/>
      <c r="J261" s="376"/>
      <c r="K261" s="378"/>
      <c r="L261" s="378"/>
      <c r="M261" s="378"/>
      <c r="N261" s="378"/>
      <c r="O261" s="378"/>
      <c r="P261" s="378"/>
    </row>
    <row r="262" spans="3:16" x14ac:dyDescent="0.3">
      <c r="C262" s="373"/>
      <c r="D262" s="420"/>
      <c r="E262" s="409"/>
      <c r="F262" s="421"/>
      <c r="G262" s="422"/>
      <c r="H262" s="422"/>
      <c r="I262" s="422"/>
      <c r="J262" s="376"/>
      <c r="K262" s="378"/>
      <c r="L262" s="378"/>
      <c r="M262" s="378"/>
      <c r="N262" s="378"/>
      <c r="O262" s="378"/>
      <c r="P262" s="378"/>
    </row>
    <row r="263" spans="3:16" x14ac:dyDescent="0.3">
      <c r="C263" s="373"/>
      <c r="D263" s="420"/>
      <c r="E263" s="409"/>
      <c r="F263" s="421"/>
      <c r="G263" s="422"/>
      <c r="H263" s="422"/>
      <c r="I263" s="422"/>
      <c r="J263" s="376"/>
      <c r="K263" s="378"/>
      <c r="L263" s="378"/>
      <c r="M263" s="378"/>
      <c r="N263" s="378"/>
      <c r="O263" s="378"/>
      <c r="P263" s="378"/>
    </row>
    <row r="264" spans="3:16" x14ac:dyDescent="0.3">
      <c r="C264" s="373"/>
      <c r="D264" s="420"/>
      <c r="E264" s="409"/>
      <c r="F264" s="421"/>
      <c r="G264" s="422"/>
      <c r="H264" s="422"/>
      <c r="I264" s="422"/>
      <c r="J264" s="376"/>
      <c r="K264" s="378"/>
      <c r="L264" s="378"/>
      <c r="M264" s="378"/>
      <c r="N264" s="378"/>
      <c r="O264" s="378"/>
      <c r="P264" s="378"/>
    </row>
    <row r="265" spans="3:16" x14ac:dyDescent="0.3">
      <c r="C265" s="373"/>
      <c r="D265" s="420"/>
      <c r="E265" s="409"/>
      <c r="F265" s="421"/>
      <c r="G265" s="422"/>
      <c r="H265" s="422"/>
      <c r="I265" s="422"/>
      <c r="J265" s="376"/>
      <c r="K265" s="378"/>
      <c r="L265" s="378"/>
      <c r="M265" s="378"/>
      <c r="N265" s="378"/>
      <c r="O265" s="378"/>
      <c r="P265" s="378"/>
    </row>
    <row r="266" spans="3:16" x14ac:dyDescent="0.3">
      <c r="C266" s="373"/>
      <c r="D266" s="420"/>
      <c r="E266" s="409"/>
      <c r="F266" s="421"/>
      <c r="G266" s="422"/>
      <c r="H266" s="422"/>
      <c r="I266" s="422"/>
      <c r="J266" s="376"/>
      <c r="K266" s="378"/>
      <c r="L266" s="378"/>
      <c r="M266" s="378"/>
      <c r="N266" s="378"/>
      <c r="O266" s="378"/>
      <c r="P266" s="378"/>
    </row>
    <row r="267" spans="3:16" x14ac:dyDescent="0.3">
      <c r="C267" s="373"/>
      <c r="D267" s="420"/>
      <c r="E267" s="409"/>
      <c r="F267" s="421"/>
      <c r="G267" s="422"/>
      <c r="H267" s="422"/>
      <c r="I267" s="422"/>
      <c r="J267" s="376"/>
      <c r="K267" s="378"/>
      <c r="L267" s="378"/>
      <c r="M267" s="378"/>
      <c r="N267" s="378"/>
      <c r="O267" s="378"/>
      <c r="P267" s="378"/>
    </row>
    <row r="268" spans="3:16" x14ac:dyDescent="0.3">
      <c r="C268" s="373"/>
      <c r="D268" s="420"/>
      <c r="E268" s="409"/>
      <c r="F268" s="421"/>
      <c r="G268" s="422"/>
      <c r="H268" s="422"/>
      <c r="I268" s="422"/>
      <c r="J268" s="376"/>
      <c r="K268" s="378"/>
      <c r="L268" s="378"/>
      <c r="M268" s="378"/>
      <c r="N268" s="378"/>
      <c r="O268" s="378"/>
      <c r="P268" s="378"/>
    </row>
    <row r="269" spans="3:16" x14ac:dyDescent="0.3">
      <c r="C269" s="373"/>
      <c r="D269" s="420"/>
      <c r="E269" s="409"/>
      <c r="F269" s="421"/>
      <c r="G269" s="422"/>
      <c r="H269" s="422"/>
      <c r="I269" s="422"/>
      <c r="J269" s="376"/>
      <c r="K269" s="378"/>
      <c r="L269" s="378"/>
      <c r="M269" s="378"/>
      <c r="N269" s="378"/>
      <c r="O269" s="378"/>
      <c r="P269" s="378"/>
    </row>
    <row r="270" spans="3:16" x14ac:dyDescent="0.3">
      <c r="C270" s="373"/>
      <c r="D270" s="420"/>
      <c r="E270" s="409"/>
      <c r="F270" s="421"/>
      <c r="G270" s="422"/>
      <c r="H270" s="422"/>
      <c r="I270" s="422"/>
      <c r="J270" s="376"/>
      <c r="K270" s="378"/>
      <c r="L270" s="378"/>
      <c r="M270" s="378"/>
      <c r="N270" s="378"/>
      <c r="O270" s="378"/>
      <c r="P270" s="378"/>
    </row>
    <row r="271" spans="3:16" x14ac:dyDescent="0.3">
      <c r="C271" s="373"/>
      <c r="D271" s="420"/>
      <c r="E271" s="409"/>
      <c r="F271" s="421"/>
      <c r="G271" s="422"/>
      <c r="H271" s="422"/>
      <c r="I271" s="422"/>
      <c r="J271" s="376"/>
      <c r="K271" s="378"/>
      <c r="L271" s="378"/>
      <c r="M271" s="378"/>
      <c r="N271" s="378"/>
      <c r="O271" s="378"/>
      <c r="P271" s="378"/>
    </row>
    <row r="272" spans="3:16" x14ac:dyDescent="0.3">
      <c r="C272" s="379"/>
      <c r="D272" s="419"/>
      <c r="E272" s="313"/>
      <c r="F272" s="407"/>
      <c r="G272" s="384"/>
      <c r="H272" s="384"/>
      <c r="I272" s="384"/>
      <c r="J272" s="314"/>
      <c r="K272" s="316"/>
      <c r="L272" s="316"/>
      <c r="M272" s="316"/>
      <c r="N272" s="316"/>
      <c r="O272" s="316"/>
      <c r="P272" s="316"/>
    </row>
    <row r="273" spans="3:16" x14ac:dyDescent="0.3">
      <c r="C273" s="379"/>
      <c r="D273" s="419"/>
      <c r="E273" s="313"/>
      <c r="F273" s="407"/>
      <c r="G273" s="384"/>
      <c r="H273" s="384"/>
      <c r="I273" s="384"/>
      <c r="J273" s="314"/>
      <c r="K273" s="316"/>
      <c r="L273" s="316"/>
      <c r="M273" s="316"/>
      <c r="N273" s="316"/>
      <c r="O273" s="316"/>
      <c r="P273" s="316"/>
    </row>
    <row r="274" spans="3:16" x14ac:dyDescent="0.3">
      <c r="C274" s="373"/>
      <c r="D274" s="420"/>
      <c r="E274" s="409"/>
      <c r="F274" s="421"/>
      <c r="G274" s="422"/>
      <c r="H274" s="422"/>
      <c r="I274" s="422"/>
      <c r="J274" s="376"/>
      <c r="K274" s="378"/>
      <c r="L274" s="378"/>
      <c r="M274" s="378"/>
      <c r="N274" s="378"/>
      <c r="O274" s="378"/>
      <c r="P274" s="378"/>
    </row>
    <row r="275" spans="3:16" x14ac:dyDescent="0.3">
      <c r="C275" s="373"/>
      <c r="D275" s="420"/>
      <c r="E275" s="409"/>
      <c r="F275" s="421"/>
      <c r="G275" s="422"/>
      <c r="H275" s="422"/>
      <c r="I275" s="422"/>
      <c r="J275" s="376"/>
      <c r="K275" s="378"/>
      <c r="L275" s="378"/>
      <c r="M275" s="378"/>
      <c r="N275" s="378"/>
      <c r="O275" s="378"/>
      <c r="P275" s="378"/>
    </row>
    <row r="276" spans="3:16" x14ac:dyDescent="0.3">
      <c r="C276" s="373"/>
      <c r="D276" s="420"/>
      <c r="E276" s="409"/>
      <c r="F276" s="421"/>
      <c r="G276" s="422"/>
      <c r="H276" s="422"/>
      <c r="I276" s="422"/>
      <c r="J276" s="376"/>
      <c r="K276" s="378"/>
      <c r="L276" s="378"/>
      <c r="M276" s="378"/>
      <c r="N276" s="378"/>
      <c r="O276" s="378"/>
      <c r="P276" s="378"/>
    </row>
    <row r="277" spans="3:16" x14ac:dyDescent="0.3">
      <c r="C277" s="373"/>
      <c r="D277" s="420"/>
      <c r="E277" s="409"/>
      <c r="F277" s="421"/>
      <c r="G277" s="422"/>
      <c r="H277" s="422"/>
      <c r="I277" s="422"/>
      <c r="J277" s="376"/>
      <c r="K277" s="378"/>
      <c r="L277" s="378"/>
      <c r="M277" s="378"/>
      <c r="N277" s="378"/>
      <c r="O277" s="378"/>
      <c r="P277" s="378"/>
    </row>
    <row r="278" spans="3:16" x14ac:dyDescent="0.3">
      <c r="C278" s="373"/>
      <c r="D278" s="420"/>
      <c r="E278" s="409"/>
      <c r="F278" s="421"/>
      <c r="G278" s="422"/>
      <c r="H278" s="422"/>
      <c r="I278" s="422"/>
      <c r="J278" s="376"/>
      <c r="K278" s="378"/>
      <c r="L278" s="378"/>
      <c r="M278" s="378"/>
      <c r="N278" s="378"/>
      <c r="O278" s="378"/>
      <c r="P278" s="378"/>
    </row>
    <row r="279" spans="3:16" x14ac:dyDescent="0.3">
      <c r="C279" s="373"/>
      <c r="D279" s="420"/>
      <c r="E279" s="409"/>
      <c r="F279" s="421"/>
      <c r="G279" s="422"/>
      <c r="H279" s="422"/>
      <c r="I279" s="422"/>
      <c r="J279" s="376"/>
      <c r="K279" s="378"/>
      <c r="L279" s="378"/>
      <c r="M279" s="378"/>
      <c r="N279" s="378"/>
      <c r="O279" s="378"/>
      <c r="P279" s="378"/>
    </row>
    <row r="280" spans="3:16" x14ac:dyDescent="0.3">
      <c r="C280" s="379"/>
      <c r="D280" s="419"/>
      <c r="E280" s="313"/>
      <c r="F280" s="407"/>
      <c r="G280" s="384"/>
      <c r="H280" s="384"/>
      <c r="I280" s="384"/>
      <c r="J280" s="314"/>
      <c r="K280" s="316"/>
      <c r="L280" s="316"/>
      <c r="M280" s="316"/>
      <c r="N280" s="316"/>
      <c r="O280" s="316"/>
      <c r="P280" s="316"/>
    </row>
    <row r="281" spans="3:16" x14ac:dyDescent="0.3">
      <c r="C281" s="373"/>
      <c r="D281" s="420"/>
      <c r="E281" s="409"/>
      <c r="F281" s="421"/>
      <c r="G281" s="422"/>
      <c r="H281" s="422"/>
      <c r="I281" s="422"/>
      <c r="J281" s="376"/>
      <c r="K281" s="378"/>
      <c r="L281" s="378"/>
      <c r="M281" s="378"/>
      <c r="N281" s="378"/>
      <c r="O281" s="378"/>
      <c r="P281" s="378"/>
    </row>
    <row r="282" spans="3:16" x14ac:dyDescent="0.3">
      <c r="C282" s="373"/>
      <c r="D282" s="420"/>
      <c r="E282" s="409"/>
      <c r="F282" s="421"/>
      <c r="G282" s="422"/>
      <c r="H282" s="422"/>
      <c r="I282" s="422"/>
      <c r="J282" s="376"/>
      <c r="K282" s="378"/>
      <c r="L282" s="378"/>
      <c r="M282" s="378"/>
      <c r="N282" s="378"/>
      <c r="O282" s="378"/>
      <c r="P282" s="378"/>
    </row>
    <row r="283" spans="3:16" x14ac:dyDescent="0.3">
      <c r="C283" s="373"/>
      <c r="D283" s="420"/>
      <c r="E283" s="409"/>
      <c r="F283" s="421"/>
      <c r="G283" s="422"/>
      <c r="H283" s="422"/>
      <c r="I283" s="422"/>
      <c r="J283" s="376"/>
      <c r="K283" s="378"/>
      <c r="L283" s="378"/>
      <c r="M283" s="378"/>
      <c r="N283" s="378"/>
      <c r="O283" s="378"/>
      <c r="P283" s="378"/>
    </row>
    <row r="284" spans="3:16" x14ac:dyDescent="0.3">
      <c r="C284" s="373"/>
      <c r="D284" s="420"/>
      <c r="E284" s="409"/>
      <c r="F284" s="421"/>
      <c r="G284" s="422"/>
      <c r="H284" s="422"/>
      <c r="I284" s="422"/>
      <c r="J284" s="376"/>
      <c r="K284" s="378"/>
      <c r="L284" s="378"/>
      <c r="M284" s="378"/>
      <c r="N284" s="378"/>
      <c r="O284" s="378"/>
      <c r="P284" s="378"/>
    </row>
    <row r="285" spans="3:16" x14ac:dyDescent="0.3">
      <c r="C285" s="373"/>
      <c r="D285" s="420"/>
      <c r="E285" s="409"/>
      <c r="F285" s="421"/>
      <c r="G285" s="422"/>
      <c r="H285" s="422"/>
      <c r="I285" s="422"/>
      <c r="J285" s="376"/>
      <c r="K285" s="378"/>
      <c r="L285" s="378"/>
      <c r="M285" s="378"/>
      <c r="N285" s="378"/>
      <c r="O285" s="378"/>
      <c r="P285" s="378"/>
    </row>
    <row r="286" spans="3:16" x14ac:dyDescent="0.3">
      <c r="C286" s="373"/>
      <c r="D286" s="420"/>
      <c r="E286" s="409"/>
      <c r="F286" s="421"/>
      <c r="G286" s="422"/>
      <c r="H286" s="422"/>
      <c r="I286" s="422"/>
      <c r="J286" s="376"/>
      <c r="K286" s="378"/>
      <c r="L286" s="378"/>
      <c r="M286" s="378"/>
      <c r="N286" s="378"/>
      <c r="O286" s="378"/>
      <c r="P286" s="378"/>
    </row>
    <row r="287" spans="3:16" x14ac:dyDescent="0.3">
      <c r="C287" s="379"/>
      <c r="D287" s="419"/>
      <c r="E287" s="313"/>
      <c r="F287" s="407"/>
      <c r="G287" s="384"/>
      <c r="H287" s="384"/>
      <c r="I287" s="384"/>
      <c r="J287" s="314"/>
      <c r="K287" s="316"/>
      <c r="L287" s="316"/>
      <c r="M287" s="316"/>
      <c r="N287" s="316"/>
      <c r="O287" s="316"/>
      <c r="P287" s="316"/>
    </row>
    <row r="288" spans="3:16" x14ac:dyDescent="0.3">
      <c r="C288" s="385"/>
      <c r="D288" s="403"/>
      <c r="E288" s="404"/>
      <c r="F288" s="405"/>
      <c r="G288" s="384"/>
      <c r="H288" s="384"/>
      <c r="I288" s="384"/>
      <c r="J288" s="314"/>
      <c r="K288" s="387"/>
      <c r="L288" s="387"/>
      <c r="M288" s="387"/>
      <c r="N288" s="387"/>
      <c r="O288" s="387"/>
      <c r="P288" s="387"/>
    </row>
    <row r="289" spans="3:16" x14ac:dyDescent="0.3">
      <c r="C289" s="381"/>
      <c r="D289" s="419"/>
      <c r="E289" s="406"/>
      <c r="F289" s="407"/>
      <c r="G289" s="384"/>
      <c r="H289" s="384"/>
      <c r="I289" s="384"/>
      <c r="J289" s="314"/>
      <c r="K289" s="316"/>
      <c r="L289" s="316"/>
      <c r="M289" s="316"/>
      <c r="N289" s="316"/>
      <c r="O289" s="316"/>
      <c r="P289" s="316"/>
    </row>
    <row r="290" spans="3:16" x14ac:dyDescent="0.3">
      <c r="C290" s="381"/>
      <c r="D290" s="419"/>
      <c r="E290" s="406"/>
      <c r="F290" s="407"/>
      <c r="G290" s="384"/>
      <c r="H290" s="384"/>
      <c r="I290" s="384"/>
      <c r="J290" s="314"/>
      <c r="K290" s="316"/>
      <c r="L290" s="316"/>
      <c r="M290" s="316"/>
      <c r="N290" s="316"/>
      <c r="O290" s="316"/>
      <c r="P290" s="316"/>
    </row>
    <row r="291" spans="3:16" x14ac:dyDescent="0.3">
      <c r="C291" s="379"/>
      <c r="D291" s="419"/>
      <c r="E291" s="406"/>
      <c r="F291" s="407"/>
      <c r="G291" s="384"/>
      <c r="H291" s="384"/>
      <c r="I291" s="384"/>
      <c r="J291" s="314"/>
      <c r="K291" s="316"/>
      <c r="L291" s="316"/>
      <c r="M291" s="316"/>
      <c r="N291" s="316"/>
      <c r="O291" s="316"/>
      <c r="P291" s="316"/>
    </row>
    <row r="292" spans="3:16" x14ac:dyDescent="0.3">
      <c r="C292" s="373"/>
      <c r="D292" s="420"/>
      <c r="E292" s="409"/>
      <c r="F292" s="421"/>
      <c r="G292" s="422"/>
      <c r="H292" s="422"/>
      <c r="I292" s="422"/>
      <c r="J292" s="376"/>
      <c r="K292" s="378"/>
      <c r="L292" s="378"/>
      <c r="M292" s="378"/>
      <c r="N292" s="378"/>
      <c r="O292" s="378"/>
      <c r="P292" s="378"/>
    </row>
    <row r="293" spans="3:16" x14ac:dyDescent="0.3">
      <c r="C293" s="373"/>
      <c r="D293" s="420"/>
      <c r="E293" s="409"/>
      <c r="F293" s="421"/>
      <c r="G293" s="422"/>
      <c r="H293" s="422"/>
      <c r="I293" s="422"/>
      <c r="J293" s="376"/>
      <c r="K293" s="378"/>
      <c r="L293" s="378"/>
      <c r="M293" s="378"/>
      <c r="N293" s="378"/>
      <c r="O293" s="378"/>
      <c r="P293" s="378"/>
    </row>
    <row r="294" spans="3:16" x14ac:dyDescent="0.3">
      <c r="C294" s="373"/>
      <c r="D294" s="420"/>
      <c r="E294" s="409"/>
      <c r="F294" s="421"/>
      <c r="G294" s="422"/>
      <c r="H294" s="422"/>
      <c r="I294" s="422"/>
      <c r="J294" s="376"/>
      <c r="K294" s="378"/>
      <c r="L294" s="378"/>
      <c r="M294" s="378"/>
      <c r="N294" s="378"/>
      <c r="O294" s="378"/>
      <c r="P294" s="378"/>
    </row>
    <row r="295" spans="3:16" x14ac:dyDescent="0.3">
      <c r="C295" s="373"/>
      <c r="D295" s="420"/>
      <c r="E295" s="409"/>
      <c r="F295" s="421"/>
      <c r="G295" s="422"/>
      <c r="H295" s="422"/>
      <c r="I295" s="422"/>
      <c r="J295" s="376"/>
      <c r="K295" s="378"/>
      <c r="L295" s="378"/>
      <c r="M295" s="378"/>
      <c r="N295" s="378"/>
      <c r="O295" s="378"/>
      <c r="P295" s="378"/>
    </row>
    <row r="296" spans="3:16" x14ac:dyDescent="0.3">
      <c r="C296" s="373"/>
      <c r="D296" s="420"/>
      <c r="E296" s="409"/>
      <c r="F296" s="421"/>
      <c r="G296" s="422"/>
      <c r="H296" s="422"/>
      <c r="I296" s="422"/>
      <c r="J296" s="376"/>
      <c r="K296" s="378"/>
      <c r="L296" s="378"/>
      <c r="M296" s="378"/>
      <c r="N296" s="378"/>
      <c r="O296" s="378"/>
      <c r="P296" s="378"/>
    </row>
    <row r="297" spans="3:16" x14ac:dyDescent="0.3">
      <c r="C297" s="373"/>
      <c r="D297" s="420"/>
      <c r="E297" s="409"/>
      <c r="F297" s="421"/>
      <c r="G297" s="422"/>
      <c r="H297" s="422"/>
      <c r="I297" s="422"/>
      <c r="J297" s="376"/>
      <c r="K297" s="378"/>
      <c r="L297" s="378"/>
      <c r="M297" s="378"/>
      <c r="N297" s="378"/>
      <c r="O297" s="378"/>
      <c r="P297" s="378"/>
    </row>
    <row r="298" spans="3:16" x14ac:dyDescent="0.3">
      <c r="C298" s="373"/>
      <c r="D298" s="420"/>
      <c r="E298" s="409"/>
      <c r="F298" s="421"/>
      <c r="G298" s="422"/>
      <c r="H298" s="422"/>
      <c r="I298" s="422"/>
      <c r="J298" s="376"/>
      <c r="K298" s="378"/>
      <c r="L298" s="378"/>
      <c r="M298" s="378"/>
      <c r="N298" s="378"/>
      <c r="O298" s="378"/>
      <c r="P298" s="378"/>
    </row>
    <row r="299" spans="3:16" x14ac:dyDescent="0.3">
      <c r="C299" s="373"/>
      <c r="D299" s="420"/>
      <c r="E299" s="409"/>
      <c r="F299" s="421"/>
      <c r="G299" s="422"/>
      <c r="H299" s="422"/>
      <c r="I299" s="422"/>
      <c r="J299" s="376"/>
      <c r="K299" s="378"/>
      <c r="L299" s="378"/>
      <c r="M299" s="378"/>
      <c r="N299" s="378"/>
      <c r="O299" s="378"/>
      <c r="P299" s="378"/>
    </row>
    <row r="300" spans="3:16" x14ac:dyDescent="0.3">
      <c r="C300" s="373"/>
      <c r="D300" s="420"/>
      <c r="E300" s="409"/>
      <c r="F300" s="421"/>
      <c r="G300" s="422"/>
      <c r="H300" s="422"/>
      <c r="I300" s="422"/>
      <c r="J300" s="376"/>
      <c r="K300" s="378"/>
      <c r="L300" s="378"/>
      <c r="M300" s="378"/>
      <c r="N300" s="378"/>
      <c r="O300" s="378"/>
      <c r="P300" s="378"/>
    </row>
    <row r="301" spans="3:16" x14ac:dyDescent="0.3">
      <c r="C301" s="379"/>
      <c r="D301" s="419"/>
      <c r="E301" s="313"/>
      <c r="F301" s="407"/>
      <c r="G301" s="384"/>
      <c r="H301" s="384"/>
      <c r="I301" s="384"/>
      <c r="J301" s="314"/>
      <c r="K301" s="316"/>
      <c r="L301" s="316"/>
      <c r="M301" s="316"/>
      <c r="N301" s="316"/>
      <c r="O301" s="316"/>
      <c r="P301" s="316"/>
    </row>
    <row r="302" spans="3:16" x14ac:dyDescent="0.3">
      <c r="C302" s="379"/>
      <c r="D302" s="419"/>
      <c r="E302" s="313"/>
      <c r="F302" s="317"/>
      <c r="G302" s="315"/>
      <c r="H302" s="315"/>
      <c r="I302" s="315"/>
      <c r="J302" s="314"/>
      <c r="K302" s="316"/>
      <c r="L302" s="316"/>
      <c r="M302" s="316"/>
      <c r="N302" s="316"/>
      <c r="O302" s="316"/>
      <c r="P302" s="316"/>
    </row>
    <row r="303" spans="3:16" x14ac:dyDescent="0.3">
      <c r="C303" s="373"/>
      <c r="D303" s="420"/>
      <c r="E303" s="409"/>
      <c r="F303" s="421"/>
      <c r="G303" s="422"/>
      <c r="H303" s="422"/>
      <c r="I303" s="422"/>
      <c r="J303" s="376"/>
      <c r="K303" s="378"/>
      <c r="L303" s="378"/>
      <c r="M303" s="378"/>
      <c r="N303" s="378"/>
      <c r="O303" s="378"/>
      <c r="P303" s="378"/>
    </row>
    <row r="304" spans="3:16" x14ac:dyDescent="0.3">
      <c r="C304" s="373"/>
      <c r="D304" s="420"/>
      <c r="E304" s="409"/>
      <c r="F304" s="421"/>
      <c r="G304" s="422"/>
      <c r="H304" s="422"/>
      <c r="I304" s="422"/>
      <c r="J304" s="376"/>
      <c r="K304" s="378"/>
      <c r="L304" s="378"/>
      <c r="M304" s="378"/>
      <c r="N304" s="378"/>
      <c r="O304" s="378"/>
      <c r="P304" s="378"/>
    </row>
    <row r="305" spans="3:16" x14ac:dyDescent="0.3">
      <c r="C305" s="373"/>
      <c r="D305" s="420"/>
      <c r="E305" s="409"/>
      <c r="F305" s="421"/>
      <c r="G305" s="422"/>
      <c r="H305" s="422"/>
      <c r="I305" s="422"/>
      <c r="J305" s="376"/>
      <c r="K305" s="378"/>
      <c r="L305" s="378"/>
      <c r="M305" s="378"/>
      <c r="N305" s="378"/>
      <c r="O305" s="378"/>
      <c r="P305" s="378"/>
    </row>
    <row r="306" spans="3:16" x14ac:dyDescent="0.3">
      <c r="C306" s="373"/>
      <c r="D306" s="420"/>
      <c r="E306" s="409"/>
      <c r="F306" s="421"/>
      <c r="G306" s="422"/>
      <c r="H306" s="422"/>
      <c r="I306" s="422"/>
      <c r="J306" s="376"/>
      <c r="K306" s="378"/>
      <c r="L306" s="378"/>
      <c r="M306" s="378"/>
      <c r="N306" s="378"/>
      <c r="O306" s="378"/>
      <c r="P306" s="378"/>
    </row>
    <row r="307" spans="3:16" x14ac:dyDescent="0.3">
      <c r="C307" s="373"/>
      <c r="D307" s="420"/>
      <c r="E307" s="409"/>
      <c r="F307" s="421"/>
      <c r="G307" s="422"/>
      <c r="H307" s="422"/>
      <c r="I307" s="422"/>
      <c r="J307" s="376"/>
      <c r="K307" s="378"/>
      <c r="L307" s="378"/>
      <c r="M307" s="378"/>
      <c r="N307" s="378"/>
      <c r="O307" s="378"/>
      <c r="P307" s="378"/>
    </row>
    <row r="308" spans="3:16" x14ac:dyDescent="0.3">
      <c r="C308" s="373"/>
      <c r="D308" s="420"/>
      <c r="E308" s="409"/>
      <c r="F308" s="421"/>
      <c r="G308" s="422"/>
      <c r="H308" s="422"/>
      <c r="I308" s="422"/>
      <c r="J308" s="376"/>
      <c r="K308" s="378"/>
      <c r="L308" s="378"/>
      <c r="M308" s="378"/>
      <c r="N308" s="378"/>
      <c r="O308" s="378"/>
      <c r="P308" s="378"/>
    </row>
    <row r="309" spans="3:16" x14ac:dyDescent="0.3">
      <c r="C309" s="373"/>
      <c r="D309" s="420"/>
      <c r="E309" s="409"/>
      <c r="F309" s="421"/>
      <c r="G309" s="422"/>
      <c r="H309" s="422"/>
      <c r="I309" s="422"/>
      <c r="J309" s="376"/>
      <c r="K309" s="378"/>
      <c r="L309" s="378"/>
      <c r="M309" s="378"/>
      <c r="N309" s="378"/>
      <c r="O309" s="378"/>
      <c r="P309" s="378"/>
    </row>
    <row r="310" spans="3:16" x14ac:dyDescent="0.3">
      <c r="C310" s="373"/>
      <c r="D310" s="420"/>
      <c r="E310" s="409"/>
      <c r="F310" s="421"/>
      <c r="G310" s="422"/>
      <c r="H310" s="422"/>
      <c r="I310" s="422"/>
      <c r="J310" s="376"/>
      <c r="K310" s="378"/>
      <c r="L310" s="378"/>
      <c r="M310" s="378"/>
      <c r="N310" s="378"/>
      <c r="O310" s="378"/>
      <c r="P310" s="378"/>
    </row>
    <row r="311" spans="3:16" x14ac:dyDescent="0.3">
      <c r="C311" s="373"/>
      <c r="D311" s="420"/>
      <c r="E311" s="409"/>
      <c r="F311" s="421"/>
      <c r="G311" s="422"/>
      <c r="H311" s="422"/>
      <c r="I311" s="422"/>
      <c r="J311" s="376"/>
      <c r="K311" s="378"/>
      <c r="L311" s="378"/>
      <c r="M311" s="378"/>
      <c r="N311" s="378"/>
      <c r="O311" s="378"/>
      <c r="P311" s="378"/>
    </row>
    <row r="312" spans="3:16" x14ac:dyDescent="0.3">
      <c r="C312" s="373"/>
      <c r="D312" s="420"/>
      <c r="E312" s="409"/>
      <c r="F312" s="421"/>
      <c r="G312" s="422"/>
      <c r="H312" s="422"/>
      <c r="I312" s="422"/>
      <c r="J312" s="376"/>
      <c r="K312" s="378"/>
      <c r="L312" s="378"/>
      <c r="M312" s="378"/>
      <c r="N312" s="378"/>
      <c r="O312" s="378"/>
      <c r="P312" s="378"/>
    </row>
    <row r="313" spans="3:16" x14ac:dyDescent="0.3">
      <c r="C313" s="373"/>
      <c r="D313" s="420"/>
      <c r="E313" s="409"/>
      <c r="F313" s="421"/>
      <c r="G313" s="422"/>
      <c r="H313" s="422"/>
      <c r="I313" s="422"/>
      <c r="J313" s="376"/>
      <c r="K313" s="378"/>
      <c r="L313" s="378"/>
      <c r="M313" s="378"/>
      <c r="N313" s="378"/>
      <c r="O313" s="378"/>
      <c r="P313" s="378"/>
    </row>
    <row r="314" spans="3:16" x14ac:dyDescent="0.3">
      <c r="C314" s="379"/>
      <c r="D314" s="419"/>
      <c r="E314" s="313"/>
      <c r="F314" s="407"/>
      <c r="G314" s="384"/>
      <c r="H314" s="384"/>
      <c r="I314" s="384"/>
      <c r="J314" s="314"/>
      <c r="K314" s="316"/>
      <c r="L314" s="316"/>
      <c r="M314" s="316"/>
      <c r="N314" s="316"/>
      <c r="O314" s="316"/>
      <c r="P314" s="316"/>
    </row>
    <row r="315" spans="3:16" x14ac:dyDescent="0.3">
      <c r="C315" s="379"/>
      <c r="D315" s="419"/>
      <c r="E315" s="406"/>
      <c r="F315" s="407"/>
      <c r="G315" s="384"/>
      <c r="H315" s="384"/>
      <c r="I315" s="384"/>
      <c r="J315" s="314"/>
      <c r="K315" s="316"/>
      <c r="L315" s="316"/>
      <c r="M315" s="316"/>
      <c r="N315" s="316"/>
      <c r="O315" s="316"/>
      <c r="P315" s="316"/>
    </row>
    <row r="316" spans="3:16" x14ac:dyDescent="0.3">
      <c r="C316" s="373"/>
      <c r="D316" s="420"/>
      <c r="E316" s="409"/>
      <c r="F316" s="421"/>
      <c r="G316" s="422"/>
      <c r="H316" s="422"/>
      <c r="I316" s="422"/>
      <c r="J316" s="376"/>
      <c r="K316" s="378"/>
      <c r="L316" s="378"/>
      <c r="M316" s="378"/>
      <c r="N316" s="378"/>
      <c r="O316" s="378"/>
      <c r="P316" s="378"/>
    </row>
    <row r="317" spans="3:16" x14ac:dyDescent="0.3">
      <c r="C317" s="373"/>
      <c r="D317" s="420"/>
      <c r="E317" s="409"/>
      <c r="F317" s="421"/>
      <c r="G317" s="422"/>
      <c r="H317" s="422"/>
      <c r="I317" s="422"/>
      <c r="J317" s="376"/>
      <c r="K317" s="378"/>
      <c r="L317" s="378"/>
      <c r="M317" s="378"/>
      <c r="N317" s="378"/>
      <c r="O317" s="378"/>
      <c r="P317" s="378"/>
    </row>
    <row r="318" spans="3:16" x14ac:dyDescent="0.3">
      <c r="C318" s="379"/>
      <c r="D318" s="419"/>
      <c r="E318" s="313"/>
      <c r="F318" s="407"/>
      <c r="G318" s="384"/>
      <c r="H318" s="384"/>
      <c r="I318" s="384"/>
      <c r="J318" s="314"/>
      <c r="K318" s="316"/>
      <c r="L318" s="316"/>
      <c r="M318" s="316"/>
      <c r="N318" s="316"/>
      <c r="O318" s="316"/>
      <c r="P318" s="316"/>
    </row>
    <row r="319" spans="3:16" x14ac:dyDescent="0.3">
      <c r="C319" s="381"/>
      <c r="D319" s="419"/>
      <c r="E319" s="406"/>
      <c r="F319" s="407"/>
      <c r="G319" s="384"/>
      <c r="H319" s="384"/>
      <c r="I319" s="384"/>
      <c r="J319" s="314"/>
      <c r="K319" s="316"/>
      <c r="L319" s="316"/>
      <c r="M319" s="316"/>
      <c r="N319" s="316"/>
      <c r="O319" s="316"/>
      <c r="P319" s="316"/>
    </row>
    <row r="320" spans="3:16" x14ac:dyDescent="0.3">
      <c r="C320" s="379"/>
      <c r="D320" s="419"/>
      <c r="E320" s="406"/>
      <c r="F320" s="407"/>
      <c r="G320" s="384"/>
      <c r="H320" s="384"/>
      <c r="I320" s="384"/>
      <c r="J320" s="314"/>
      <c r="K320" s="316"/>
      <c r="L320" s="316"/>
      <c r="M320" s="316"/>
      <c r="N320" s="316"/>
      <c r="O320" s="316"/>
      <c r="P320" s="316"/>
    </row>
    <row r="321" spans="3:16" x14ac:dyDescent="0.3">
      <c r="C321" s="373"/>
      <c r="D321" s="420"/>
      <c r="E321" s="409"/>
      <c r="F321" s="421"/>
      <c r="G321" s="422"/>
      <c r="H321" s="422"/>
      <c r="I321" s="422"/>
      <c r="J321" s="376"/>
      <c r="K321" s="378"/>
      <c r="L321" s="378"/>
      <c r="M321" s="378"/>
      <c r="N321" s="378"/>
      <c r="O321" s="378"/>
      <c r="P321" s="378"/>
    </row>
    <row r="322" spans="3:16" x14ac:dyDescent="0.3">
      <c r="C322" s="373"/>
      <c r="D322" s="420"/>
      <c r="E322" s="409"/>
      <c r="F322" s="421"/>
      <c r="G322" s="422"/>
      <c r="H322" s="422"/>
      <c r="I322" s="422"/>
      <c r="J322" s="376"/>
      <c r="K322" s="378"/>
      <c r="L322" s="378"/>
      <c r="M322" s="378"/>
      <c r="N322" s="378"/>
      <c r="O322" s="378"/>
      <c r="P322" s="378"/>
    </row>
    <row r="323" spans="3:16" x14ac:dyDescent="0.3">
      <c r="C323" s="379"/>
      <c r="D323" s="419"/>
      <c r="E323" s="313"/>
      <c r="F323" s="407"/>
      <c r="G323" s="384"/>
      <c r="H323" s="384"/>
      <c r="I323" s="384"/>
      <c r="J323" s="314"/>
      <c r="K323" s="316"/>
      <c r="L323" s="316"/>
      <c r="M323" s="316"/>
      <c r="N323" s="316"/>
      <c r="O323" s="316"/>
      <c r="P323" s="316"/>
    </row>
    <row r="324" spans="3:16" x14ac:dyDescent="0.3">
      <c r="C324" s="379"/>
      <c r="D324" s="419"/>
      <c r="E324" s="406"/>
      <c r="F324" s="407"/>
      <c r="G324" s="384"/>
      <c r="H324" s="384"/>
      <c r="I324" s="384"/>
      <c r="J324" s="314"/>
      <c r="K324" s="316"/>
      <c r="L324" s="316"/>
      <c r="M324" s="316"/>
      <c r="N324" s="316"/>
      <c r="O324" s="316"/>
      <c r="P324" s="316"/>
    </row>
    <row r="325" spans="3:16" x14ac:dyDescent="0.3">
      <c r="C325" s="373"/>
      <c r="D325" s="420"/>
      <c r="E325" s="409"/>
      <c r="F325" s="421"/>
      <c r="G325" s="422"/>
      <c r="H325" s="422"/>
      <c r="I325" s="422"/>
      <c r="J325" s="376"/>
      <c r="K325" s="378"/>
      <c r="L325" s="378"/>
      <c r="M325" s="378"/>
      <c r="N325" s="378"/>
      <c r="O325" s="378"/>
      <c r="P325" s="378"/>
    </row>
    <row r="326" spans="3:16" x14ac:dyDescent="0.3">
      <c r="C326" s="373"/>
      <c r="D326" s="420"/>
      <c r="E326" s="409"/>
      <c r="F326" s="421"/>
      <c r="G326" s="422"/>
      <c r="H326" s="422"/>
      <c r="I326" s="422"/>
      <c r="J326" s="376"/>
      <c r="K326" s="378"/>
      <c r="L326" s="378"/>
      <c r="M326" s="378"/>
      <c r="N326" s="378"/>
      <c r="O326" s="378"/>
      <c r="P326" s="378"/>
    </row>
    <row r="327" spans="3:16" x14ac:dyDescent="0.3">
      <c r="C327" s="373"/>
      <c r="D327" s="420"/>
      <c r="E327" s="409"/>
      <c r="F327" s="421"/>
      <c r="G327" s="422"/>
      <c r="H327" s="422"/>
      <c r="I327" s="422"/>
      <c r="J327" s="376"/>
      <c r="K327" s="378"/>
      <c r="L327" s="378"/>
      <c r="M327" s="378"/>
      <c r="N327" s="378"/>
      <c r="O327" s="378"/>
      <c r="P327" s="378"/>
    </row>
    <row r="328" spans="3:16" x14ac:dyDescent="0.3">
      <c r="C328" s="373"/>
      <c r="D328" s="420"/>
      <c r="E328" s="409"/>
      <c r="F328" s="421"/>
      <c r="G328" s="422"/>
      <c r="H328" s="422"/>
      <c r="I328" s="422"/>
      <c r="J328" s="376"/>
      <c r="K328" s="378"/>
      <c r="L328" s="378"/>
      <c r="M328" s="378"/>
      <c r="N328" s="378"/>
      <c r="O328" s="378"/>
      <c r="P328" s="378"/>
    </row>
    <row r="329" spans="3:16" x14ac:dyDescent="0.3">
      <c r="C329" s="373"/>
      <c r="D329" s="420"/>
      <c r="E329" s="409"/>
      <c r="F329" s="421"/>
      <c r="G329" s="422"/>
      <c r="H329" s="422"/>
      <c r="I329" s="422"/>
      <c r="J329" s="376"/>
      <c r="K329" s="378"/>
      <c r="L329" s="378"/>
      <c r="M329" s="378"/>
      <c r="N329" s="378"/>
      <c r="O329" s="378"/>
      <c r="P329" s="378"/>
    </row>
    <row r="330" spans="3:16" x14ac:dyDescent="0.3">
      <c r="C330" s="373"/>
      <c r="D330" s="420"/>
      <c r="E330" s="409"/>
      <c r="F330" s="421"/>
      <c r="G330" s="422"/>
      <c r="H330" s="422"/>
      <c r="I330" s="422"/>
      <c r="J330" s="376"/>
      <c r="K330" s="378"/>
      <c r="L330" s="378"/>
      <c r="M330" s="378"/>
      <c r="N330" s="378"/>
      <c r="O330" s="378"/>
      <c r="P330" s="378"/>
    </row>
    <row r="331" spans="3:16" x14ac:dyDescent="0.3">
      <c r="C331" s="373"/>
      <c r="D331" s="420"/>
      <c r="E331" s="409"/>
      <c r="F331" s="421"/>
      <c r="G331" s="422"/>
      <c r="H331" s="422"/>
      <c r="I331" s="422"/>
      <c r="J331" s="376"/>
      <c r="K331" s="378"/>
      <c r="L331" s="378"/>
      <c r="M331" s="378"/>
      <c r="N331" s="378"/>
      <c r="O331" s="378"/>
      <c r="P331" s="378"/>
    </row>
    <row r="332" spans="3:16" x14ac:dyDescent="0.3">
      <c r="C332" s="373"/>
      <c r="D332" s="420"/>
      <c r="E332" s="409"/>
      <c r="F332" s="421"/>
      <c r="G332" s="422"/>
      <c r="H332" s="422"/>
      <c r="I332" s="422"/>
      <c r="J332" s="376"/>
      <c r="K332" s="378"/>
      <c r="L332" s="378"/>
      <c r="M332" s="378"/>
      <c r="N332" s="378"/>
      <c r="O332" s="378"/>
      <c r="P332" s="378"/>
    </row>
    <row r="333" spans="3:16" x14ac:dyDescent="0.3">
      <c r="C333" s="373"/>
      <c r="D333" s="420"/>
      <c r="E333" s="409"/>
      <c r="F333" s="421"/>
      <c r="G333" s="422"/>
      <c r="H333" s="422"/>
      <c r="I333" s="422"/>
      <c r="J333" s="376"/>
      <c r="K333" s="378"/>
      <c r="L333" s="378"/>
      <c r="M333" s="378"/>
      <c r="N333" s="378"/>
      <c r="O333" s="378"/>
      <c r="P333" s="378"/>
    </row>
    <row r="334" spans="3:16" x14ac:dyDescent="0.3">
      <c r="C334" s="373"/>
      <c r="D334" s="420"/>
      <c r="E334" s="409"/>
      <c r="F334" s="421"/>
      <c r="G334" s="422"/>
      <c r="H334" s="422"/>
      <c r="I334" s="422"/>
      <c r="J334" s="376"/>
      <c r="K334" s="378"/>
      <c r="L334" s="378"/>
      <c r="M334" s="378"/>
      <c r="N334" s="378"/>
      <c r="O334" s="378"/>
      <c r="P334" s="378"/>
    </row>
    <row r="335" spans="3:16" x14ac:dyDescent="0.3">
      <c r="C335" s="373"/>
      <c r="D335" s="420"/>
      <c r="E335" s="409"/>
      <c r="F335" s="421"/>
      <c r="G335" s="422"/>
      <c r="H335" s="422"/>
      <c r="I335" s="422"/>
      <c r="J335" s="376"/>
      <c r="K335" s="378"/>
      <c r="L335" s="378"/>
      <c r="M335" s="378"/>
      <c r="N335" s="378"/>
      <c r="O335" s="378"/>
      <c r="P335" s="378"/>
    </row>
    <row r="336" spans="3:16" x14ac:dyDescent="0.3">
      <c r="C336" s="379"/>
      <c r="D336" s="419"/>
      <c r="E336" s="313"/>
      <c r="F336" s="407"/>
      <c r="G336" s="384"/>
      <c r="H336" s="384"/>
      <c r="I336" s="384"/>
      <c r="J336" s="314"/>
      <c r="K336" s="316"/>
      <c r="L336" s="316"/>
      <c r="M336" s="316"/>
      <c r="N336" s="316"/>
      <c r="O336" s="316"/>
      <c r="P336" s="316"/>
    </row>
    <row r="337" spans="3:16" x14ac:dyDescent="0.3">
      <c r="C337" s="381"/>
      <c r="D337" s="419"/>
      <c r="E337" s="406"/>
      <c r="F337" s="407"/>
      <c r="G337" s="384"/>
      <c r="H337" s="384"/>
      <c r="I337" s="384"/>
      <c r="J337" s="314"/>
      <c r="K337" s="316"/>
      <c r="L337" s="316"/>
      <c r="M337" s="316"/>
      <c r="N337" s="316"/>
      <c r="O337" s="316"/>
      <c r="P337" s="316"/>
    </row>
    <row r="338" spans="3:16" x14ac:dyDescent="0.3">
      <c r="C338" s="381"/>
      <c r="D338" s="419"/>
      <c r="E338" s="406"/>
      <c r="F338" s="407"/>
      <c r="G338" s="384"/>
      <c r="H338" s="384"/>
      <c r="I338" s="384"/>
      <c r="J338" s="314"/>
      <c r="K338" s="316"/>
      <c r="L338" s="316"/>
      <c r="M338" s="316"/>
      <c r="N338" s="316"/>
      <c r="O338" s="316"/>
      <c r="P338" s="316"/>
    </row>
    <row r="339" spans="3:16" x14ac:dyDescent="0.3">
      <c r="C339" s="373"/>
      <c r="D339" s="420"/>
      <c r="E339" s="409"/>
      <c r="F339" s="421"/>
      <c r="G339" s="422"/>
      <c r="H339" s="422"/>
      <c r="I339" s="422"/>
      <c r="J339" s="376"/>
      <c r="K339" s="378"/>
      <c r="L339" s="378"/>
      <c r="M339" s="378"/>
      <c r="N339" s="378"/>
      <c r="O339" s="378"/>
      <c r="P339" s="378"/>
    </row>
    <row r="340" spans="3:16" x14ac:dyDescent="0.3">
      <c r="C340" s="373"/>
      <c r="D340" s="420"/>
      <c r="E340" s="409"/>
      <c r="F340" s="421"/>
      <c r="G340" s="422"/>
      <c r="H340" s="422"/>
      <c r="I340" s="422"/>
      <c r="J340" s="376"/>
      <c r="K340" s="378"/>
      <c r="L340" s="378"/>
      <c r="M340" s="378"/>
      <c r="N340" s="378"/>
      <c r="O340" s="378"/>
      <c r="P340" s="378"/>
    </row>
    <row r="341" spans="3:16" x14ac:dyDescent="0.3">
      <c r="C341" s="373"/>
      <c r="D341" s="420"/>
      <c r="E341" s="409"/>
      <c r="F341" s="421"/>
      <c r="G341" s="422"/>
      <c r="H341" s="422"/>
      <c r="I341" s="422"/>
      <c r="J341" s="376"/>
      <c r="K341" s="378"/>
      <c r="L341" s="378"/>
      <c r="M341" s="378"/>
      <c r="N341" s="378"/>
      <c r="O341" s="378"/>
      <c r="P341" s="378"/>
    </row>
    <row r="342" spans="3:16" x14ac:dyDescent="0.3">
      <c r="C342" s="373"/>
      <c r="D342" s="420"/>
      <c r="E342" s="409"/>
      <c r="F342" s="421"/>
      <c r="G342" s="422"/>
      <c r="H342" s="422"/>
      <c r="I342" s="422"/>
      <c r="J342" s="376"/>
      <c r="K342" s="378"/>
      <c r="L342" s="378"/>
      <c r="M342" s="378"/>
      <c r="N342" s="378"/>
      <c r="O342" s="378"/>
      <c r="P342" s="378"/>
    </row>
    <row r="343" spans="3:16" x14ac:dyDescent="0.3">
      <c r="C343" s="373"/>
      <c r="D343" s="420"/>
      <c r="E343" s="409"/>
      <c r="F343" s="421"/>
      <c r="G343" s="422"/>
      <c r="H343" s="422"/>
      <c r="I343" s="422"/>
      <c r="J343" s="376"/>
      <c r="K343" s="378"/>
      <c r="L343" s="378"/>
      <c r="M343" s="378"/>
      <c r="N343" s="378"/>
      <c r="O343" s="378"/>
      <c r="P343" s="378"/>
    </row>
    <row r="344" spans="3:16" x14ac:dyDescent="0.3">
      <c r="C344" s="373"/>
      <c r="D344" s="420"/>
      <c r="E344" s="409"/>
      <c r="F344" s="421"/>
      <c r="G344" s="422"/>
      <c r="H344" s="422"/>
      <c r="I344" s="422"/>
      <c r="J344" s="376"/>
      <c r="K344" s="378"/>
      <c r="L344" s="378"/>
      <c r="M344" s="378"/>
      <c r="N344" s="378"/>
      <c r="O344" s="378"/>
      <c r="P344" s="378"/>
    </row>
    <row r="345" spans="3:16" x14ac:dyDescent="0.3">
      <c r="C345" s="373"/>
      <c r="D345" s="420"/>
      <c r="E345" s="409"/>
      <c r="F345" s="421"/>
      <c r="G345" s="422"/>
      <c r="H345" s="422"/>
      <c r="I345" s="422"/>
      <c r="J345" s="376"/>
      <c r="K345" s="378"/>
      <c r="L345" s="378"/>
      <c r="M345" s="378"/>
      <c r="N345" s="378"/>
      <c r="O345" s="378"/>
      <c r="P345" s="378"/>
    </row>
    <row r="346" spans="3:16" x14ac:dyDescent="0.3">
      <c r="C346" s="373"/>
      <c r="D346" s="420"/>
      <c r="E346" s="409"/>
      <c r="F346" s="421"/>
      <c r="G346" s="422"/>
      <c r="H346" s="422"/>
      <c r="I346" s="422"/>
      <c r="J346" s="376"/>
      <c r="K346" s="378"/>
      <c r="L346" s="378"/>
      <c r="M346" s="378"/>
      <c r="N346" s="378"/>
      <c r="O346" s="378"/>
      <c r="P346" s="378"/>
    </row>
    <row r="347" spans="3:16" x14ac:dyDescent="0.3">
      <c r="C347" s="373"/>
      <c r="D347" s="420"/>
      <c r="E347" s="409"/>
      <c r="F347" s="421"/>
      <c r="G347" s="422"/>
      <c r="H347" s="422"/>
      <c r="I347" s="422"/>
      <c r="J347" s="376"/>
      <c r="K347" s="378"/>
      <c r="L347" s="378"/>
      <c r="M347" s="378"/>
      <c r="N347" s="378"/>
      <c r="O347" s="378"/>
      <c r="P347" s="378"/>
    </row>
    <row r="348" spans="3:16" x14ac:dyDescent="0.3">
      <c r="C348" s="373"/>
      <c r="D348" s="420"/>
      <c r="E348" s="409"/>
      <c r="F348" s="421"/>
      <c r="G348" s="422"/>
      <c r="H348" s="422"/>
      <c r="I348" s="422"/>
      <c r="J348" s="376"/>
      <c r="K348" s="378"/>
      <c r="L348" s="378"/>
      <c r="M348" s="378"/>
      <c r="N348" s="378"/>
      <c r="O348" s="378"/>
      <c r="P348" s="378"/>
    </row>
    <row r="349" spans="3:16" x14ac:dyDescent="0.3">
      <c r="C349" s="373"/>
      <c r="D349" s="420"/>
      <c r="E349" s="409"/>
      <c r="F349" s="421"/>
      <c r="G349" s="422"/>
      <c r="H349" s="422"/>
      <c r="I349" s="422"/>
      <c r="J349" s="376"/>
      <c r="K349" s="378"/>
      <c r="L349" s="378"/>
      <c r="M349" s="378"/>
      <c r="N349" s="378"/>
      <c r="O349" s="378"/>
      <c r="P349" s="378"/>
    </row>
    <row r="350" spans="3:16" x14ac:dyDescent="0.3">
      <c r="C350" s="373"/>
      <c r="D350" s="420"/>
      <c r="E350" s="409"/>
      <c r="F350" s="421"/>
      <c r="G350" s="422"/>
      <c r="H350" s="422"/>
      <c r="I350" s="422"/>
      <c r="J350" s="376"/>
      <c r="K350" s="378"/>
      <c r="L350" s="378"/>
      <c r="M350" s="378"/>
      <c r="N350" s="378"/>
      <c r="O350" s="378"/>
      <c r="P350" s="378"/>
    </row>
    <row r="351" spans="3:16" x14ac:dyDescent="0.3">
      <c r="C351" s="379"/>
      <c r="D351" s="419"/>
      <c r="E351" s="313"/>
      <c r="F351" s="407"/>
      <c r="G351" s="384"/>
      <c r="H351" s="384"/>
      <c r="I351" s="384"/>
      <c r="J351" s="314"/>
      <c r="K351" s="316"/>
      <c r="L351" s="316"/>
      <c r="M351" s="316"/>
      <c r="N351" s="316"/>
      <c r="O351" s="316"/>
      <c r="P351" s="316"/>
    </row>
    <row r="352" spans="3:16" x14ac:dyDescent="0.3">
      <c r="C352" s="373"/>
      <c r="D352" s="420"/>
      <c r="E352" s="409"/>
      <c r="F352" s="421"/>
      <c r="G352" s="422"/>
      <c r="H352" s="422"/>
      <c r="I352" s="422"/>
      <c r="J352" s="376"/>
      <c r="K352" s="378"/>
      <c r="L352" s="378"/>
      <c r="M352" s="378"/>
      <c r="N352" s="378"/>
      <c r="O352" s="378"/>
      <c r="P352" s="378"/>
    </row>
    <row r="353" spans="3:16" x14ac:dyDescent="0.3">
      <c r="C353" s="373"/>
      <c r="D353" s="420"/>
      <c r="E353" s="409"/>
      <c r="F353" s="421"/>
      <c r="G353" s="422"/>
      <c r="H353" s="422"/>
      <c r="I353" s="422"/>
      <c r="J353" s="376"/>
      <c r="K353" s="378"/>
      <c r="L353" s="378"/>
      <c r="M353" s="378"/>
      <c r="N353" s="378"/>
      <c r="O353" s="378"/>
      <c r="P353" s="378"/>
    </row>
    <row r="354" spans="3:16" x14ac:dyDescent="0.3">
      <c r="C354" s="373"/>
      <c r="D354" s="420"/>
      <c r="E354" s="409"/>
      <c r="F354" s="421"/>
      <c r="G354" s="422"/>
      <c r="H354" s="422"/>
      <c r="I354" s="422"/>
      <c r="J354" s="376"/>
      <c r="K354" s="378"/>
      <c r="L354" s="378"/>
      <c r="M354" s="378"/>
      <c r="N354" s="378"/>
      <c r="O354" s="378"/>
      <c r="P354" s="378"/>
    </row>
    <row r="355" spans="3:16" x14ac:dyDescent="0.3">
      <c r="C355" s="373"/>
      <c r="D355" s="420"/>
      <c r="E355" s="409"/>
      <c r="F355" s="421"/>
      <c r="G355" s="422"/>
      <c r="H355" s="422"/>
      <c r="I355" s="422"/>
      <c r="J355" s="376"/>
      <c r="K355" s="378"/>
      <c r="L355" s="378"/>
      <c r="M355" s="378"/>
      <c r="N355" s="378"/>
      <c r="O355" s="378"/>
      <c r="P355" s="378"/>
    </row>
    <row r="356" spans="3:16" x14ac:dyDescent="0.3">
      <c r="C356" s="373"/>
      <c r="D356" s="420"/>
      <c r="E356" s="409"/>
      <c r="F356" s="421"/>
      <c r="G356" s="422"/>
      <c r="H356" s="422"/>
      <c r="I356" s="422"/>
      <c r="J356" s="376"/>
      <c r="K356" s="378"/>
      <c r="L356" s="378"/>
      <c r="M356" s="378"/>
      <c r="N356" s="378"/>
      <c r="O356" s="378"/>
      <c r="P356" s="378"/>
    </row>
    <row r="357" spans="3:16" x14ac:dyDescent="0.3">
      <c r="C357" s="373"/>
      <c r="D357" s="420"/>
      <c r="E357" s="409"/>
      <c r="F357" s="421"/>
      <c r="G357" s="422"/>
      <c r="H357" s="422"/>
      <c r="I357" s="422"/>
      <c r="J357" s="376"/>
      <c r="K357" s="378"/>
      <c r="L357" s="378"/>
      <c r="M357" s="378"/>
      <c r="N357" s="378"/>
      <c r="O357" s="378"/>
      <c r="P357" s="378"/>
    </row>
    <row r="358" spans="3:16" x14ac:dyDescent="0.3">
      <c r="C358" s="379"/>
      <c r="D358" s="419"/>
      <c r="E358" s="313"/>
      <c r="F358" s="407"/>
      <c r="G358" s="384"/>
      <c r="H358" s="384"/>
      <c r="I358" s="384"/>
      <c r="J358" s="314"/>
      <c r="K358" s="316"/>
      <c r="L358" s="316"/>
      <c r="M358" s="316"/>
      <c r="N358" s="316"/>
      <c r="O358" s="316"/>
      <c r="P358" s="316"/>
    </row>
    <row r="359" spans="3:16" x14ac:dyDescent="0.3">
      <c r="C359" s="379"/>
      <c r="D359" s="419"/>
      <c r="E359" s="313"/>
      <c r="F359" s="407"/>
      <c r="G359" s="384"/>
      <c r="H359" s="384"/>
      <c r="I359" s="384"/>
      <c r="J359" s="314"/>
      <c r="K359" s="316"/>
      <c r="L359" s="316"/>
      <c r="M359" s="316"/>
      <c r="N359" s="316"/>
      <c r="O359" s="316"/>
      <c r="P359" s="316"/>
    </row>
    <row r="360" spans="3:16" x14ac:dyDescent="0.3">
      <c r="C360" s="373"/>
      <c r="D360" s="420"/>
      <c r="E360" s="409"/>
      <c r="F360" s="421"/>
      <c r="G360" s="422"/>
      <c r="H360" s="422"/>
      <c r="I360" s="422"/>
      <c r="J360" s="376"/>
      <c r="K360" s="378"/>
      <c r="L360" s="378"/>
      <c r="M360" s="378"/>
      <c r="N360" s="378"/>
      <c r="O360" s="378"/>
      <c r="P360" s="378"/>
    </row>
    <row r="361" spans="3:16" x14ac:dyDescent="0.3">
      <c r="C361" s="373"/>
      <c r="D361" s="420"/>
      <c r="E361" s="409"/>
      <c r="F361" s="421"/>
      <c r="G361" s="422"/>
      <c r="H361" s="422"/>
      <c r="I361" s="422"/>
      <c r="J361" s="376"/>
      <c r="K361" s="378"/>
      <c r="L361" s="378"/>
      <c r="M361" s="378"/>
      <c r="N361" s="378"/>
      <c r="O361" s="378"/>
      <c r="P361" s="378"/>
    </row>
    <row r="362" spans="3:16" x14ac:dyDescent="0.3">
      <c r="C362" s="373"/>
      <c r="D362" s="420"/>
      <c r="E362" s="409"/>
      <c r="F362" s="421"/>
      <c r="G362" s="422"/>
      <c r="H362" s="422"/>
      <c r="I362" s="422"/>
      <c r="J362" s="376"/>
      <c r="K362" s="378"/>
      <c r="L362" s="378"/>
      <c r="M362" s="378"/>
      <c r="N362" s="378"/>
      <c r="O362" s="378"/>
      <c r="P362" s="378"/>
    </row>
    <row r="363" spans="3:16" x14ac:dyDescent="0.3">
      <c r="C363" s="373"/>
      <c r="D363" s="420"/>
      <c r="E363" s="409"/>
      <c r="F363" s="421"/>
      <c r="G363" s="422"/>
      <c r="H363" s="422"/>
      <c r="I363" s="422"/>
      <c r="J363" s="376"/>
      <c r="K363" s="378"/>
      <c r="L363" s="378"/>
      <c r="M363" s="378"/>
      <c r="N363" s="378"/>
      <c r="O363" s="378"/>
      <c r="P363" s="378"/>
    </row>
    <row r="364" spans="3:16" x14ac:dyDescent="0.3">
      <c r="C364" s="373"/>
      <c r="D364" s="420"/>
      <c r="E364" s="409"/>
      <c r="F364" s="421"/>
      <c r="G364" s="422"/>
      <c r="H364" s="422"/>
      <c r="I364" s="422"/>
      <c r="J364" s="376"/>
      <c r="K364" s="378"/>
      <c r="L364" s="378"/>
      <c r="M364" s="378"/>
      <c r="N364" s="378"/>
      <c r="O364" s="378"/>
      <c r="P364" s="378"/>
    </row>
    <row r="365" spans="3:16" x14ac:dyDescent="0.3">
      <c r="C365" s="373"/>
      <c r="D365" s="420"/>
      <c r="E365" s="409"/>
      <c r="F365" s="421"/>
      <c r="G365" s="422"/>
      <c r="H365" s="422"/>
      <c r="I365" s="422"/>
      <c r="J365" s="376"/>
      <c r="K365" s="378"/>
      <c r="L365" s="378"/>
      <c r="M365" s="378"/>
      <c r="N365" s="378"/>
      <c r="O365" s="378"/>
      <c r="P365" s="378"/>
    </row>
    <row r="366" spans="3:16" x14ac:dyDescent="0.3">
      <c r="C366" s="373"/>
      <c r="D366" s="420"/>
      <c r="E366" s="409"/>
      <c r="F366" s="421"/>
      <c r="G366" s="422"/>
      <c r="H366" s="422"/>
      <c r="I366" s="422"/>
      <c r="J366" s="376"/>
      <c r="K366" s="378"/>
      <c r="L366" s="378"/>
      <c r="M366" s="378"/>
      <c r="N366" s="378"/>
      <c r="O366" s="378"/>
      <c r="P366" s="378"/>
    </row>
    <row r="367" spans="3:16" x14ac:dyDescent="0.3">
      <c r="C367" s="385"/>
      <c r="D367" s="403"/>
      <c r="E367" s="404"/>
      <c r="F367" s="405"/>
      <c r="G367" s="384"/>
      <c r="H367" s="384"/>
      <c r="I367" s="384"/>
      <c r="J367" s="314"/>
      <c r="K367" s="387"/>
      <c r="L367" s="387"/>
      <c r="M367" s="387"/>
      <c r="N367" s="387"/>
      <c r="O367" s="387"/>
      <c r="P367" s="387"/>
    </row>
    <row r="368" spans="3:16" x14ac:dyDescent="0.3">
      <c r="C368" s="379"/>
      <c r="D368" s="402"/>
      <c r="E368" s="313"/>
      <c r="F368" s="317"/>
      <c r="G368" s="315"/>
      <c r="H368" s="315"/>
      <c r="I368" s="315"/>
      <c r="J368" s="314"/>
      <c r="K368" s="316"/>
      <c r="L368" s="316"/>
      <c r="M368" s="316"/>
      <c r="N368" s="316"/>
      <c r="O368" s="316"/>
      <c r="P368" s="316"/>
    </row>
    <row r="369" spans="3:16" x14ac:dyDescent="0.3">
      <c r="C369" s="373"/>
      <c r="D369" s="408"/>
      <c r="E369" s="409"/>
      <c r="F369" s="410"/>
      <c r="G369" s="377"/>
      <c r="H369" s="377"/>
      <c r="I369" s="377"/>
      <c r="J369" s="376"/>
      <c r="K369" s="378"/>
      <c r="L369" s="378"/>
      <c r="M369" s="378"/>
      <c r="N369" s="378"/>
      <c r="O369" s="378"/>
      <c r="P369" s="378"/>
    </row>
    <row r="370" spans="3:16" x14ac:dyDescent="0.3">
      <c r="C370" s="373"/>
      <c r="D370" s="408"/>
      <c r="E370" s="409"/>
      <c r="F370" s="410"/>
      <c r="G370" s="377"/>
      <c r="H370" s="377"/>
      <c r="I370" s="377"/>
      <c r="J370" s="376"/>
      <c r="K370" s="378"/>
      <c r="L370" s="378"/>
      <c r="M370" s="378"/>
      <c r="N370" s="378"/>
      <c r="O370" s="378"/>
      <c r="P370" s="378"/>
    </row>
    <row r="371" spans="3:16" x14ac:dyDescent="0.3">
      <c r="C371" s="373"/>
      <c r="D371" s="408"/>
      <c r="E371" s="409"/>
      <c r="F371" s="410"/>
      <c r="G371" s="377"/>
      <c r="H371" s="377"/>
      <c r="I371" s="377"/>
      <c r="J371" s="376"/>
      <c r="K371" s="378"/>
      <c r="L371" s="378"/>
      <c r="M371" s="378"/>
      <c r="N371" s="378"/>
      <c r="O371" s="378"/>
      <c r="P371" s="378"/>
    </row>
    <row r="372" spans="3:16" x14ac:dyDescent="0.3">
      <c r="C372" s="373"/>
      <c r="D372" s="408"/>
      <c r="E372" s="409"/>
      <c r="F372" s="410"/>
      <c r="G372" s="377"/>
      <c r="H372" s="377"/>
      <c r="I372" s="377"/>
      <c r="J372" s="376"/>
      <c r="K372" s="378"/>
      <c r="L372" s="378"/>
      <c r="M372" s="378"/>
      <c r="N372" s="378"/>
      <c r="O372" s="378"/>
      <c r="P372" s="378"/>
    </row>
    <row r="373" spans="3:16" x14ac:dyDescent="0.3">
      <c r="C373" s="373"/>
      <c r="D373" s="408"/>
      <c r="E373" s="409"/>
      <c r="F373" s="410"/>
      <c r="G373" s="377"/>
      <c r="H373" s="377"/>
      <c r="I373" s="377"/>
      <c r="J373" s="376"/>
      <c r="K373" s="378"/>
      <c r="L373" s="378"/>
      <c r="M373" s="378"/>
      <c r="N373" s="378"/>
      <c r="O373" s="378"/>
      <c r="P373" s="378"/>
    </row>
    <row r="374" spans="3:16" x14ac:dyDescent="0.3">
      <c r="C374" s="373"/>
      <c r="D374" s="408"/>
      <c r="E374" s="409"/>
      <c r="F374" s="410"/>
      <c r="G374" s="377"/>
      <c r="H374" s="377"/>
      <c r="I374" s="377"/>
      <c r="J374" s="376"/>
      <c r="K374" s="378"/>
      <c r="L374" s="378"/>
      <c r="M374" s="378"/>
      <c r="N374" s="378"/>
      <c r="O374" s="378"/>
      <c r="P374" s="378"/>
    </row>
    <row r="375" spans="3:16" x14ac:dyDescent="0.3">
      <c r="C375" s="373"/>
      <c r="D375" s="408"/>
      <c r="E375" s="409"/>
      <c r="F375" s="410"/>
      <c r="G375" s="377"/>
      <c r="H375" s="377"/>
      <c r="I375" s="377"/>
      <c r="J375" s="376"/>
      <c r="K375" s="378"/>
      <c r="L375" s="378"/>
      <c r="M375" s="378"/>
      <c r="N375" s="378"/>
      <c r="O375" s="378"/>
      <c r="P375" s="378"/>
    </row>
    <row r="376" spans="3:16" x14ac:dyDescent="0.3">
      <c r="C376" s="379"/>
      <c r="D376" s="402"/>
      <c r="E376" s="313"/>
      <c r="F376" s="317"/>
      <c r="G376" s="315"/>
      <c r="H376" s="315"/>
      <c r="I376" s="315"/>
      <c r="J376" s="314"/>
      <c r="K376" s="316"/>
      <c r="L376" s="316"/>
      <c r="M376" s="316"/>
      <c r="N376" s="316"/>
      <c r="O376" s="316"/>
      <c r="P376" s="316"/>
    </row>
    <row r="377" spans="3:16" x14ac:dyDescent="0.3">
      <c r="C377" s="373"/>
      <c r="D377" s="408"/>
      <c r="E377" s="409"/>
      <c r="F377" s="410"/>
      <c r="G377" s="377"/>
      <c r="H377" s="377"/>
      <c r="I377" s="377"/>
      <c r="J377" s="376"/>
      <c r="K377" s="378"/>
      <c r="L377" s="378"/>
      <c r="M377" s="378"/>
      <c r="N377" s="378"/>
      <c r="O377" s="378"/>
      <c r="P377" s="378"/>
    </row>
    <row r="378" spans="3:16" x14ac:dyDescent="0.3">
      <c r="C378" s="373"/>
      <c r="D378" s="408"/>
      <c r="E378" s="409"/>
      <c r="F378" s="410"/>
      <c r="G378" s="377"/>
      <c r="H378" s="377"/>
      <c r="I378" s="377"/>
      <c r="J378" s="376"/>
      <c r="K378" s="378"/>
      <c r="L378" s="378"/>
      <c r="M378" s="378"/>
      <c r="N378" s="378"/>
      <c r="O378" s="378"/>
      <c r="P378" s="378"/>
    </row>
    <row r="379" spans="3:16" x14ac:dyDescent="0.3">
      <c r="C379" s="373"/>
      <c r="D379" s="408"/>
      <c r="E379" s="409"/>
      <c r="F379" s="410"/>
      <c r="G379" s="377"/>
      <c r="H379" s="377"/>
      <c r="I379" s="377"/>
      <c r="J379" s="376"/>
      <c r="K379" s="378"/>
      <c r="L379" s="378"/>
      <c r="M379" s="378"/>
      <c r="N379" s="378"/>
      <c r="O379" s="378"/>
      <c r="P379" s="378"/>
    </row>
    <row r="380" spans="3:16" x14ac:dyDescent="0.3">
      <c r="C380" s="373"/>
      <c r="D380" s="408"/>
      <c r="E380" s="409"/>
      <c r="F380" s="410"/>
      <c r="G380" s="377"/>
      <c r="H380" s="377"/>
      <c r="I380" s="377"/>
      <c r="J380" s="376"/>
      <c r="K380" s="378"/>
      <c r="L380" s="378"/>
      <c r="M380" s="378"/>
      <c r="N380" s="378"/>
      <c r="O380" s="378"/>
      <c r="P380" s="378"/>
    </row>
    <row r="381" spans="3:16" x14ac:dyDescent="0.3">
      <c r="C381" s="373"/>
      <c r="D381" s="408"/>
      <c r="E381" s="409"/>
      <c r="F381" s="410"/>
      <c r="G381" s="377"/>
      <c r="H381" s="377"/>
      <c r="I381" s="377"/>
      <c r="J381" s="376"/>
      <c r="K381" s="378"/>
      <c r="L381" s="378"/>
      <c r="M381" s="378"/>
      <c r="N381" s="378"/>
      <c r="O381" s="378"/>
      <c r="P381" s="378"/>
    </row>
    <row r="382" spans="3:16" x14ac:dyDescent="0.3">
      <c r="C382" s="373"/>
      <c r="D382" s="408"/>
      <c r="E382" s="409"/>
      <c r="F382" s="410"/>
      <c r="G382" s="377"/>
      <c r="H382" s="377"/>
      <c r="I382" s="377"/>
      <c r="J382" s="376"/>
      <c r="K382" s="378"/>
      <c r="L382" s="378"/>
      <c r="M382" s="378"/>
      <c r="N382" s="378"/>
      <c r="O382" s="378"/>
      <c r="P382" s="378"/>
    </row>
    <row r="383" spans="3:16" x14ac:dyDescent="0.3">
      <c r="C383" s="373"/>
      <c r="D383" s="408"/>
      <c r="E383" s="409"/>
      <c r="F383" s="410"/>
      <c r="G383" s="377"/>
      <c r="H383" s="377"/>
      <c r="I383" s="377"/>
      <c r="J383" s="376"/>
      <c r="K383" s="378"/>
      <c r="L383" s="378"/>
      <c r="M383" s="378"/>
      <c r="N383" s="378"/>
      <c r="O383" s="378"/>
      <c r="P383" s="378"/>
    </row>
    <row r="384" spans="3:16" x14ac:dyDescent="0.3">
      <c r="C384" s="379"/>
      <c r="D384" s="402"/>
      <c r="E384" s="313"/>
      <c r="F384" s="317"/>
      <c r="G384" s="315"/>
      <c r="H384" s="315"/>
      <c r="I384" s="315"/>
      <c r="J384" s="314"/>
      <c r="K384" s="316"/>
      <c r="L384" s="316"/>
      <c r="M384" s="316"/>
      <c r="N384" s="316"/>
      <c r="O384" s="316"/>
      <c r="P384" s="316"/>
    </row>
    <row r="385" spans="3:16" x14ac:dyDescent="0.3">
      <c r="C385" s="373"/>
      <c r="D385" s="408"/>
      <c r="E385" s="409"/>
      <c r="F385" s="410"/>
      <c r="G385" s="377"/>
      <c r="H385" s="377"/>
      <c r="I385" s="377"/>
      <c r="J385" s="376"/>
      <c r="K385" s="378"/>
      <c r="L385" s="378"/>
      <c r="M385" s="378"/>
      <c r="N385" s="378"/>
      <c r="O385" s="378"/>
      <c r="P385" s="378"/>
    </row>
    <row r="386" spans="3:16" x14ac:dyDescent="0.3">
      <c r="C386" s="373"/>
      <c r="D386" s="408"/>
      <c r="E386" s="409"/>
      <c r="F386" s="410"/>
      <c r="G386" s="377"/>
      <c r="H386" s="377"/>
      <c r="I386" s="377"/>
      <c r="J386" s="376"/>
      <c r="K386" s="378"/>
      <c r="L386" s="378"/>
      <c r="M386" s="378"/>
      <c r="N386" s="378"/>
      <c r="O386" s="378"/>
      <c r="P386" s="378"/>
    </row>
    <row r="387" spans="3:16" x14ac:dyDescent="0.3">
      <c r="C387" s="373"/>
      <c r="D387" s="408"/>
      <c r="E387" s="409"/>
      <c r="F387" s="410"/>
      <c r="G387" s="377"/>
      <c r="H387" s="377"/>
      <c r="I387" s="377"/>
      <c r="J387" s="376"/>
      <c r="K387" s="378"/>
      <c r="L387" s="378"/>
      <c r="M387" s="378"/>
      <c r="N387" s="378"/>
      <c r="O387" s="378"/>
      <c r="P387" s="378"/>
    </row>
    <row r="388" spans="3:16" x14ac:dyDescent="0.3">
      <c r="C388" s="373"/>
      <c r="D388" s="408"/>
      <c r="E388" s="409"/>
      <c r="F388" s="410"/>
      <c r="G388" s="377"/>
      <c r="H388" s="377"/>
      <c r="I388" s="377"/>
      <c r="J388" s="376"/>
      <c r="K388" s="378"/>
      <c r="L388" s="378"/>
      <c r="M388" s="378"/>
      <c r="N388" s="378"/>
      <c r="O388" s="378"/>
      <c r="P388" s="378"/>
    </row>
    <row r="389" spans="3:16" x14ac:dyDescent="0.3">
      <c r="C389" s="373"/>
      <c r="D389" s="408"/>
      <c r="E389" s="409"/>
      <c r="F389" s="410"/>
      <c r="G389" s="377"/>
      <c r="H389" s="377"/>
      <c r="I389" s="377"/>
      <c r="J389" s="376"/>
      <c r="K389" s="378"/>
      <c r="L389" s="378"/>
      <c r="M389" s="378"/>
      <c r="N389" s="378"/>
      <c r="O389" s="378"/>
      <c r="P389" s="378"/>
    </row>
    <row r="390" spans="3:16" x14ac:dyDescent="0.3">
      <c r="C390" s="373"/>
      <c r="D390" s="408"/>
      <c r="E390" s="409"/>
      <c r="F390" s="410"/>
      <c r="G390" s="377"/>
      <c r="H390" s="377"/>
      <c r="I390" s="377"/>
      <c r="J390" s="376"/>
      <c r="K390" s="378"/>
      <c r="L390" s="378"/>
      <c r="M390" s="378"/>
      <c r="N390" s="378"/>
      <c r="O390" s="378"/>
      <c r="P390" s="378"/>
    </row>
    <row r="391" spans="3:16" x14ac:dyDescent="0.3">
      <c r="C391" s="373"/>
      <c r="D391" s="408"/>
      <c r="E391" s="409"/>
      <c r="F391" s="410"/>
      <c r="G391" s="377"/>
      <c r="H391" s="377"/>
      <c r="I391" s="377"/>
      <c r="J391" s="376"/>
      <c r="K391" s="378"/>
      <c r="L391" s="378"/>
      <c r="M391" s="378"/>
      <c r="N391" s="378"/>
      <c r="O391" s="378"/>
      <c r="P391" s="378"/>
    </row>
    <row r="392" spans="3:16" x14ac:dyDescent="0.3">
      <c r="C392" s="373"/>
      <c r="D392" s="408"/>
      <c r="E392" s="409"/>
      <c r="F392" s="410"/>
      <c r="G392" s="377"/>
      <c r="H392" s="377"/>
      <c r="I392" s="377"/>
      <c r="J392" s="376"/>
      <c r="K392" s="378"/>
      <c r="L392" s="378"/>
      <c r="M392" s="378"/>
      <c r="N392" s="378"/>
      <c r="O392" s="378"/>
      <c r="P392" s="378"/>
    </row>
    <row r="393" spans="3:16" x14ac:dyDescent="0.3">
      <c r="C393" s="385"/>
      <c r="D393" s="403"/>
      <c r="E393" s="404"/>
      <c r="F393" s="405"/>
      <c r="G393" s="384"/>
      <c r="H393" s="384"/>
      <c r="I393" s="384"/>
      <c r="J393" s="314"/>
      <c r="K393" s="387"/>
      <c r="L393" s="387"/>
      <c r="M393" s="387"/>
      <c r="N393" s="387"/>
      <c r="O393" s="387"/>
      <c r="P393" s="387"/>
    </row>
    <row r="394" spans="3:16" x14ac:dyDescent="0.3">
      <c r="C394" s="379"/>
      <c r="D394" s="402"/>
      <c r="E394" s="313"/>
      <c r="F394" s="317"/>
      <c r="G394" s="315"/>
      <c r="H394" s="315"/>
      <c r="I394" s="315"/>
      <c r="J394" s="314"/>
      <c r="K394" s="316"/>
      <c r="L394" s="316"/>
      <c r="M394" s="316"/>
      <c r="N394" s="316"/>
      <c r="O394" s="316"/>
      <c r="P394" s="316"/>
    </row>
    <row r="395" spans="3:16" x14ac:dyDescent="0.3">
      <c r="C395" s="373"/>
      <c r="D395" s="408"/>
      <c r="E395" s="409"/>
      <c r="F395" s="410"/>
      <c r="G395" s="377"/>
      <c r="H395" s="377"/>
      <c r="I395" s="377"/>
      <c r="J395" s="376"/>
      <c r="K395" s="378"/>
      <c r="L395" s="378"/>
      <c r="M395" s="378"/>
      <c r="N395" s="378"/>
      <c r="O395" s="378"/>
      <c r="P395" s="378"/>
    </row>
    <row r="396" spans="3:16" x14ac:dyDescent="0.3">
      <c r="C396" s="373"/>
      <c r="D396" s="408"/>
      <c r="E396" s="409"/>
      <c r="F396" s="410"/>
      <c r="G396" s="377"/>
      <c r="H396" s="377"/>
      <c r="I396" s="377"/>
      <c r="J396" s="376"/>
      <c r="K396" s="378"/>
      <c r="L396" s="378"/>
      <c r="M396" s="378"/>
      <c r="N396" s="378"/>
      <c r="O396" s="378"/>
      <c r="P396" s="378"/>
    </row>
    <row r="397" spans="3:16" x14ac:dyDescent="0.3">
      <c r="C397" s="373"/>
      <c r="D397" s="408"/>
      <c r="E397" s="409"/>
      <c r="F397" s="410"/>
      <c r="G397" s="377"/>
      <c r="H397" s="377"/>
      <c r="I397" s="377"/>
      <c r="J397" s="376"/>
      <c r="K397" s="378"/>
      <c r="L397" s="378"/>
      <c r="M397" s="378"/>
      <c r="N397" s="378"/>
      <c r="O397" s="378"/>
      <c r="P397" s="378"/>
    </row>
    <row r="398" spans="3:16" x14ac:dyDescent="0.3">
      <c r="C398" s="373"/>
      <c r="D398" s="408"/>
      <c r="E398" s="409"/>
      <c r="F398" s="410"/>
      <c r="G398" s="377"/>
      <c r="H398" s="377"/>
      <c r="I398" s="377"/>
      <c r="J398" s="376"/>
      <c r="K398" s="378"/>
      <c r="L398" s="378"/>
      <c r="M398" s="378"/>
      <c r="N398" s="378"/>
      <c r="O398" s="378"/>
      <c r="P398" s="378"/>
    </row>
    <row r="399" spans="3:16" x14ac:dyDescent="0.3">
      <c r="C399" s="373"/>
      <c r="D399" s="408"/>
      <c r="E399" s="409"/>
      <c r="F399" s="410"/>
      <c r="G399" s="377"/>
      <c r="H399" s="377"/>
      <c r="I399" s="377"/>
      <c r="J399" s="376"/>
      <c r="K399" s="378"/>
      <c r="L399" s="378"/>
      <c r="M399" s="378"/>
      <c r="N399" s="378"/>
      <c r="O399" s="378"/>
      <c r="P399" s="378"/>
    </row>
    <row r="400" spans="3:16" x14ac:dyDescent="0.3">
      <c r="C400" s="373"/>
      <c r="D400" s="408"/>
      <c r="E400" s="409"/>
      <c r="F400" s="410"/>
      <c r="G400" s="377"/>
      <c r="H400" s="377"/>
      <c r="I400" s="377"/>
      <c r="J400" s="376"/>
      <c r="K400" s="378"/>
      <c r="L400" s="378"/>
      <c r="M400" s="378"/>
      <c r="N400" s="378"/>
      <c r="O400" s="378"/>
      <c r="P400" s="378"/>
    </row>
    <row r="401" spans="3:16" x14ac:dyDescent="0.3">
      <c r="C401" s="373"/>
      <c r="D401" s="408"/>
      <c r="E401" s="409"/>
      <c r="F401" s="410"/>
      <c r="G401" s="377"/>
      <c r="H401" s="377"/>
      <c r="I401" s="377"/>
      <c r="J401" s="376"/>
      <c r="K401" s="378"/>
      <c r="L401" s="378"/>
      <c r="M401" s="378"/>
      <c r="N401" s="378"/>
      <c r="O401" s="378"/>
      <c r="P401" s="378"/>
    </row>
    <row r="402" spans="3:16" x14ac:dyDescent="0.3">
      <c r="C402" s="373"/>
      <c r="D402" s="408"/>
      <c r="E402" s="409"/>
      <c r="F402" s="410"/>
      <c r="G402" s="377"/>
      <c r="H402" s="377"/>
      <c r="I402" s="377"/>
      <c r="J402" s="376"/>
      <c r="K402" s="378"/>
      <c r="L402" s="378"/>
      <c r="M402" s="378"/>
      <c r="N402" s="378"/>
      <c r="O402" s="378"/>
      <c r="P402" s="378"/>
    </row>
    <row r="403" spans="3:16" x14ac:dyDescent="0.3">
      <c r="C403" s="373"/>
      <c r="D403" s="408"/>
      <c r="E403" s="409"/>
      <c r="F403" s="410"/>
      <c r="G403" s="377"/>
      <c r="H403" s="377"/>
      <c r="I403" s="377"/>
      <c r="J403" s="376"/>
      <c r="K403" s="378"/>
      <c r="L403" s="378"/>
      <c r="M403" s="378"/>
      <c r="N403" s="378"/>
      <c r="O403" s="378"/>
      <c r="P403" s="378"/>
    </row>
    <row r="404" spans="3:16" x14ac:dyDescent="0.3">
      <c r="C404" s="373"/>
      <c r="D404" s="408"/>
      <c r="E404" s="409"/>
      <c r="F404" s="410"/>
      <c r="G404" s="377"/>
      <c r="H404" s="377"/>
      <c r="I404" s="377"/>
      <c r="J404" s="376"/>
      <c r="K404" s="378"/>
      <c r="L404" s="378"/>
      <c r="M404" s="378"/>
      <c r="N404" s="378"/>
      <c r="O404" s="378"/>
      <c r="P404" s="378"/>
    </row>
    <row r="405" spans="3:16" x14ac:dyDescent="0.3">
      <c r="C405" s="373"/>
      <c r="D405" s="408"/>
      <c r="E405" s="409"/>
      <c r="F405" s="410"/>
      <c r="G405" s="377"/>
      <c r="H405" s="377"/>
      <c r="I405" s="377"/>
      <c r="J405" s="376"/>
      <c r="K405" s="378"/>
      <c r="L405" s="378"/>
      <c r="M405" s="378"/>
      <c r="N405" s="378"/>
      <c r="O405" s="378"/>
      <c r="P405" s="378"/>
    </row>
    <row r="406" spans="3:16" x14ac:dyDescent="0.3">
      <c r="C406" s="373"/>
      <c r="D406" s="408"/>
      <c r="E406" s="409"/>
      <c r="F406" s="410"/>
      <c r="G406" s="377"/>
      <c r="H406" s="377"/>
      <c r="I406" s="377"/>
      <c r="J406" s="376"/>
      <c r="K406" s="378"/>
      <c r="L406" s="378"/>
      <c r="M406" s="378"/>
      <c r="N406" s="378"/>
      <c r="O406" s="378"/>
      <c r="P406" s="378"/>
    </row>
    <row r="407" spans="3:16" x14ac:dyDescent="0.3">
      <c r="C407" s="373"/>
      <c r="D407" s="408"/>
      <c r="E407" s="409"/>
      <c r="F407" s="410"/>
      <c r="G407" s="377"/>
      <c r="H407" s="377"/>
      <c r="I407" s="377"/>
      <c r="J407" s="376"/>
      <c r="K407" s="378"/>
      <c r="L407" s="378"/>
      <c r="M407" s="378"/>
      <c r="N407" s="378"/>
      <c r="O407" s="378"/>
      <c r="P407" s="378"/>
    </row>
    <row r="408" spans="3:16" x14ac:dyDescent="0.3">
      <c r="C408" s="373"/>
      <c r="D408" s="408"/>
      <c r="E408" s="409"/>
      <c r="F408" s="410"/>
      <c r="G408" s="377"/>
      <c r="H408" s="377"/>
      <c r="I408" s="377"/>
      <c r="J408" s="376"/>
      <c r="K408" s="378"/>
      <c r="L408" s="378"/>
      <c r="M408" s="378"/>
      <c r="N408" s="378"/>
      <c r="O408" s="378"/>
      <c r="P408" s="378"/>
    </row>
    <row r="409" spans="3:16" x14ac:dyDescent="0.3">
      <c r="C409" s="373"/>
      <c r="D409" s="408"/>
      <c r="E409" s="409"/>
      <c r="F409" s="410"/>
      <c r="G409" s="377"/>
      <c r="H409" s="377"/>
      <c r="I409" s="377"/>
      <c r="J409" s="376"/>
      <c r="K409" s="378"/>
      <c r="L409" s="378"/>
      <c r="M409" s="378"/>
      <c r="N409" s="378"/>
      <c r="O409" s="378"/>
      <c r="P409" s="378"/>
    </row>
    <row r="410" spans="3:16" x14ac:dyDescent="0.3">
      <c r="C410" s="373"/>
      <c r="D410" s="408"/>
      <c r="E410" s="409"/>
      <c r="F410" s="410"/>
      <c r="G410" s="377"/>
      <c r="H410" s="377"/>
      <c r="I410" s="377"/>
      <c r="J410" s="376"/>
      <c r="K410" s="378"/>
      <c r="L410" s="378"/>
      <c r="M410" s="378"/>
      <c r="N410" s="378"/>
      <c r="O410" s="378"/>
      <c r="P410" s="378"/>
    </row>
    <row r="411" spans="3:16" x14ac:dyDescent="0.3">
      <c r="C411" s="373"/>
      <c r="D411" s="408"/>
      <c r="E411" s="409"/>
      <c r="F411" s="410"/>
      <c r="G411" s="377"/>
      <c r="H411" s="377"/>
      <c r="I411" s="377"/>
      <c r="J411" s="376"/>
      <c r="K411" s="378"/>
      <c r="L411" s="378"/>
      <c r="M411" s="378"/>
      <c r="N411" s="378"/>
      <c r="O411" s="378"/>
      <c r="P411" s="378"/>
    </row>
    <row r="412" spans="3:16" x14ac:dyDescent="0.3">
      <c r="C412" s="379"/>
      <c r="D412" s="402"/>
      <c r="E412" s="313"/>
      <c r="F412" s="317"/>
      <c r="G412" s="315"/>
      <c r="H412" s="315"/>
      <c r="I412" s="315"/>
      <c r="J412" s="314"/>
      <c r="K412" s="316"/>
      <c r="L412" s="316"/>
      <c r="M412" s="316"/>
      <c r="N412" s="316"/>
      <c r="O412" s="316"/>
      <c r="P412" s="316"/>
    </row>
    <row r="413" spans="3:16" x14ac:dyDescent="0.3">
      <c r="C413" s="379"/>
      <c r="D413" s="402"/>
      <c r="E413" s="313"/>
      <c r="F413" s="317"/>
      <c r="G413" s="315"/>
      <c r="H413" s="315"/>
      <c r="I413" s="315"/>
      <c r="J413" s="314"/>
      <c r="K413" s="316"/>
      <c r="L413" s="316"/>
      <c r="M413" s="316"/>
      <c r="N413" s="316"/>
      <c r="O413" s="316"/>
      <c r="P413" s="316"/>
    </row>
    <row r="414" spans="3:16" x14ac:dyDescent="0.3">
      <c r="C414" s="373"/>
      <c r="D414" s="408"/>
      <c r="E414" s="409"/>
      <c r="F414" s="410"/>
      <c r="G414" s="377"/>
      <c r="H414" s="377"/>
      <c r="I414" s="377"/>
      <c r="J414" s="376"/>
      <c r="K414" s="378"/>
      <c r="L414" s="378"/>
      <c r="M414" s="378"/>
      <c r="N414" s="378"/>
      <c r="O414" s="378"/>
      <c r="P414" s="378"/>
    </row>
    <row r="415" spans="3:16" x14ac:dyDescent="0.3">
      <c r="C415" s="373"/>
      <c r="D415" s="408"/>
      <c r="E415" s="409"/>
      <c r="F415" s="410"/>
      <c r="G415" s="377"/>
      <c r="H415" s="377"/>
      <c r="I415" s="377"/>
      <c r="J415" s="376"/>
      <c r="K415" s="378"/>
      <c r="L415" s="378"/>
      <c r="M415" s="378"/>
      <c r="N415" s="378"/>
      <c r="O415" s="378"/>
      <c r="P415" s="378"/>
    </row>
    <row r="416" spans="3:16" x14ac:dyDescent="0.3">
      <c r="C416" s="373"/>
      <c r="D416" s="408"/>
      <c r="E416" s="409"/>
      <c r="F416" s="410"/>
      <c r="G416" s="377"/>
      <c r="H416" s="377"/>
      <c r="I416" s="377"/>
      <c r="J416" s="376"/>
      <c r="K416" s="378"/>
      <c r="L416" s="378"/>
      <c r="M416" s="378"/>
      <c r="N416" s="378"/>
      <c r="O416" s="378"/>
      <c r="P416" s="378"/>
    </row>
    <row r="417" spans="3:16" x14ac:dyDescent="0.3">
      <c r="C417" s="373"/>
      <c r="D417" s="408"/>
      <c r="E417" s="409"/>
      <c r="F417" s="410"/>
      <c r="G417" s="377"/>
      <c r="H417" s="377"/>
      <c r="I417" s="377"/>
      <c r="J417" s="376"/>
      <c r="K417" s="378"/>
      <c r="L417" s="378"/>
      <c r="M417" s="378"/>
      <c r="N417" s="378"/>
      <c r="O417" s="378"/>
      <c r="P417" s="378"/>
    </row>
    <row r="418" spans="3:16" x14ac:dyDescent="0.3">
      <c r="C418" s="373"/>
      <c r="D418" s="408"/>
      <c r="E418" s="409"/>
      <c r="F418" s="410"/>
      <c r="G418" s="377"/>
      <c r="H418" s="377"/>
      <c r="I418" s="377"/>
      <c r="J418" s="376"/>
      <c r="K418" s="378"/>
      <c r="L418" s="378"/>
      <c r="M418" s="378"/>
      <c r="N418" s="378"/>
      <c r="O418" s="378"/>
      <c r="P418" s="378"/>
    </row>
    <row r="419" spans="3:16" x14ac:dyDescent="0.3">
      <c r="C419" s="373"/>
      <c r="D419" s="408"/>
      <c r="E419" s="409"/>
      <c r="F419" s="410"/>
      <c r="G419" s="377"/>
      <c r="H419" s="377"/>
      <c r="I419" s="377"/>
      <c r="J419" s="376"/>
      <c r="K419" s="378"/>
      <c r="L419" s="378"/>
      <c r="M419" s="378"/>
      <c r="N419" s="378"/>
      <c r="O419" s="378"/>
      <c r="P419" s="378"/>
    </row>
    <row r="420" spans="3:16" x14ac:dyDescent="0.3">
      <c r="C420" s="373"/>
      <c r="D420" s="408"/>
      <c r="E420" s="409"/>
      <c r="F420" s="410"/>
      <c r="G420" s="377"/>
      <c r="H420" s="377"/>
      <c r="I420" s="377"/>
      <c r="J420" s="376"/>
      <c r="K420" s="378"/>
      <c r="L420" s="378"/>
      <c r="M420" s="378"/>
      <c r="N420" s="378"/>
      <c r="O420" s="378"/>
      <c r="P420" s="378"/>
    </row>
    <row r="421" spans="3:16" x14ac:dyDescent="0.3">
      <c r="C421" s="373"/>
      <c r="D421" s="408"/>
      <c r="E421" s="409"/>
      <c r="F421" s="410"/>
      <c r="G421" s="377"/>
      <c r="H421" s="377"/>
      <c r="I421" s="377"/>
      <c r="J421" s="376"/>
      <c r="K421" s="378"/>
      <c r="L421" s="378"/>
      <c r="M421" s="378"/>
      <c r="N421" s="378"/>
      <c r="O421" s="378"/>
      <c r="P421" s="378"/>
    </row>
    <row r="422" spans="3:16" x14ac:dyDescent="0.3">
      <c r="C422" s="373"/>
      <c r="D422" s="408"/>
      <c r="E422" s="409"/>
      <c r="F422" s="410"/>
      <c r="G422" s="377"/>
      <c r="H422" s="377"/>
      <c r="I422" s="377"/>
      <c r="J422" s="376"/>
      <c r="K422" s="378"/>
      <c r="L422" s="378"/>
      <c r="M422" s="378"/>
      <c r="N422" s="378"/>
      <c r="O422" s="378"/>
      <c r="P422" s="378"/>
    </row>
    <row r="423" spans="3:16" x14ac:dyDescent="0.3">
      <c r="C423" s="373"/>
      <c r="D423" s="408"/>
      <c r="E423" s="409"/>
      <c r="F423" s="410"/>
      <c r="G423" s="377"/>
      <c r="H423" s="377"/>
      <c r="I423" s="377"/>
      <c r="J423" s="376"/>
      <c r="K423" s="378"/>
      <c r="L423" s="378"/>
      <c r="M423" s="378"/>
      <c r="N423" s="378"/>
      <c r="O423" s="378"/>
      <c r="P423" s="378"/>
    </row>
    <row r="424" spans="3:16" x14ac:dyDescent="0.3">
      <c r="C424" s="373"/>
      <c r="D424" s="408"/>
      <c r="E424" s="409"/>
      <c r="F424" s="410"/>
      <c r="G424" s="377"/>
      <c r="H424" s="377"/>
      <c r="I424" s="377"/>
      <c r="J424" s="376"/>
      <c r="K424" s="378"/>
      <c r="L424" s="378"/>
      <c r="M424" s="378"/>
      <c r="N424" s="378"/>
      <c r="O424" s="378"/>
      <c r="P424" s="378"/>
    </row>
    <row r="425" spans="3:16" x14ac:dyDescent="0.3">
      <c r="C425" s="373"/>
      <c r="D425" s="408"/>
      <c r="E425" s="409"/>
      <c r="F425" s="410"/>
      <c r="G425" s="377"/>
      <c r="H425" s="377"/>
      <c r="I425" s="377"/>
      <c r="J425" s="376"/>
      <c r="K425" s="378"/>
      <c r="L425" s="378"/>
      <c r="M425" s="378"/>
      <c r="N425" s="378"/>
      <c r="O425" s="378"/>
      <c r="P425" s="378"/>
    </row>
    <row r="426" spans="3:16" x14ac:dyDescent="0.3">
      <c r="C426" s="373"/>
      <c r="D426" s="408"/>
      <c r="E426" s="409"/>
      <c r="F426" s="410"/>
      <c r="G426" s="377"/>
      <c r="H426" s="377"/>
      <c r="I426" s="377"/>
      <c r="J426" s="376"/>
      <c r="K426" s="378"/>
      <c r="L426" s="378"/>
      <c r="M426" s="378"/>
      <c r="N426" s="378"/>
      <c r="O426" s="378"/>
      <c r="P426" s="378"/>
    </row>
    <row r="427" spans="3:16" x14ac:dyDescent="0.3">
      <c r="C427" s="373"/>
      <c r="D427" s="408"/>
      <c r="E427" s="409"/>
      <c r="F427" s="410"/>
      <c r="G427" s="377"/>
      <c r="H427" s="377"/>
      <c r="I427" s="377"/>
      <c r="J427" s="376"/>
      <c r="K427" s="378"/>
      <c r="L427" s="378"/>
      <c r="M427" s="378"/>
      <c r="N427" s="378"/>
      <c r="O427" s="378"/>
      <c r="P427" s="378"/>
    </row>
    <row r="428" spans="3:16" x14ac:dyDescent="0.3">
      <c r="C428" s="373"/>
      <c r="D428" s="408"/>
      <c r="E428" s="409"/>
      <c r="F428" s="410"/>
      <c r="G428" s="377"/>
      <c r="H428" s="377"/>
      <c r="I428" s="377"/>
      <c r="J428" s="376"/>
      <c r="K428" s="378"/>
      <c r="L428" s="378"/>
      <c r="M428" s="378"/>
      <c r="N428" s="378"/>
      <c r="O428" s="378"/>
      <c r="P428" s="378"/>
    </row>
    <row r="429" spans="3:16" x14ac:dyDescent="0.3">
      <c r="C429" s="373"/>
      <c r="D429" s="408"/>
      <c r="E429" s="409"/>
      <c r="F429" s="410"/>
      <c r="G429" s="377"/>
      <c r="H429" s="377"/>
      <c r="I429" s="377"/>
      <c r="J429" s="376"/>
      <c r="K429" s="378"/>
      <c r="L429" s="378"/>
      <c r="M429" s="378"/>
      <c r="N429" s="378"/>
      <c r="O429" s="378"/>
      <c r="P429" s="378"/>
    </row>
    <row r="430" spans="3:16" x14ac:dyDescent="0.3">
      <c r="C430" s="373"/>
      <c r="D430" s="408"/>
      <c r="E430" s="409"/>
      <c r="F430" s="410"/>
      <c r="G430" s="377"/>
      <c r="H430" s="377"/>
      <c r="I430" s="377"/>
      <c r="J430" s="376"/>
      <c r="K430" s="378"/>
      <c r="L430" s="378"/>
      <c r="M430" s="378"/>
      <c r="N430" s="378"/>
      <c r="O430" s="378"/>
      <c r="P430" s="378"/>
    </row>
    <row r="431" spans="3:16" x14ac:dyDescent="0.3">
      <c r="C431" s="373"/>
      <c r="D431" s="408"/>
      <c r="E431" s="409"/>
      <c r="F431" s="410"/>
      <c r="G431" s="377"/>
      <c r="H431" s="377"/>
      <c r="I431" s="377"/>
      <c r="J431" s="376"/>
      <c r="K431" s="378"/>
      <c r="L431" s="378"/>
      <c r="M431" s="378"/>
      <c r="N431" s="378"/>
      <c r="O431" s="378"/>
      <c r="P431" s="378"/>
    </row>
    <row r="432" spans="3:16" x14ac:dyDescent="0.3">
      <c r="C432" s="379"/>
      <c r="D432" s="402"/>
      <c r="E432" s="313"/>
      <c r="F432" s="317"/>
      <c r="G432" s="315"/>
      <c r="H432" s="315"/>
      <c r="I432" s="315"/>
      <c r="J432" s="314"/>
      <c r="K432" s="316"/>
      <c r="L432" s="316"/>
      <c r="M432" s="316"/>
      <c r="N432" s="316"/>
      <c r="O432" s="316"/>
      <c r="P432" s="316"/>
    </row>
    <row r="433" spans="3:16" x14ac:dyDescent="0.3">
      <c r="C433" s="379"/>
      <c r="D433" s="402"/>
      <c r="E433" s="313"/>
      <c r="F433" s="317"/>
      <c r="G433" s="315"/>
      <c r="H433" s="315"/>
      <c r="I433" s="315"/>
      <c r="J433" s="314"/>
      <c r="K433" s="316"/>
      <c r="L433" s="316"/>
      <c r="M433" s="316"/>
      <c r="N433" s="316"/>
      <c r="O433" s="316"/>
      <c r="P433" s="316"/>
    </row>
    <row r="434" spans="3:16" x14ac:dyDescent="0.3">
      <c r="C434" s="373"/>
      <c r="D434" s="408"/>
      <c r="E434" s="409"/>
      <c r="F434" s="410"/>
      <c r="G434" s="377"/>
      <c r="H434" s="377"/>
      <c r="I434" s="377"/>
      <c r="J434" s="376"/>
      <c r="K434" s="378"/>
      <c r="L434" s="378"/>
      <c r="M434" s="378"/>
      <c r="N434" s="378"/>
      <c r="O434" s="378"/>
      <c r="P434" s="378"/>
    </row>
    <row r="435" spans="3:16" x14ac:dyDescent="0.3">
      <c r="C435" s="373"/>
      <c r="D435" s="408"/>
      <c r="E435" s="409"/>
      <c r="F435" s="410"/>
      <c r="G435" s="377"/>
      <c r="H435" s="377"/>
      <c r="I435" s="377"/>
      <c r="J435" s="376"/>
      <c r="K435" s="378"/>
      <c r="L435" s="378"/>
      <c r="M435" s="378"/>
      <c r="N435" s="378"/>
      <c r="O435" s="378"/>
      <c r="P435" s="378"/>
    </row>
    <row r="436" spans="3:16" x14ac:dyDescent="0.3">
      <c r="C436" s="373"/>
      <c r="D436" s="408"/>
      <c r="E436" s="409"/>
      <c r="F436" s="410"/>
      <c r="G436" s="377"/>
      <c r="H436" s="377"/>
      <c r="I436" s="377"/>
      <c r="J436" s="376"/>
      <c r="K436" s="378"/>
      <c r="L436" s="378"/>
      <c r="M436" s="378"/>
      <c r="N436" s="378"/>
      <c r="O436" s="378"/>
      <c r="P436" s="378"/>
    </row>
    <row r="437" spans="3:16" x14ac:dyDescent="0.3">
      <c r="C437" s="373"/>
      <c r="D437" s="408"/>
      <c r="E437" s="409"/>
      <c r="F437" s="410"/>
      <c r="G437" s="377"/>
      <c r="H437" s="377"/>
      <c r="I437" s="377"/>
      <c r="J437" s="376"/>
      <c r="K437" s="378"/>
      <c r="L437" s="378"/>
      <c r="M437" s="378"/>
      <c r="N437" s="378"/>
      <c r="O437" s="378"/>
      <c r="P437" s="378"/>
    </row>
    <row r="438" spans="3:16" x14ac:dyDescent="0.3">
      <c r="C438" s="373"/>
      <c r="D438" s="408"/>
      <c r="E438" s="409"/>
      <c r="F438" s="410"/>
      <c r="G438" s="377"/>
      <c r="H438" s="377"/>
      <c r="I438" s="377"/>
      <c r="J438" s="376"/>
      <c r="K438" s="378"/>
      <c r="L438" s="378"/>
      <c r="M438" s="378"/>
      <c r="N438" s="378"/>
      <c r="O438" s="378"/>
      <c r="P438" s="378"/>
    </row>
    <row r="439" spans="3:16" x14ac:dyDescent="0.3">
      <c r="C439" s="373"/>
      <c r="D439" s="408"/>
      <c r="E439" s="409"/>
      <c r="F439" s="410"/>
      <c r="G439" s="377"/>
      <c r="H439" s="377"/>
      <c r="I439" s="377"/>
      <c r="J439" s="376"/>
      <c r="K439" s="378"/>
      <c r="L439" s="378"/>
      <c r="M439" s="378"/>
      <c r="N439" s="378"/>
      <c r="O439" s="378"/>
      <c r="P439" s="378"/>
    </row>
    <row r="440" spans="3:16" x14ac:dyDescent="0.3">
      <c r="C440" s="373"/>
      <c r="D440" s="408"/>
      <c r="E440" s="409"/>
      <c r="F440" s="410"/>
      <c r="G440" s="377"/>
      <c r="H440" s="377"/>
      <c r="I440" s="377"/>
      <c r="J440" s="376"/>
      <c r="K440" s="378"/>
      <c r="L440" s="378"/>
      <c r="M440" s="378"/>
      <c r="N440" s="378"/>
      <c r="O440" s="378"/>
      <c r="P440" s="378"/>
    </row>
    <row r="441" spans="3:16" x14ac:dyDescent="0.3">
      <c r="C441" s="373"/>
      <c r="D441" s="408"/>
      <c r="E441" s="409"/>
      <c r="F441" s="410"/>
      <c r="G441" s="377"/>
      <c r="H441" s="377"/>
      <c r="I441" s="377"/>
      <c r="J441" s="376"/>
      <c r="K441" s="378"/>
      <c r="L441" s="378"/>
      <c r="M441" s="378"/>
      <c r="N441" s="378"/>
      <c r="O441" s="378"/>
      <c r="P441" s="378"/>
    </row>
    <row r="442" spans="3:16" x14ac:dyDescent="0.3">
      <c r="C442" s="373"/>
      <c r="D442" s="408"/>
      <c r="E442" s="409"/>
      <c r="F442" s="410"/>
      <c r="G442" s="377"/>
      <c r="H442" s="377"/>
      <c r="I442" s="377"/>
      <c r="J442" s="376"/>
      <c r="K442" s="378"/>
      <c r="L442" s="378"/>
      <c r="M442" s="378"/>
      <c r="N442" s="378"/>
      <c r="O442" s="378"/>
      <c r="P442" s="378"/>
    </row>
    <row r="443" spans="3:16" x14ac:dyDescent="0.3">
      <c r="C443" s="373"/>
      <c r="D443" s="408"/>
      <c r="E443" s="409"/>
      <c r="F443" s="410"/>
      <c r="G443" s="377"/>
      <c r="H443" s="377"/>
      <c r="I443" s="377"/>
      <c r="J443" s="376"/>
      <c r="K443" s="378"/>
      <c r="L443" s="378"/>
      <c r="M443" s="378"/>
      <c r="N443" s="378"/>
      <c r="O443" s="378"/>
      <c r="P443" s="378"/>
    </row>
    <row r="444" spans="3:16" x14ac:dyDescent="0.3">
      <c r="C444" s="373"/>
      <c r="D444" s="408"/>
      <c r="E444" s="409"/>
      <c r="F444" s="410"/>
      <c r="G444" s="377"/>
      <c r="H444" s="377"/>
      <c r="I444" s="377"/>
      <c r="J444" s="376"/>
      <c r="K444" s="378"/>
      <c r="L444" s="378"/>
      <c r="M444" s="378"/>
      <c r="N444" s="378"/>
      <c r="O444" s="378"/>
      <c r="P444" s="378"/>
    </row>
    <row r="445" spans="3:16" x14ac:dyDescent="0.3">
      <c r="C445" s="373"/>
      <c r="D445" s="408"/>
      <c r="E445" s="409"/>
      <c r="F445" s="410"/>
      <c r="G445" s="377"/>
      <c r="H445" s="377"/>
      <c r="I445" s="377"/>
      <c r="J445" s="376"/>
      <c r="K445" s="378"/>
      <c r="L445" s="378"/>
      <c r="M445" s="378"/>
      <c r="N445" s="378"/>
      <c r="O445" s="378"/>
      <c r="P445" s="378"/>
    </row>
    <row r="446" spans="3:16" x14ac:dyDescent="0.3">
      <c r="C446" s="373"/>
      <c r="D446" s="408"/>
      <c r="E446" s="409"/>
      <c r="F446" s="410"/>
      <c r="G446" s="377"/>
      <c r="H446" s="377"/>
      <c r="I446" s="377"/>
      <c r="J446" s="376"/>
      <c r="K446" s="378"/>
      <c r="L446" s="378"/>
      <c r="M446" s="378"/>
      <c r="N446" s="378"/>
      <c r="O446" s="378"/>
      <c r="P446" s="378"/>
    </row>
    <row r="447" spans="3:16" x14ac:dyDescent="0.3">
      <c r="C447" s="373"/>
      <c r="D447" s="408"/>
      <c r="E447" s="409"/>
      <c r="F447" s="410"/>
      <c r="G447" s="377"/>
      <c r="H447" s="377"/>
      <c r="I447" s="377"/>
      <c r="J447" s="376"/>
      <c r="K447" s="378"/>
      <c r="L447" s="378"/>
      <c r="M447" s="378"/>
      <c r="N447" s="378"/>
      <c r="O447" s="378"/>
      <c r="P447" s="378"/>
    </row>
    <row r="448" spans="3:16" x14ac:dyDescent="0.3">
      <c r="C448" s="373"/>
      <c r="D448" s="408"/>
      <c r="E448" s="409"/>
      <c r="F448" s="410"/>
      <c r="G448" s="377"/>
      <c r="H448" s="377"/>
      <c r="I448" s="377"/>
      <c r="J448" s="376"/>
      <c r="K448" s="378"/>
      <c r="L448" s="378"/>
      <c r="M448" s="378"/>
      <c r="N448" s="378"/>
      <c r="O448" s="378"/>
      <c r="P448" s="378"/>
    </row>
    <row r="449" spans="3:16" x14ac:dyDescent="0.3">
      <c r="C449" s="373"/>
      <c r="D449" s="408"/>
      <c r="E449" s="409"/>
      <c r="F449" s="410"/>
      <c r="G449" s="377"/>
      <c r="H449" s="377"/>
      <c r="I449" s="377"/>
      <c r="J449" s="376"/>
      <c r="K449" s="378"/>
      <c r="L449" s="378"/>
      <c r="M449" s="378"/>
      <c r="N449" s="378"/>
      <c r="O449" s="378"/>
      <c r="P449" s="378"/>
    </row>
    <row r="450" spans="3:16" x14ac:dyDescent="0.3">
      <c r="C450" s="373"/>
      <c r="D450" s="408"/>
      <c r="E450" s="409"/>
      <c r="F450" s="410"/>
      <c r="G450" s="377"/>
      <c r="H450" s="377"/>
      <c r="I450" s="377"/>
      <c r="J450" s="376"/>
      <c r="K450" s="378"/>
      <c r="L450" s="378"/>
      <c r="M450" s="378"/>
      <c r="N450" s="378"/>
      <c r="O450" s="378"/>
      <c r="P450" s="378"/>
    </row>
    <row r="451" spans="3:16" x14ac:dyDescent="0.3">
      <c r="C451" s="373"/>
      <c r="D451" s="408"/>
      <c r="E451" s="409"/>
      <c r="F451" s="410"/>
      <c r="G451" s="377"/>
      <c r="H451" s="377"/>
      <c r="I451" s="377"/>
      <c r="J451" s="376"/>
      <c r="K451" s="378"/>
      <c r="L451" s="378"/>
      <c r="M451" s="378"/>
      <c r="N451" s="378"/>
      <c r="O451" s="378"/>
      <c r="P451" s="378"/>
    </row>
    <row r="452" spans="3:16" x14ac:dyDescent="0.3">
      <c r="C452" s="373"/>
      <c r="D452" s="408"/>
      <c r="E452" s="409"/>
      <c r="F452" s="410"/>
      <c r="G452" s="377"/>
      <c r="H452" s="377"/>
      <c r="I452" s="377"/>
      <c r="J452" s="376"/>
      <c r="K452" s="378"/>
      <c r="L452" s="378"/>
      <c r="M452" s="378"/>
      <c r="N452" s="378"/>
      <c r="O452" s="378"/>
      <c r="P452" s="378"/>
    </row>
    <row r="453" spans="3:16" x14ac:dyDescent="0.3">
      <c r="C453" s="373"/>
      <c r="D453" s="408"/>
      <c r="E453" s="409"/>
      <c r="F453" s="410"/>
      <c r="G453" s="377"/>
      <c r="H453" s="377"/>
      <c r="I453" s="377"/>
      <c r="J453" s="376"/>
      <c r="K453" s="378"/>
      <c r="L453" s="378"/>
      <c r="M453" s="378"/>
      <c r="N453" s="378"/>
      <c r="O453" s="378"/>
      <c r="P453" s="378"/>
    </row>
    <row r="454" spans="3:16" x14ac:dyDescent="0.3">
      <c r="C454" s="373"/>
      <c r="D454" s="408"/>
      <c r="E454" s="409"/>
      <c r="F454" s="410"/>
      <c r="G454" s="377"/>
      <c r="H454" s="377"/>
      <c r="I454" s="377"/>
      <c r="J454" s="376"/>
      <c r="K454" s="378"/>
      <c r="L454" s="378"/>
      <c r="M454" s="378"/>
      <c r="N454" s="378"/>
      <c r="O454" s="378"/>
      <c r="P454" s="378"/>
    </row>
    <row r="455" spans="3:16" x14ac:dyDescent="0.3">
      <c r="C455" s="373"/>
      <c r="D455" s="408"/>
      <c r="E455" s="409"/>
      <c r="F455" s="410"/>
      <c r="G455" s="377"/>
      <c r="H455" s="377"/>
      <c r="I455" s="377"/>
      <c r="J455" s="376"/>
      <c r="K455" s="378"/>
      <c r="L455" s="378"/>
      <c r="M455" s="378"/>
      <c r="N455" s="378"/>
      <c r="O455" s="378"/>
      <c r="P455" s="378"/>
    </row>
    <row r="456" spans="3:16" x14ac:dyDescent="0.3">
      <c r="C456" s="373"/>
      <c r="D456" s="408"/>
      <c r="E456" s="409"/>
      <c r="F456" s="410"/>
      <c r="G456" s="377"/>
      <c r="H456" s="377"/>
      <c r="I456" s="377"/>
      <c r="J456" s="376"/>
      <c r="K456" s="378"/>
      <c r="L456" s="378"/>
      <c r="M456" s="378"/>
      <c r="N456" s="378"/>
      <c r="O456" s="378"/>
      <c r="P456" s="378"/>
    </row>
    <row r="457" spans="3:16" x14ac:dyDescent="0.3">
      <c r="C457" s="373"/>
      <c r="D457" s="408"/>
      <c r="E457" s="409"/>
      <c r="F457" s="410"/>
      <c r="G457" s="377"/>
      <c r="H457" s="377"/>
      <c r="I457" s="377"/>
      <c r="J457" s="376"/>
      <c r="K457" s="378"/>
      <c r="L457" s="378"/>
      <c r="M457" s="378"/>
      <c r="N457" s="378"/>
      <c r="O457" s="378"/>
      <c r="P457" s="378"/>
    </row>
    <row r="458" spans="3:16" x14ac:dyDescent="0.3">
      <c r="C458" s="152"/>
      <c r="D458" s="423"/>
      <c r="E458" s="313"/>
      <c r="F458" s="317"/>
      <c r="G458" s="315"/>
      <c r="H458" s="315"/>
      <c r="I458" s="315"/>
      <c r="J458" s="314"/>
      <c r="K458" s="316"/>
      <c r="L458" s="316"/>
      <c r="M458" s="316"/>
      <c r="N458" s="316"/>
      <c r="O458" s="316"/>
      <c r="P458" s="316"/>
    </row>
    <row r="459" spans="3:16" x14ac:dyDescent="0.3">
      <c r="C459" s="379"/>
      <c r="D459" s="402"/>
      <c r="E459" s="313"/>
      <c r="F459" s="317"/>
      <c r="G459" s="315"/>
      <c r="H459" s="315"/>
      <c r="I459" s="315"/>
      <c r="J459" s="314"/>
      <c r="K459" s="316"/>
      <c r="L459" s="316"/>
      <c r="M459" s="316"/>
      <c r="N459" s="316"/>
      <c r="O459" s="316"/>
      <c r="P459" s="316"/>
    </row>
    <row r="460" spans="3:16" x14ac:dyDescent="0.3">
      <c r="C460" s="373"/>
      <c r="D460" s="408"/>
      <c r="E460" s="409"/>
      <c r="F460" s="410"/>
      <c r="G460" s="377"/>
      <c r="H460" s="377"/>
      <c r="I460" s="377"/>
      <c r="J460" s="376"/>
      <c r="K460" s="378"/>
      <c r="L460" s="378"/>
      <c r="M460" s="378"/>
      <c r="N460" s="378"/>
      <c r="O460" s="378"/>
      <c r="P460" s="378"/>
    </row>
    <row r="461" spans="3:16" x14ac:dyDescent="0.3">
      <c r="C461" s="373"/>
      <c r="D461" s="408"/>
      <c r="E461" s="409"/>
      <c r="F461" s="410"/>
      <c r="G461" s="377"/>
      <c r="H461" s="377"/>
      <c r="I461" s="377"/>
      <c r="J461" s="376"/>
      <c r="K461" s="378"/>
      <c r="L461" s="378"/>
      <c r="M461" s="378"/>
      <c r="N461" s="378"/>
      <c r="O461" s="378"/>
      <c r="P461" s="378"/>
    </row>
    <row r="462" spans="3:16" x14ac:dyDescent="0.3">
      <c r="C462" s="373"/>
      <c r="D462" s="408"/>
      <c r="E462" s="409"/>
      <c r="F462" s="410"/>
      <c r="G462" s="377"/>
      <c r="H462" s="377"/>
      <c r="I462" s="377"/>
      <c r="J462" s="376"/>
      <c r="K462" s="378"/>
      <c r="L462" s="378"/>
      <c r="M462" s="378"/>
      <c r="N462" s="378"/>
      <c r="O462" s="378"/>
      <c r="P462" s="378"/>
    </row>
    <row r="463" spans="3:16" x14ac:dyDescent="0.3">
      <c r="C463" s="373"/>
      <c r="D463" s="408"/>
      <c r="E463" s="409"/>
      <c r="F463" s="410"/>
      <c r="G463" s="377"/>
      <c r="H463" s="377"/>
      <c r="I463" s="377"/>
      <c r="J463" s="376"/>
      <c r="K463" s="378"/>
      <c r="L463" s="378"/>
      <c r="M463" s="378"/>
      <c r="N463" s="378"/>
      <c r="O463" s="378"/>
      <c r="P463" s="378"/>
    </row>
    <row r="464" spans="3:16" x14ac:dyDescent="0.3">
      <c r="C464" s="373"/>
      <c r="D464" s="408"/>
      <c r="E464" s="409"/>
      <c r="F464" s="410"/>
      <c r="G464" s="377"/>
      <c r="H464" s="377"/>
      <c r="I464" s="377"/>
      <c r="J464" s="376"/>
      <c r="K464" s="378"/>
      <c r="L464" s="378"/>
      <c r="M464" s="378"/>
      <c r="N464" s="378"/>
      <c r="O464" s="378"/>
      <c r="P464" s="378"/>
    </row>
    <row r="465" spans="3:16" x14ac:dyDescent="0.3">
      <c r="C465" s="152"/>
      <c r="D465" s="423"/>
      <c r="E465" s="313"/>
      <c r="F465" s="317"/>
      <c r="G465" s="315"/>
      <c r="H465" s="315"/>
      <c r="I465" s="315"/>
      <c r="J465" s="314"/>
      <c r="K465" s="316"/>
      <c r="L465" s="316"/>
      <c r="M465" s="316"/>
      <c r="N465" s="316"/>
      <c r="O465" s="316"/>
      <c r="P465" s="316"/>
    </row>
    <row r="466" spans="3:16" x14ac:dyDescent="0.3">
      <c r="C466" s="385"/>
      <c r="D466" s="403"/>
      <c r="E466" s="404"/>
      <c r="F466" s="405"/>
      <c r="G466" s="384"/>
      <c r="H466" s="384"/>
      <c r="I466" s="384"/>
      <c r="J466" s="314"/>
      <c r="K466" s="387"/>
      <c r="L466" s="387"/>
      <c r="M466" s="387"/>
      <c r="N466" s="387"/>
      <c r="O466" s="387"/>
      <c r="P466" s="387"/>
    </row>
    <row r="467" spans="3:16" x14ac:dyDescent="0.3">
      <c r="C467" s="379"/>
      <c r="D467" s="402"/>
      <c r="E467" s="313"/>
      <c r="F467" s="317"/>
      <c r="G467" s="315"/>
      <c r="H467" s="315"/>
      <c r="I467" s="315"/>
      <c r="J467" s="314"/>
      <c r="K467" s="316"/>
      <c r="L467" s="316"/>
      <c r="M467" s="316"/>
      <c r="N467" s="316"/>
      <c r="O467" s="316"/>
      <c r="P467" s="316"/>
    </row>
    <row r="468" spans="3:16" x14ac:dyDescent="0.3">
      <c r="C468" s="373"/>
      <c r="D468" s="408"/>
      <c r="E468" s="409"/>
      <c r="F468" s="410"/>
      <c r="G468" s="377"/>
      <c r="H468" s="377"/>
      <c r="I468" s="377"/>
      <c r="J468" s="376"/>
      <c r="K468" s="378"/>
      <c r="L468" s="378"/>
      <c r="M468" s="378"/>
      <c r="N468" s="378"/>
      <c r="O468" s="378"/>
      <c r="P468" s="378"/>
    </row>
    <row r="469" spans="3:16" x14ac:dyDescent="0.3">
      <c r="C469" s="379"/>
      <c r="D469" s="402"/>
      <c r="E469" s="313"/>
      <c r="F469" s="317"/>
      <c r="G469" s="315"/>
      <c r="H469" s="315"/>
      <c r="I469" s="315"/>
      <c r="J469" s="314"/>
      <c r="K469" s="316"/>
      <c r="L469" s="316"/>
      <c r="M469" s="316"/>
      <c r="N469" s="316"/>
      <c r="O469" s="316"/>
      <c r="P469" s="316"/>
    </row>
    <row r="470" spans="3:16" x14ac:dyDescent="0.3">
      <c r="C470" s="379"/>
      <c r="D470" s="402"/>
      <c r="E470" s="313"/>
      <c r="F470" s="317"/>
      <c r="G470" s="315"/>
      <c r="H470" s="315"/>
      <c r="I470" s="315"/>
      <c r="J470" s="314"/>
      <c r="K470" s="316"/>
      <c r="L470" s="316"/>
      <c r="M470" s="316"/>
      <c r="N470" s="316"/>
      <c r="O470" s="316"/>
      <c r="P470" s="316"/>
    </row>
    <row r="471" spans="3:16" x14ac:dyDescent="0.3">
      <c r="C471" s="373"/>
      <c r="D471" s="408"/>
      <c r="E471" s="409"/>
      <c r="F471" s="410"/>
      <c r="G471" s="377"/>
      <c r="H471" s="377"/>
      <c r="I471" s="377"/>
      <c r="J471" s="376"/>
      <c r="K471" s="378"/>
      <c r="L471" s="378"/>
      <c r="M471" s="378"/>
      <c r="N471" s="378"/>
      <c r="O471" s="378"/>
      <c r="P471" s="378"/>
    </row>
    <row r="472" spans="3:16" x14ac:dyDescent="0.3">
      <c r="C472" s="379"/>
      <c r="D472" s="402"/>
      <c r="E472" s="313"/>
      <c r="F472" s="317"/>
      <c r="G472" s="315"/>
      <c r="H472" s="315"/>
      <c r="I472" s="315"/>
      <c r="J472" s="314"/>
      <c r="K472" s="316"/>
      <c r="L472" s="316"/>
      <c r="M472" s="316"/>
      <c r="N472" s="316"/>
      <c r="O472" s="316"/>
      <c r="P472" s="316"/>
    </row>
    <row r="473" spans="3:16" x14ac:dyDescent="0.3">
      <c r="C473" s="379"/>
      <c r="D473" s="402"/>
      <c r="E473" s="313"/>
      <c r="F473" s="317"/>
      <c r="G473" s="315"/>
      <c r="H473" s="315"/>
      <c r="I473" s="315"/>
      <c r="J473" s="314"/>
      <c r="K473" s="316"/>
      <c r="L473" s="316"/>
      <c r="M473" s="316"/>
      <c r="N473" s="316"/>
      <c r="O473" s="316"/>
      <c r="P473" s="316"/>
    </row>
    <row r="474" spans="3:16" x14ac:dyDescent="0.3">
      <c r="C474" s="373"/>
      <c r="D474" s="408"/>
      <c r="E474" s="409"/>
      <c r="F474" s="410"/>
      <c r="G474" s="377"/>
      <c r="H474" s="377"/>
      <c r="I474" s="377"/>
      <c r="J474" s="376"/>
      <c r="K474" s="378"/>
      <c r="L474" s="378"/>
      <c r="M474" s="378"/>
      <c r="N474" s="378"/>
      <c r="O474" s="378"/>
      <c r="P474" s="378"/>
    </row>
    <row r="475" spans="3:16" x14ac:dyDescent="0.3">
      <c r="C475" s="379"/>
      <c r="D475" s="402"/>
      <c r="E475" s="313"/>
      <c r="F475" s="317"/>
      <c r="G475" s="315"/>
      <c r="H475" s="315"/>
      <c r="I475" s="315"/>
      <c r="J475" s="314"/>
      <c r="K475" s="316"/>
      <c r="L475" s="316"/>
      <c r="M475" s="316"/>
      <c r="N475" s="316"/>
      <c r="O475" s="316"/>
      <c r="P475" s="316"/>
    </row>
    <row r="476" spans="3:16" x14ac:dyDescent="0.3">
      <c r="C476" s="379"/>
      <c r="D476" s="402"/>
      <c r="E476" s="313"/>
      <c r="F476" s="317"/>
      <c r="G476" s="315"/>
      <c r="H476" s="315"/>
      <c r="I476" s="315"/>
      <c r="J476" s="314"/>
      <c r="K476" s="316"/>
      <c r="L476" s="316"/>
      <c r="M476" s="316"/>
      <c r="N476" s="316"/>
      <c r="O476" s="316"/>
      <c r="P476" s="316"/>
    </row>
    <row r="477" spans="3:16" x14ac:dyDescent="0.3">
      <c r="C477" s="373"/>
      <c r="D477" s="408"/>
      <c r="E477" s="409"/>
      <c r="F477" s="410"/>
      <c r="G477" s="377"/>
      <c r="H477" s="377"/>
      <c r="I477" s="377"/>
      <c r="J477" s="376"/>
      <c r="K477" s="378"/>
      <c r="L477" s="378"/>
      <c r="M477" s="378"/>
      <c r="N477" s="378"/>
      <c r="O477" s="378"/>
      <c r="P477" s="378"/>
    </row>
    <row r="478" spans="3:16" x14ac:dyDescent="0.3">
      <c r="C478" s="373"/>
      <c r="D478" s="408"/>
      <c r="E478" s="409"/>
      <c r="F478" s="410"/>
      <c r="G478" s="377"/>
      <c r="H478" s="377"/>
      <c r="I478" s="377"/>
      <c r="J478" s="376"/>
      <c r="K478" s="378"/>
      <c r="L478" s="378"/>
      <c r="M478" s="378"/>
      <c r="N478" s="378"/>
      <c r="O478" s="378"/>
      <c r="P478" s="378"/>
    </row>
    <row r="479" spans="3:16" x14ac:dyDescent="0.3">
      <c r="C479" s="373"/>
      <c r="D479" s="408"/>
      <c r="E479" s="409"/>
      <c r="F479" s="410"/>
      <c r="G479" s="377"/>
      <c r="H479" s="377"/>
      <c r="I479" s="377"/>
      <c r="J479" s="376"/>
      <c r="K479" s="378"/>
      <c r="L479" s="378"/>
      <c r="M479" s="378"/>
      <c r="N479" s="378"/>
      <c r="O479" s="378"/>
      <c r="P479" s="378"/>
    </row>
    <row r="480" spans="3:16" x14ac:dyDescent="0.3">
      <c r="C480" s="373"/>
      <c r="D480" s="408"/>
      <c r="E480" s="409"/>
      <c r="F480" s="410"/>
      <c r="G480" s="377"/>
      <c r="H480" s="377"/>
      <c r="I480" s="377"/>
      <c r="J480" s="376"/>
      <c r="K480" s="378"/>
      <c r="L480" s="378"/>
      <c r="M480" s="378"/>
      <c r="N480" s="378"/>
      <c r="O480" s="378"/>
      <c r="P480" s="378"/>
    </row>
    <row r="481" spans="3:16" x14ac:dyDescent="0.3">
      <c r="C481" s="373"/>
      <c r="D481" s="408"/>
      <c r="E481" s="409"/>
      <c r="F481" s="410"/>
      <c r="G481" s="377"/>
      <c r="H481" s="377"/>
      <c r="I481" s="377"/>
      <c r="J481" s="376"/>
      <c r="K481" s="378"/>
      <c r="L481" s="378"/>
      <c r="M481" s="378"/>
      <c r="N481" s="378"/>
      <c r="O481" s="378"/>
      <c r="P481" s="378"/>
    </row>
    <row r="482" spans="3:16" x14ac:dyDescent="0.3">
      <c r="C482" s="373"/>
      <c r="D482" s="408"/>
      <c r="E482" s="409"/>
      <c r="F482" s="410"/>
      <c r="G482" s="377"/>
      <c r="H482" s="377"/>
      <c r="I482" s="377"/>
      <c r="J482" s="376"/>
      <c r="K482" s="378"/>
      <c r="L482" s="378"/>
      <c r="M482" s="378"/>
      <c r="N482" s="378"/>
      <c r="O482" s="378"/>
      <c r="P482" s="378"/>
    </row>
    <row r="483" spans="3:16" x14ac:dyDescent="0.3">
      <c r="C483" s="373"/>
      <c r="D483" s="408"/>
      <c r="E483" s="409"/>
      <c r="F483" s="410"/>
      <c r="G483" s="377"/>
      <c r="H483" s="377"/>
      <c r="I483" s="377"/>
      <c r="J483" s="376"/>
      <c r="K483" s="378"/>
      <c r="L483" s="378"/>
      <c r="M483" s="378"/>
      <c r="N483" s="378"/>
      <c r="O483" s="378"/>
      <c r="P483" s="378"/>
    </row>
    <row r="484" spans="3:16" x14ac:dyDescent="0.3">
      <c r="C484" s="373"/>
      <c r="D484" s="408"/>
      <c r="E484" s="409"/>
      <c r="F484" s="410"/>
      <c r="G484" s="377"/>
      <c r="H484" s="377"/>
      <c r="I484" s="377"/>
      <c r="J484" s="376"/>
      <c r="K484" s="378"/>
      <c r="L484" s="378"/>
      <c r="M484" s="378"/>
      <c r="N484" s="378"/>
      <c r="O484" s="378"/>
      <c r="P484" s="378"/>
    </row>
    <row r="485" spans="3:16" x14ac:dyDescent="0.3">
      <c r="C485" s="152"/>
      <c r="D485" s="402"/>
      <c r="E485" s="313"/>
      <c r="F485" s="317"/>
      <c r="G485" s="315"/>
      <c r="H485" s="315"/>
      <c r="I485" s="315"/>
      <c r="J485" s="314"/>
      <c r="K485" s="316"/>
      <c r="L485" s="316"/>
      <c r="M485" s="316"/>
      <c r="N485" s="316"/>
      <c r="O485" s="316"/>
      <c r="P485" s="316"/>
    </row>
    <row r="486" spans="3:16" x14ac:dyDescent="0.3">
      <c r="C486" s="385"/>
      <c r="D486" s="403"/>
      <c r="E486" s="404"/>
      <c r="F486" s="405"/>
      <c r="G486" s="384"/>
      <c r="H486" s="384"/>
      <c r="I486" s="384"/>
      <c r="J486" s="314"/>
      <c r="K486" s="387"/>
      <c r="L486" s="387"/>
      <c r="M486" s="387"/>
      <c r="N486" s="387"/>
      <c r="O486" s="387"/>
      <c r="P486" s="387"/>
    </row>
    <row r="487" spans="3:16" x14ac:dyDescent="0.3">
      <c r="C487" s="388"/>
      <c r="D487" s="402"/>
      <c r="E487" s="313"/>
      <c r="F487" s="317"/>
      <c r="G487" s="315"/>
      <c r="H487" s="315"/>
      <c r="I487" s="315"/>
      <c r="J487" s="314"/>
      <c r="K487" s="316"/>
      <c r="L487" s="316"/>
      <c r="M487" s="316"/>
      <c r="N487" s="316"/>
      <c r="O487" s="316"/>
      <c r="P487" s="316"/>
    </row>
    <row r="488" spans="3:16" x14ac:dyDescent="0.3">
      <c r="C488" s="373"/>
      <c r="D488" s="408"/>
      <c r="E488" s="409"/>
      <c r="F488" s="410"/>
      <c r="G488" s="377"/>
      <c r="H488" s="377"/>
      <c r="I488" s="377"/>
      <c r="J488" s="376"/>
      <c r="K488" s="378"/>
      <c r="L488" s="378"/>
      <c r="M488" s="378"/>
      <c r="N488" s="378"/>
      <c r="O488" s="378"/>
      <c r="P488" s="378"/>
    </row>
    <row r="489" spans="3:16" x14ac:dyDescent="0.3">
      <c r="C489" s="373"/>
      <c r="D489" s="408"/>
      <c r="E489" s="409"/>
      <c r="F489" s="410"/>
      <c r="G489" s="377"/>
      <c r="H489" s="377"/>
      <c r="I489" s="377"/>
      <c r="J489" s="376"/>
      <c r="K489" s="378"/>
      <c r="L489" s="378"/>
      <c r="M489" s="378"/>
      <c r="N489" s="378"/>
      <c r="O489" s="378"/>
      <c r="P489" s="378"/>
    </row>
    <row r="490" spans="3:16" x14ac:dyDescent="0.3">
      <c r="C490" s="373"/>
      <c r="D490" s="408"/>
      <c r="E490" s="409"/>
      <c r="F490" s="410"/>
      <c r="G490" s="377"/>
      <c r="H490" s="377"/>
      <c r="I490" s="377"/>
      <c r="J490" s="376"/>
      <c r="K490" s="378"/>
      <c r="L490" s="378"/>
      <c r="M490" s="378"/>
      <c r="N490" s="378"/>
      <c r="O490" s="378"/>
      <c r="P490" s="378"/>
    </row>
    <row r="491" spans="3:16" x14ac:dyDescent="0.3">
      <c r="C491" s="395"/>
      <c r="D491" s="424"/>
      <c r="E491" s="313"/>
      <c r="F491" s="317"/>
      <c r="G491" s="315"/>
      <c r="H491" s="315"/>
      <c r="I491" s="315"/>
      <c r="J491" s="314"/>
      <c r="K491" s="316"/>
      <c r="L491" s="316"/>
      <c r="M491" s="316"/>
      <c r="N491" s="316"/>
      <c r="O491" s="316"/>
      <c r="P491" s="316"/>
    </row>
    <row r="492" spans="3:16" x14ac:dyDescent="0.3">
      <c r="C492" s="385"/>
      <c r="D492" s="403"/>
      <c r="E492" s="404"/>
      <c r="F492" s="405"/>
      <c r="G492" s="384"/>
      <c r="H492" s="384"/>
      <c r="I492" s="384"/>
      <c r="J492" s="314"/>
      <c r="K492" s="387"/>
      <c r="L492" s="387"/>
      <c r="M492" s="387"/>
      <c r="N492" s="387"/>
      <c r="O492" s="387"/>
      <c r="P492" s="387"/>
    </row>
    <row r="493" spans="3:16" x14ac:dyDescent="0.3">
      <c r="C493" s="381"/>
      <c r="D493" s="402"/>
      <c r="E493" s="406"/>
      <c r="F493" s="407"/>
      <c r="G493" s="384"/>
      <c r="H493" s="384"/>
      <c r="I493" s="384"/>
      <c r="J493" s="314"/>
      <c r="K493" s="316"/>
      <c r="L493" s="316"/>
      <c r="M493" s="316"/>
      <c r="N493" s="316"/>
      <c r="O493" s="316"/>
      <c r="P493" s="316"/>
    </row>
    <row r="494" spans="3:16" x14ac:dyDescent="0.3">
      <c r="C494" s="373"/>
      <c r="D494" s="408"/>
      <c r="E494" s="409"/>
      <c r="F494" s="410"/>
      <c r="G494" s="377"/>
      <c r="H494" s="377"/>
      <c r="I494" s="377"/>
      <c r="J494" s="376"/>
      <c r="K494" s="378"/>
      <c r="L494" s="378"/>
      <c r="M494" s="378"/>
      <c r="N494" s="378"/>
      <c r="O494" s="378"/>
      <c r="P494" s="378"/>
    </row>
    <row r="495" spans="3:16" x14ac:dyDescent="0.3">
      <c r="C495" s="379"/>
      <c r="D495" s="402"/>
      <c r="E495" s="313"/>
      <c r="F495" s="317"/>
      <c r="G495" s="315"/>
      <c r="H495" s="315"/>
      <c r="I495" s="315"/>
      <c r="J495" s="314"/>
      <c r="K495" s="316"/>
      <c r="L495" s="316"/>
      <c r="M495" s="316"/>
      <c r="N495" s="316"/>
      <c r="O495" s="316"/>
      <c r="P495" s="316"/>
    </row>
    <row r="496" spans="3:16" x14ac:dyDescent="0.3">
      <c r="C496" s="381"/>
      <c r="D496" s="402"/>
      <c r="E496" s="406"/>
      <c r="F496" s="407"/>
      <c r="G496" s="384"/>
      <c r="H496" s="384"/>
      <c r="I496" s="384"/>
      <c r="J496" s="314"/>
      <c r="K496" s="316"/>
      <c r="L496" s="316"/>
      <c r="M496" s="316"/>
      <c r="N496" s="316"/>
      <c r="O496" s="316"/>
      <c r="P496" s="316"/>
    </row>
    <row r="497" spans="3:16" x14ac:dyDescent="0.3">
      <c r="C497" s="373"/>
      <c r="D497" s="408"/>
      <c r="E497" s="409"/>
      <c r="F497" s="410"/>
      <c r="G497" s="377"/>
      <c r="H497" s="377"/>
      <c r="I497" s="377"/>
      <c r="J497" s="376"/>
      <c r="K497" s="378"/>
      <c r="L497" s="378"/>
      <c r="M497" s="378"/>
      <c r="N497" s="378"/>
      <c r="O497" s="378"/>
      <c r="P497" s="378"/>
    </row>
    <row r="498" spans="3:16" x14ac:dyDescent="0.3">
      <c r="C498" s="373"/>
      <c r="D498" s="408"/>
      <c r="E498" s="409"/>
      <c r="F498" s="410"/>
      <c r="G498" s="377"/>
      <c r="H498" s="377"/>
      <c r="I498" s="377"/>
      <c r="J498" s="376"/>
      <c r="K498" s="378"/>
      <c r="L498" s="378"/>
      <c r="M498" s="378"/>
      <c r="N498" s="378"/>
      <c r="O498" s="378"/>
      <c r="P498" s="378"/>
    </row>
    <row r="499" spans="3:16" x14ac:dyDescent="0.3">
      <c r="C499" s="379"/>
      <c r="D499" s="402"/>
      <c r="E499" s="313"/>
      <c r="F499" s="317"/>
      <c r="G499" s="315"/>
      <c r="H499" s="315"/>
      <c r="I499" s="315"/>
      <c r="J499" s="314"/>
      <c r="K499" s="316"/>
      <c r="L499" s="316"/>
      <c r="M499" s="316"/>
      <c r="N499" s="316"/>
      <c r="O499" s="316"/>
      <c r="P499" s="316"/>
    </row>
    <row r="500" spans="3:16" x14ac:dyDescent="0.3">
      <c r="C500" s="385"/>
      <c r="D500" s="403"/>
      <c r="E500" s="404"/>
      <c r="F500" s="405"/>
      <c r="G500" s="384"/>
      <c r="H500" s="384"/>
      <c r="I500" s="384"/>
      <c r="J500" s="314"/>
      <c r="K500" s="387"/>
      <c r="L500" s="387"/>
      <c r="M500" s="387"/>
      <c r="N500" s="387"/>
      <c r="O500" s="387"/>
      <c r="P500" s="387"/>
    </row>
    <row r="501" spans="3:16" x14ac:dyDescent="0.3">
      <c r="C501" s="381"/>
      <c r="D501" s="402"/>
      <c r="E501" s="406"/>
      <c r="F501" s="407"/>
      <c r="G501" s="384"/>
      <c r="H501" s="384"/>
      <c r="I501" s="384"/>
      <c r="J501" s="314"/>
      <c r="K501" s="316"/>
      <c r="L501" s="316"/>
      <c r="M501" s="316"/>
      <c r="N501" s="316"/>
      <c r="O501" s="316"/>
      <c r="P501" s="316"/>
    </row>
    <row r="502" spans="3:16" x14ac:dyDescent="0.3">
      <c r="C502" s="396"/>
      <c r="D502" s="408"/>
      <c r="E502" s="409"/>
      <c r="F502" s="410"/>
      <c r="G502" s="377"/>
      <c r="H502" s="377"/>
      <c r="I502" s="377"/>
      <c r="J502" s="376"/>
      <c r="K502" s="378"/>
      <c r="L502" s="378"/>
      <c r="M502" s="378"/>
      <c r="N502" s="378"/>
      <c r="O502" s="378"/>
      <c r="P502" s="378"/>
    </row>
    <row r="503" spans="3:16" x14ac:dyDescent="0.3">
      <c r="C503" s="373"/>
      <c r="D503" s="408"/>
      <c r="E503" s="409"/>
      <c r="F503" s="410"/>
      <c r="G503" s="377"/>
      <c r="H503" s="377"/>
      <c r="I503" s="377"/>
      <c r="J503" s="376"/>
      <c r="K503" s="378"/>
      <c r="L503" s="378"/>
      <c r="M503" s="378"/>
      <c r="N503" s="378"/>
      <c r="O503" s="378"/>
      <c r="P503" s="378"/>
    </row>
    <row r="504" spans="3:16" x14ac:dyDescent="0.3">
      <c r="C504" s="373"/>
      <c r="D504" s="408"/>
      <c r="E504" s="409"/>
      <c r="F504" s="410"/>
      <c r="G504" s="377"/>
      <c r="H504" s="377"/>
      <c r="I504" s="377"/>
      <c r="J504" s="376"/>
      <c r="K504" s="378"/>
      <c r="L504" s="378"/>
      <c r="M504" s="378"/>
      <c r="N504" s="378"/>
      <c r="O504" s="378"/>
      <c r="P504" s="378"/>
    </row>
    <row r="505" spans="3:16" x14ac:dyDescent="0.3">
      <c r="C505" s="373"/>
      <c r="D505" s="408"/>
      <c r="E505" s="409"/>
      <c r="F505" s="410"/>
      <c r="G505" s="377"/>
      <c r="H505" s="377"/>
      <c r="I505" s="377"/>
      <c r="J505" s="376"/>
      <c r="K505" s="378"/>
      <c r="L505" s="378"/>
      <c r="M505" s="378"/>
      <c r="N505" s="378"/>
      <c r="O505" s="378"/>
      <c r="P505" s="378"/>
    </row>
    <row r="506" spans="3:16" x14ac:dyDescent="0.3">
      <c r="C506" s="391"/>
      <c r="D506" s="411"/>
      <c r="E506" s="412"/>
      <c r="F506" s="413"/>
      <c r="G506" s="384"/>
      <c r="H506" s="384"/>
      <c r="I506" s="384"/>
      <c r="J506" s="314"/>
      <c r="K506" s="392"/>
      <c r="L506" s="392"/>
      <c r="M506" s="392"/>
      <c r="N506" s="392"/>
      <c r="O506" s="392"/>
      <c r="P506" s="392"/>
    </row>
    <row r="507" spans="3:16" x14ac:dyDescent="0.3">
      <c r="C507" s="385"/>
      <c r="D507" s="403"/>
      <c r="E507" s="404"/>
      <c r="F507" s="405"/>
      <c r="G507" s="384"/>
      <c r="H507" s="384"/>
      <c r="I507" s="384"/>
      <c r="J507" s="314"/>
      <c r="K507" s="387"/>
      <c r="L507" s="387"/>
      <c r="M507" s="387"/>
      <c r="N507" s="387"/>
      <c r="O507" s="387"/>
      <c r="P507" s="387"/>
    </row>
    <row r="508" spans="3:16" x14ac:dyDescent="0.3">
      <c r="C508" s="394"/>
      <c r="D508" s="419"/>
      <c r="E508" s="406"/>
      <c r="F508" s="407"/>
      <c r="G508" s="384"/>
      <c r="H508" s="384"/>
      <c r="I508" s="384"/>
      <c r="J508" s="314"/>
      <c r="K508" s="316"/>
      <c r="L508" s="316"/>
      <c r="M508" s="316"/>
      <c r="N508" s="316"/>
      <c r="O508" s="316"/>
      <c r="P508" s="316"/>
    </row>
    <row r="509" spans="3:16" x14ac:dyDescent="0.3">
      <c r="C509" s="373"/>
      <c r="D509" s="408"/>
      <c r="E509" s="409"/>
      <c r="F509" s="410"/>
      <c r="G509" s="377"/>
      <c r="H509" s="377"/>
      <c r="I509" s="377"/>
      <c r="J509" s="376"/>
      <c r="K509" s="378"/>
      <c r="L509" s="378"/>
      <c r="M509" s="378"/>
      <c r="N509" s="378"/>
      <c r="O509" s="378"/>
      <c r="P509" s="378"/>
    </row>
    <row r="510" spans="3:16" x14ac:dyDescent="0.3">
      <c r="C510" s="379"/>
      <c r="D510" s="402"/>
      <c r="E510" s="313"/>
      <c r="F510" s="317"/>
      <c r="G510" s="315"/>
      <c r="H510" s="315"/>
      <c r="I510" s="315"/>
      <c r="J510" s="314"/>
      <c r="K510" s="316"/>
      <c r="L510" s="316"/>
      <c r="M510" s="316"/>
      <c r="N510" s="316"/>
      <c r="O510" s="316"/>
      <c r="P510" s="316"/>
    </row>
    <row r="511" spans="3:16" x14ac:dyDescent="0.3">
      <c r="C511" s="391"/>
      <c r="D511" s="411"/>
      <c r="E511" s="412"/>
      <c r="F511" s="413"/>
      <c r="G511" s="384"/>
      <c r="H511" s="384"/>
      <c r="I511" s="384"/>
      <c r="J511" s="314"/>
      <c r="K511" s="392"/>
      <c r="L511" s="392"/>
      <c r="M511" s="392"/>
      <c r="N511" s="392"/>
      <c r="O511" s="392"/>
      <c r="P511" s="392"/>
    </row>
    <row r="512" spans="3:16" x14ac:dyDescent="0.3">
      <c r="C512" s="385"/>
      <c r="D512" s="403"/>
      <c r="E512" s="425"/>
      <c r="F512" s="405"/>
      <c r="G512" s="384"/>
      <c r="H512" s="384"/>
      <c r="I512" s="384"/>
      <c r="J512" s="314"/>
      <c r="K512" s="387"/>
      <c r="L512" s="387"/>
      <c r="M512" s="387"/>
      <c r="N512" s="387"/>
      <c r="O512" s="387"/>
      <c r="P512" s="387"/>
    </row>
    <row r="513" spans="3:16" x14ac:dyDescent="0.3">
      <c r="C513" s="381"/>
      <c r="D513" s="419"/>
      <c r="E513" s="406"/>
      <c r="F513" s="407"/>
      <c r="G513" s="384"/>
      <c r="H513" s="384"/>
      <c r="I513" s="384"/>
      <c r="J513" s="314"/>
      <c r="K513" s="316"/>
      <c r="L513" s="316"/>
      <c r="M513" s="316"/>
      <c r="N513" s="316"/>
      <c r="O513" s="316"/>
      <c r="P513" s="316"/>
    </row>
    <row r="514" spans="3:16" x14ac:dyDescent="0.3">
      <c r="C514" s="381"/>
      <c r="D514" s="402"/>
      <c r="E514" s="406"/>
      <c r="F514" s="407"/>
      <c r="G514" s="384"/>
      <c r="H514" s="384"/>
      <c r="I514" s="384"/>
      <c r="J514" s="314"/>
      <c r="K514" s="316"/>
      <c r="L514" s="316"/>
      <c r="M514" s="316"/>
      <c r="N514" s="316"/>
      <c r="O514" s="316"/>
      <c r="P514" s="316"/>
    </row>
    <row r="515" spans="3:16" x14ac:dyDescent="0.3">
      <c r="C515" s="373"/>
      <c r="D515" s="408"/>
      <c r="E515" s="409"/>
      <c r="F515" s="410"/>
      <c r="G515" s="377"/>
      <c r="H515" s="377"/>
      <c r="I515" s="377"/>
      <c r="J515" s="376"/>
      <c r="K515" s="378"/>
      <c r="L515" s="378"/>
      <c r="M515" s="378"/>
      <c r="N515" s="378"/>
      <c r="O515" s="378"/>
      <c r="P515" s="378"/>
    </row>
    <row r="516" spans="3:16" x14ac:dyDescent="0.3">
      <c r="C516" s="373"/>
      <c r="D516" s="408"/>
      <c r="E516" s="409"/>
      <c r="F516" s="410"/>
      <c r="G516" s="377"/>
      <c r="H516" s="377"/>
      <c r="I516" s="377"/>
      <c r="J516" s="376"/>
      <c r="K516" s="378"/>
      <c r="L516" s="378"/>
      <c r="M516" s="378"/>
      <c r="N516" s="378"/>
      <c r="O516" s="378"/>
      <c r="P516" s="378"/>
    </row>
    <row r="517" spans="3:16" x14ac:dyDescent="0.3">
      <c r="C517" s="373"/>
      <c r="D517" s="408"/>
      <c r="E517" s="409"/>
      <c r="F517" s="410"/>
      <c r="G517" s="377"/>
      <c r="H517" s="377"/>
      <c r="I517" s="377"/>
      <c r="J517" s="376"/>
      <c r="K517" s="378"/>
      <c r="L517" s="378"/>
      <c r="M517" s="378"/>
      <c r="N517" s="378"/>
      <c r="O517" s="378"/>
      <c r="P517" s="378"/>
    </row>
    <row r="518" spans="3:16" x14ac:dyDescent="0.3">
      <c r="C518" s="379"/>
      <c r="D518" s="402"/>
      <c r="E518" s="313"/>
      <c r="F518" s="317"/>
      <c r="G518" s="315"/>
      <c r="H518" s="315"/>
      <c r="I518" s="315"/>
      <c r="J518" s="314"/>
      <c r="K518" s="316"/>
      <c r="L518" s="316"/>
      <c r="M518" s="316"/>
      <c r="N518" s="316"/>
      <c r="O518" s="316"/>
      <c r="P518" s="316"/>
    </row>
    <row r="519" spans="3:16" x14ac:dyDescent="0.3">
      <c r="C519" s="381"/>
      <c r="D519" s="419"/>
      <c r="E519" s="406"/>
      <c r="F519" s="407"/>
      <c r="G519" s="384"/>
      <c r="H519" s="384"/>
      <c r="I519" s="384"/>
      <c r="J519" s="314"/>
      <c r="K519" s="316"/>
      <c r="L519" s="316"/>
      <c r="M519" s="316"/>
      <c r="N519" s="316"/>
      <c r="O519" s="316"/>
      <c r="P519" s="316"/>
    </row>
    <row r="520" spans="3:16" x14ac:dyDescent="0.3">
      <c r="C520" s="373"/>
      <c r="D520" s="408"/>
      <c r="E520" s="409"/>
      <c r="F520" s="410"/>
      <c r="G520" s="377"/>
      <c r="H520" s="377"/>
      <c r="I520" s="377"/>
      <c r="J520" s="376"/>
      <c r="K520" s="378"/>
      <c r="L520" s="378"/>
      <c r="M520" s="378"/>
      <c r="N520" s="378"/>
      <c r="O520" s="378"/>
      <c r="P520" s="378"/>
    </row>
    <row r="521" spans="3:16" x14ac:dyDescent="0.3">
      <c r="C521" s="381"/>
      <c r="D521" s="419"/>
      <c r="E521" s="406"/>
      <c r="F521" s="407"/>
      <c r="G521" s="384"/>
      <c r="H521" s="384"/>
      <c r="I521" s="384"/>
      <c r="J521" s="314"/>
      <c r="K521" s="316"/>
      <c r="L521" s="316"/>
      <c r="M521" s="316"/>
      <c r="N521" s="316"/>
      <c r="O521" s="316"/>
      <c r="P521" s="316"/>
    </row>
    <row r="522" spans="3:16" x14ac:dyDescent="0.3">
      <c r="C522" s="373"/>
      <c r="D522" s="408"/>
      <c r="E522" s="409"/>
      <c r="F522" s="410"/>
      <c r="G522" s="377"/>
      <c r="H522" s="377"/>
      <c r="I522" s="377"/>
      <c r="J522" s="376"/>
      <c r="K522" s="378"/>
      <c r="L522" s="378"/>
      <c r="M522" s="378"/>
      <c r="N522" s="378"/>
      <c r="O522" s="378"/>
      <c r="P522" s="378"/>
    </row>
    <row r="523" spans="3:16" x14ac:dyDescent="0.3">
      <c r="C523" s="379"/>
      <c r="D523" s="419"/>
      <c r="E523" s="313"/>
      <c r="F523" s="407"/>
      <c r="G523" s="384"/>
      <c r="H523" s="384"/>
      <c r="I523" s="384"/>
      <c r="J523" s="314"/>
      <c r="K523" s="316"/>
      <c r="L523" s="316"/>
      <c r="M523" s="316"/>
      <c r="N523" s="316"/>
      <c r="O523" s="316"/>
      <c r="P523" s="316"/>
    </row>
    <row r="524" spans="3:16" x14ac:dyDescent="0.3">
      <c r="C524" s="385"/>
      <c r="D524" s="403"/>
      <c r="E524" s="404"/>
      <c r="F524" s="405"/>
      <c r="G524" s="384"/>
      <c r="H524" s="384"/>
      <c r="I524" s="384"/>
      <c r="J524" s="314"/>
      <c r="K524" s="387"/>
      <c r="L524" s="387"/>
      <c r="M524" s="387"/>
      <c r="N524" s="387"/>
      <c r="O524" s="387"/>
      <c r="P524" s="387"/>
    </row>
    <row r="525" spans="3:16" x14ac:dyDescent="0.3">
      <c r="C525" s="395"/>
      <c r="D525" s="424"/>
      <c r="E525" s="313"/>
      <c r="F525" s="317"/>
      <c r="G525" s="315"/>
      <c r="H525" s="315"/>
      <c r="I525" s="315"/>
      <c r="J525" s="314"/>
      <c r="K525" s="316"/>
      <c r="L525" s="316"/>
      <c r="M525" s="316"/>
      <c r="N525" s="316"/>
      <c r="O525" s="316"/>
      <c r="P525" s="316"/>
    </row>
    <row r="526" spans="3:16" x14ac:dyDescent="0.3">
      <c r="C526" s="396"/>
      <c r="D526" s="408"/>
      <c r="E526" s="409"/>
      <c r="F526" s="410"/>
      <c r="G526" s="377"/>
      <c r="H526" s="377"/>
      <c r="I526" s="377"/>
      <c r="J526" s="376"/>
      <c r="K526" s="378"/>
      <c r="L526" s="378"/>
      <c r="M526" s="378"/>
      <c r="N526" s="378"/>
      <c r="O526" s="378"/>
      <c r="P526" s="378"/>
    </row>
    <row r="527" spans="3:16" x14ac:dyDescent="0.3">
      <c r="C527" s="379"/>
      <c r="D527" s="402"/>
      <c r="E527" s="313"/>
      <c r="F527" s="317"/>
      <c r="G527" s="315"/>
      <c r="H527" s="315"/>
      <c r="I527" s="315"/>
      <c r="J527" s="314"/>
      <c r="K527" s="316"/>
      <c r="L527" s="316"/>
      <c r="M527" s="316"/>
      <c r="N527" s="316"/>
      <c r="O527" s="316"/>
      <c r="P527" s="316"/>
    </row>
    <row r="528" spans="3:16" x14ac:dyDescent="0.3">
      <c r="C528" s="385"/>
      <c r="D528" s="403"/>
      <c r="E528" s="404"/>
      <c r="F528" s="405"/>
      <c r="G528" s="384"/>
      <c r="H528" s="384"/>
      <c r="I528" s="384"/>
      <c r="J528" s="314"/>
      <c r="K528" s="387"/>
      <c r="L528" s="387"/>
      <c r="M528" s="387"/>
      <c r="N528" s="387"/>
      <c r="O528" s="387"/>
      <c r="P528" s="387"/>
    </row>
    <row r="529" spans="3:16" x14ac:dyDescent="0.3">
      <c r="C529" s="426"/>
      <c r="D529" s="408"/>
      <c r="E529" s="427"/>
      <c r="F529" s="410"/>
      <c r="G529" s="377"/>
      <c r="H529" s="377"/>
      <c r="I529" s="377"/>
      <c r="J529" s="376"/>
      <c r="K529" s="378"/>
      <c r="L529" s="378"/>
      <c r="M529" s="378"/>
      <c r="N529" s="378"/>
      <c r="O529" s="378"/>
      <c r="P529" s="378"/>
    </row>
    <row r="530" spans="3:16" x14ac:dyDescent="0.3">
      <c r="C530" s="395"/>
      <c r="D530" s="402"/>
      <c r="E530" s="313"/>
      <c r="F530" s="317"/>
      <c r="G530" s="315"/>
      <c r="H530" s="315"/>
      <c r="I530" s="315"/>
      <c r="J530" s="314"/>
      <c r="K530" s="316"/>
      <c r="L530" s="316"/>
      <c r="M530" s="316"/>
      <c r="N530" s="316"/>
      <c r="O530" s="316"/>
      <c r="P530" s="316"/>
    </row>
    <row r="531" spans="3:16" x14ac:dyDescent="0.3">
      <c r="C531" s="373"/>
      <c r="D531" s="374"/>
      <c r="E531" s="375"/>
      <c r="F531" s="376"/>
      <c r="G531" s="377"/>
      <c r="H531" s="377"/>
      <c r="I531" s="377"/>
      <c r="J531" s="376"/>
      <c r="K531" s="378"/>
      <c r="L531" s="378"/>
      <c r="M531" s="378"/>
      <c r="N531" s="378"/>
      <c r="O531" s="378"/>
      <c r="P531" s="378"/>
    </row>
    <row r="532" spans="3:16" x14ac:dyDescent="0.3">
      <c r="C532" s="373"/>
      <c r="D532" s="374"/>
      <c r="E532" s="375"/>
      <c r="F532" s="376"/>
      <c r="G532" s="377"/>
      <c r="H532" s="377"/>
      <c r="I532" s="377"/>
      <c r="J532" s="376"/>
      <c r="K532" s="378"/>
      <c r="L532" s="378"/>
      <c r="M532" s="378"/>
      <c r="N532" s="378"/>
      <c r="O532" s="378"/>
      <c r="P532" s="378"/>
    </row>
    <row r="533" spans="3:16" x14ac:dyDescent="0.3">
      <c r="C533" s="373"/>
      <c r="D533" s="374"/>
      <c r="E533" s="375"/>
      <c r="F533" s="376"/>
      <c r="G533" s="377"/>
      <c r="H533" s="377"/>
      <c r="I533" s="377"/>
      <c r="J533" s="376"/>
      <c r="K533" s="378"/>
      <c r="L533" s="378"/>
      <c r="M533" s="378"/>
      <c r="N533" s="378"/>
      <c r="O533" s="378"/>
      <c r="P533" s="378"/>
    </row>
    <row r="534" spans="3:16" x14ac:dyDescent="0.3">
      <c r="C534" s="373"/>
      <c r="D534" s="374"/>
      <c r="E534" s="375"/>
      <c r="F534" s="376"/>
      <c r="G534" s="377"/>
      <c r="H534" s="377"/>
      <c r="I534" s="377"/>
      <c r="J534" s="376"/>
      <c r="K534" s="378"/>
      <c r="L534" s="378"/>
      <c r="M534" s="378"/>
      <c r="N534" s="378"/>
      <c r="O534" s="378"/>
      <c r="P534" s="378"/>
    </row>
    <row r="535" spans="3:16" x14ac:dyDescent="0.3">
      <c r="C535" s="373"/>
      <c r="D535" s="374"/>
      <c r="E535" s="375"/>
      <c r="F535" s="376"/>
      <c r="G535" s="377"/>
      <c r="H535" s="377"/>
      <c r="I535" s="377"/>
      <c r="J535" s="376"/>
      <c r="K535" s="378"/>
      <c r="L535" s="378"/>
      <c r="M535" s="378"/>
      <c r="N535" s="378"/>
      <c r="O535" s="378"/>
      <c r="P535" s="378"/>
    </row>
    <row r="536" spans="3:16" x14ac:dyDescent="0.3">
      <c r="C536" s="373"/>
      <c r="D536" s="374"/>
      <c r="E536" s="375"/>
      <c r="F536" s="376"/>
      <c r="G536" s="377"/>
      <c r="H536" s="377"/>
      <c r="I536" s="377"/>
      <c r="J536" s="376"/>
      <c r="K536" s="378"/>
      <c r="L536" s="378"/>
      <c r="M536" s="378"/>
      <c r="N536" s="378"/>
      <c r="O536" s="378"/>
      <c r="P536" s="378"/>
    </row>
    <row r="537" spans="3:16" x14ac:dyDescent="0.3">
      <c r="C537" s="373"/>
      <c r="D537" s="374"/>
      <c r="E537" s="375"/>
      <c r="F537" s="376"/>
      <c r="G537" s="377"/>
      <c r="H537" s="377"/>
      <c r="I537" s="377"/>
      <c r="J537" s="376"/>
      <c r="K537" s="378"/>
      <c r="L537" s="378"/>
      <c r="M537" s="378"/>
      <c r="N537" s="378"/>
      <c r="O537" s="378"/>
      <c r="P537" s="378"/>
    </row>
    <row r="538" spans="3:16" x14ac:dyDescent="0.3">
      <c r="C538" s="381"/>
      <c r="D538" s="397"/>
      <c r="E538" s="382"/>
      <c r="F538" s="383"/>
      <c r="G538" s="384"/>
      <c r="H538" s="384"/>
      <c r="I538" s="384"/>
      <c r="J538" s="314"/>
      <c r="K538" s="316"/>
      <c r="L538" s="316"/>
      <c r="M538" s="316"/>
      <c r="N538" s="316"/>
      <c r="O538" s="316"/>
      <c r="P538" s="316"/>
    </row>
    <row r="539" spans="3:16" x14ac:dyDescent="0.3">
      <c r="C539" s="381"/>
      <c r="D539" s="390"/>
      <c r="E539" s="382"/>
      <c r="F539" s="383"/>
      <c r="G539" s="384"/>
      <c r="H539" s="384"/>
      <c r="I539" s="384"/>
      <c r="J539" s="314"/>
      <c r="K539" s="316"/>
      <c r="L539" s="316"/>
      <c r="M539" s="316"/>
      <c r="N539" s="316"/>
      <c r="O539" s="316"/>
      <c r="P539" s="316"/>
    </row>
    <row r="540" spans="3:16" x14ac:dyDescent="0.3">
      <c r="C540" s="373"/>
      <c r="D540" s="374"/>
      <c r="E540" s="375"/>
      <c r="F540" s="376"/>
      <c r="G540" s="377"/>
      <c r="H540" s="377"/>
      <c r="I540" s="377"/>
      <c r="J540" s="376"/>
      <c r="K540" s="378"/>
      <c r="L540" s="378"/>
      <c r="M540" s="378"/>
      <c r="N540" s="378"/>
      <c r="O540" s="378"/>
      <c r="P540" s="378"/>
    </row>
    <row r="541" spans="3:16" x14ac:dyDescent="0.3">
      <c r="C541" s="373"/>
      <c r="D541" s="374"/>
      <c r="E541" s="375"/>
      <c r="F541" s="376"/>
      <c r="G541" s="377"/>
      <c r="H541" s="377"/>
      <c r="I541" s="377"/>
      <c r="J541" s="376"/>
      <c r="K541" s="378"/>
      <c r="L541" s="378"/>
      <c r="M541" s="378"/>
      <c r="N541" s="378"/>
      <c r="O541" s="378"/>
      <c r="P541" s="378"/>
    </row>
    <row r="542" spans="3:16" x14ac:dyDescent="0.3">
      <c r="C542" s="381"/>
      <c r="D542" s="397"/>
      <c r="E542" s="382"/>
      <c r="F542" s="383"/>
      <c r="G542" s="384"/>
      <c r="H542" s="384"/>
      <c r="I542" s="384"/>
      <c r="J542" s="314"/>
      <c r="K542" s="316"/>
      <c r="L542" s="316"/>
      <c r="M542" s="316"/>
      <c r="N542" s="316"/>
      <c r="O542" s="316"/>
      <c r="P542" s="316"/>
    </row>
    <row r="543" spans="3:16" x14ac:dyDescent="0.3">
      <c r="C543" s="381"/>
      <c r="D543" s="390"/>
      <c r="E543" s="382"/>
      <c r="F543" s="383"/>
      <c r="G543" s="384"/>
      <c r="H543" s="384"/>
      <c r="I543" s="384"/>
      <c r="J543" s="314"/>
      <c r="K543" s="316"/>
      <c r="L543" s="316"/>
      <c r="M543" s="316"/>
      <c r="N543" s="316"/>
      <c r="O543" s="316"/>
      <c r="P543" s="316"/>
    </row>
    <row r="544" spans="3:16" x14ac:dyDescent="0.3">
      <c r="C544" s="373"/>
      <c r="D544" s="374"/>
      <c r="E544" s="375"/>
      <c r="F544" s="376"/>
      <c r="G544" s="377"/>
      <c r="H544" s="377"/>
      <c r="I544" s="377"/>
      <c r="J544" s="376"/>
      <c r="K544" s="378"/>
      <c r="L544" s="378"/>
      <c r="M544" s="378"/>
      <c r="N544" s="378"/>
      <c r="O544" s="378"/>
      <c r="P544" s="378"/>
    </row>
    <row r="545" spans="3:16" x14ac:dyDescent="0.3">
      <c r="C545" s="373"/>
      <c r="D545" s="374"/>
      <c r="E545" s="375"/>
      <c r="F545" s="376"/>
      <c r="G545" s="377"/>
      <c r="H545" s="377"/>
      <c r="I545" s="377"/>
      <c r="J545" s="376"/>
      <c r="K545" s="378"/>
      <c r="L545" s="378"/>
      <c r="M545" s="378"/>
      <c r="N545" s="378"/>
      <c r="O545" s="378"/>
      <c r="P545" s="378"/>
    </row>
    <row r="546" spans="3:16" x14ac:dyDescent="0.3">
      <c r="C546" s="381"/>
      <c r="D546" s="397"/>
      <c r="E546" s="382"/>
      <c r="F546" s="383"/>
      <c r="G546" s="384"/>
      <c r="H546" s="384"/>
      <c r="I546" s="384"/>
      <c r="J546" s="314"/>
      <c r="K546" s="316"/>
      <c r="L546" s="316"/>
      <c r="M546" s="316"/>
      <c r="N546" s="316"/>
      <c r="O546" s="316"/>
      <c r="P546" s="316"/>
    </row>
    <row r="547" spans="3:16" x14ac:dyDescent="0.3">
      <c r="C547" s="381"/>
      <c r="D547" s="390"/>
      <c r="E547" s="382"/>
      <c r="F547" s="383"/>
      <c r="G547" s="384"/>
      <c r="H547" s="384"/>
      <c r="I547" s="384"/>
      <c r="J547" s="314"/>
      <c r="K547" s="316"/>
      <c r="L547" s="316"/>
      <c r="M547" s="316"/>
      <c r="N547" s="316"/>
      <c r="O547" s="316"/>
      <c r="P547" s="316"/>
    </row>
    <row r="548" spans="3:16" x14ac:dyDescent="0.3">
      <c r="C548" s="373"/>
      <c r="D548" s="374"/>
      <c r="E548" s="375"/>
      <c r="F548" s="376"/>
      <c r="G548" s="377"/>
      <c r="H548" s="377"/>
      <c r="I548" s="377"/>
      <c r="J548" s="376"/>
      <c r="K548" s="378"/>
      <c r="L548" s="378"/>
      <c r="M548" s="378"/>
      <c r="N548" s="378"/>
      <c r="O548" s="378"/>
      <c r="P548" s="378"/>
    </row>
    <row r="549" spans="3:16" x14ac:dyDescent="0.3">
      <c r="C549" s="373"/>
      <c r="D549" s="374"/>
      <c r="E549" s="375"/>
      <c r="F549" s="376"/>
      <c r="G549" s="377"/>
      <c r="H549" s="377"/>
      <c r="I549" s="377"/>
      <c r="J549" s="376"/>
      <c r="K549" s="378"/>
      <c r="L549" s="378"/>
      <c r="M549" s="378"/>
      <c r="N549" s="378"/>
      <c r="O549" s="378"/>
      <c r="P549" s="378"/>
    </row>
    <row r="550" spans="3:16" x14ac:dyDescent="0.3">
      <c r="C550" s="379"/>
      <c r="D550" s="312"/>
      <c r="E550" s="380"/>
      <c r="F550" s="314"/>
      <c r="G550" s="315"/>
      <c r="H550" s="315"/>
      <c r="I550" s="315"/>
      <c r="J550" s="314"/>
      <c r="K550" s="316"/>
      <c r="L550" s="316"/>
      <c r="M550" s="316"/>
      <c r="N550" s="316"/>
      <c r="O550" s="316"/>
      <c r="P550" s="316"/>
    </row>
    <row r="551" spans="3:16" x14ac:dyDescent="0.3">
      <c r="C551" s="385"/>
      <c r="D551" s="386"/>
      <c r="E551" s="382"/>
      <c r="F551" s="383"/>
      <c r="G551" s="384"/>
      <c r="H551" s="384"/>
      <c r="I551" s="384"/>
      <c r="J551" s="314"/>
      <c r="K551" s="387"/>
      <c r="L551" s="387"/>
      <c r="M551" s="387"/>
      <c r="N551" s="387"/>
      <c r="O551" s="387"/>
      <c r="P551" s="387"/>
    </row>
    <row r="552" spans="3:16" x14ac:dyDescent="0.3">
      <c r="C552" s="381"/>
      <c r="D552" s="397"/>
      <c r="E552" s="382"/>
      <c r="F552" s="383"/>
      <c r="G552" s="384"/>
      <c r="H552" s="384"/>
      <c r="I552" s="384"/>
      <c r="J552" s="314"/>
      <c r="K552" s="316"/>
      <c r="L552" s="316"/>
      <c r="M552" s="316"/>
      <c r="N552" s="316"/>
      <c r="O552" s="316"/>
      <c r="P552" s="316"/>
    </row>
    <row r="553" spans="3:16" x14ac:dyDescent="0.3">
      <c r="C553" s="381"/>
      <c r="D553" s="390"/>
      <c r="E553" s="382"/>
      <c r="F553" s="383"/>
      <c r="G553" s="384"/>
      <c r="H553" s="384"/>
      <c r="I553" s="384"/>
      <c r="J553" s="314"/>
      <c r="K553" s="316"/>
      <c r="L553" s="316"/>
      <c r="M553" s="316"/>
      <c r="N553" s="316"/>
      <c r="O553" s="316"/>
      <c r="P553" s="316"/>
    </row>
    <row r="554" spans="3:16" x14ac:dyDescent="0.3">
      <c r="C554" s="373"/>
      <c r="D554" s="374"/>
      <c r="E554" s="375"/>
      <c r="F554" s="376"/>
      <c r="G554" s="377"/>
      <c r="H554" s="377"/>
      <c r="I554" s="377"/>
      <c r="J554" s="376"/>
      <c r="K554" s="378"/>
      <c r="L554" s="378"/>
      <c r="M554" s="378"/>
      <c r="N554" s="378"/>
      <c r="O554" s="378"/>
      <c r="P554" s="378"/>
    </row>
    <row r="555" spans="3:16" x14ac:dyDescent="0.3">
      <c r="C555" s="379"/>
      <c r="D555" s="312"/>
      <c r="E555" s="380"/>
      <c r="F555" s="314"/>
      <c r="G555" s="315"/>
      <c r="H555" s="315"/>
      <c r="I555" s="315"/>
      <c r="J555" s="314"/>
      <c r="K555" s="316"/>
      <c r="L555" s="316"/>
      <c r="M555" s="316"/>
      <c r="N555" s="316"/>
      <c r="O555" s="316"/>
      <c r="P555" s="316"/>
    </row>
    <row r="556" spans="3:16" x14ac:dyDescent="0.3">
      <c r="C556" s="391"/>
      <c r="D556" s="386"/>
      <c r="E556" s="382"/>
      <c r="F556" s="383"/>
      <c r="G556" s="384"/>
      <c r="H556" s="384"/>
      <c r="I556" s="384"/>
      <c r="J556" s="314"/>
      <c r="K556" s="392"/>
      <c r="L556" s="392"/>
      <c r="M556" s="392"/>
      <c r="N556" s="392"/>
      <c r="O556" s="392"/>
      <c r="P556" s="392"/>
    </row>
    <row r="557" spans="3:16" x14ac:dyDescent="0.3">
      <c r="C557" s="385"/>
      <c r="D557" s="386"/>
      <c r="E557" s="382"/>
      <c r="F557" s="383"/>
      <c r="G557" s="384"/>
      <c r="H557" s="384"/>
      <c r="I557" s="384"/>
      <c r="J557" s="314"/>
      <c r="K557" s="387"/>
      <c r="L557" s="387"/>
      <c r="M557" s="387"/>
      <c r="N557" s="387"/>
      <c r="O557" s="387"/>
      <c r="P557" s="387"/>
    </row>
    <row r="558" spans="3:16" x14ac:dyDescent="0.3">
      <c r="C558" s="379"/>
      <c r="D558" s="312"/>
      <c r="E558" s="380"/>
      <c r="F558" s="314"/>
      <c r="G558" s="315"/>
      <c r="H558" s="315"/>
      <c r="I558" s="315"/>
      <c r="J558" s="314"/>
      <c r="K558" s="316"/>
      <c r="L558" s="316"/>
      <c r="M558" s="316"/>
      <c r="N558" s="316"/>
      <c r="O558" s="316"/>
      <c r="P558" s="316"/>
    </row>
    <row r="559" spans="3:16" x14ac:dyDescent="0.3">
      <c r="C559" s="373"/>
      <c r="D559" s="374"/>
      <c r="E559" s="375"/>
      <c r="F559" s="376"/>
      <c r="G559" s="377"/>
      <c r="H559" s="377"/>
      <c r="I559" s="377"/>
      <c r="J559" s="376"/>
      <c r="K559" s="378"/>
      <c r="L559" s="378"/>
      <c r="M559" s="378"/>
      <c r="N559" s="378"/>
      <c r="O559" s="378"/>
      <c r="P559" s="378"/>
    </row>
    <row r="560" spans="3:16" x14ac:dyDescent="0.3">
      <c r="C560" s="373"/>
      <c r="D560" s="374"/>
      <c r="E560" s="375"/>
      <c r="F560" s="376"/>
      <c r="G560" s="377"/>
      <c r="H560" s="377"/>
      <c r="I560" s="377"/>
      <c r="J560" s="376"/>
      <c r="K560" s="378"/>
      <c r="L560" s="378"/>
      <c r="M560" s="378"/>
      <c r="N560" s="378"/>
      <c r="O560" s="378"/>
      <c r="P560" s="378"/>
    </row>
    <row r="561" spans="3:16" x14ac:dyDescent="0.3">
      <c r="C561" s="373"/>
      <c r="D561" s="374"/>
      <c r="E561" s="375"/>
      <c r="F561" s="376"/>
      <c r="G561" s="377"/>
      <c r="H561" s="377"/>
      <c r="I561" s="377"/>
      <c r="J561" s="376"/>
      <c r="K561" s="378"/>
      <c r="L561" s="378"/>
      <c r="M561" s="378"/>
      <c r="N561" s="378"/>
      <c r="O561" s="378"/>
      <c r="P561" s="378"/>
    </row>
    <row r="562" spans="3:16" x14ac:dyDescent="0.3">
      <c r="C562" s="373"/>
      <c r="D562" s="374"/>
      <c r="E562" s="375"/>
      <c r="F562" s="376"/>
      <c r="G562" s="377"/>
      <c r="H562" s="377"/>
      <c r="I562" s="377"/>
      <c r="J562" s="376"/>
      <c r="K562" s="378"/>
      <c r="L562" s="378"/>
      <c r="M562" s="378"/>
      <c r="N562" s="378"/>
      <c r="O562" s="378"/>
      <c r="P562" s="378"/>
    </row>
    <row r="563" spans="3:16" x14ac:dyDescent="0.3">
      <c r="C563" s="373"/>
      <c r="D563" s="374"/>
      <c r="E563" s="375"/>
      <c r="F563" s="376"/>
      <c r="G563" s="377"/>
      <c r="H563" s="377"/>
      <c r="I563" s="377"/>
      <c r="J563" s="376"/>
      <c r="K563" s="378"/>
      <c r="L563" s="378"/>
      <c r="M563" s="378"/>
      <c r="N563" s="378"/>
      <c r="O563" s="378"/>
      <c r="P563" s="378"/>
    </row>
    <row r="564" spans="3:16" x14ac:dyDescent="0.3">
      <c r="C564" s="373"/>
      <c r="D564" s="374"/>
      <c r="E564" s="375"/>
      <c r="F564" s="376"/>
      <c r="G564" s="377"/>
      <c r="H564" s="377"/>
      <c r="I564" s="377"/>
      <c r="J564" s="376"/>
      <c r="K564" s="378"/>
      <c r="L564" s="378"/>
      <c r="M564" s="378"/>
      <c r="N564" s="378"/>
      <c r="O564" s="378"/>
      <c r="P564" s="378"/>
    </row>
    <row r="565" spans="3:16" x14ac:dyDescent="0.3">
      <c r="C565" s="373"/>
      <c r="D565" s="374"/>
      <c r="E565" s="375"/>
      <c r="F565" s="376"/>
      <c r="G565" s="377"/>
      <c r="H565" s="377"/>
      <c r="I565" s="377"/>
      <c r="J565" s="376"/>
      <c r="K565" s="378"/>
      <c r="L565" s="378"/>
      <c r="M565" s="378"/>
      <c r="N565" s="378"/>
      <c r="O565" s="378"/>
      <c r="P565" s="378"/>
    </row>
    <row r="566" spans="3:16" x14ac:dyDescent="0.3">
      <c r="C566" s="379"/>
      <c r="D566" s="312"/>
      <c r="E566" s="380"/>
      <c r="F566" s="314"/>
      <c r="G566" s="315"/>
      <c r="H566" s="315"/>
      <c r="I566" s="315"/>
      <c r="J566" s="314"/>
      <c r="K566" s="316"/>
      <c r="L566" s="316"/>
      <c r="M566" s="316"/>
      <c r="N566" s="316"/>
      <c r="O566" s="316"/>
      <c r="P566" s="316"/>
    </row>
    <row r="567" spans="3:16" x14ac:dyDescent="0.3">
      <c r="C567" s="373"/>
      <c r="D567" s="374"/>
      <c r="E567" s="375"/>
      <c r="F567" s="376"/>
      <c r="G567" s="377"/>
      <c r="H567" s="377"/>
      <c r="I567" s="377"/>
      <c r="J567" s="376"/>
      <c r="K567" s="378"/>
      <c r="L567" s="378"/>
      <c r="M567" s="378"/>
      <c r="N567" s="378"/>
      <c r="O567" s="378"/>
      <c r="P567" s="378"/>
    </row>
    <row r="568" spans="3:16" x14ac:dyDescent="0.3">
      <c r="C568" s="373"/>
      <c r="D568" s="374"/>
      <c r="E568" s="375"/>
      <c r="F568" s="376"/>
      <c r="G568" s="377"/>
      <c r="H568" s="377"/>
      <c r="I568" s="377"/>
      <c r="J568" s="376"/>
      <c r="K568" s="378"/>
      <c r="L568" s="378"/>
      <c r="M568" s="378"/>
      <c r="N568" s="378"/>
      <c r="O568" s="378"/>
      <c r="P568" s="378"/>
    </row>
    <row r="569" spans="3:16" x14ac:dyDescent="0.3">
      <c r="C569" s="373"/>
      <c r="D569" s="374"/>
      <c r="E569" s="375"/>
      <c r="F569" s="376"/>
      <c r="G569" s="377"/>
      <c r="H569" s="377"/>
      <c r="I569" s="377"/>
      <c r="J569" s="376"/>
      <c r="K569" s="378"/>
      <c r="L569" s="378"/>
      <c r="M569" s="378"/>
      <c r="N569" s="378"/>
      <c r="O569" s="378"/>
      <c r="P569" s="378"/>
    </row>
    <row r="570" spans="3:16" x14ac:dyDescent="0.3">
      <c r="C570" s="373"/>
      <c r="D570" s="374"/>
      <c r="E570" s="375"/>
      <c r="F570" s="376"/>
      <c r="G570" s="377"/>
      <c r="H570" s="377"/>
      <c r="I570" s="377"/>
      <c r="J570" s="376"/>
      <c r="K570" s="378"/>
      <c r="L570" s="378"/>
      <c r="M570" s="378"/>
      <c r="N570" s="378"/>
      <c r="O570" s="378"/>
      <c r="P570" s="378"/>
    </row>
    <row r="571" spans="3:16" x14ac:dyDescent="0.3">
      <c r="C571" s="379"/>
      <c r="D571" s="312"/>
      <c r="E571" s="380"/>
      <c r="F571" s="314"/>
      <c r="G571" s="315"/>
      <c r="H571" s="315"/>
      <c r="I571" s="315"/>
      <c r="J571" s="314"/>
      <c r="K571" s="316"/>
      <c r="L571" s="316"/>
      <c r="M571" s="316"/>
      <c r="N571" s="316"/>
      <c r="O571" s="316"/>
      <c r="P571" s="316"/>
    </row>
    <row r="572" spans="3:16" x14ac:dyDescent="0.3">
      <c r="C572" s="373"/>
      <c r="D572" s="374"/>
      <c r="E572" s="375"/>
      <c r="F572" s="376"/>
      <c r="G572" s="377"/>
      <c r="H572" s="377"/>
      <c r="I572" s="377"/>
      <c r="J572" s="376"/>
      <c r="K572" s="378"/>
      <c r="L572" s="378"/>
      <c r="M572" s="378"/>
      <c r="N572" s="378"/>
      <c r="O572" s="378"/>
      <c r="P572" s="378"/>
    </row>
    <row r="573" spans="3:16" x14ac:dyDescent="0.3">
      <c r="C573" s="373"/>
      <c r="D573" s="374"/>
      <c r="E573" s="375"/>
      <c r="F573" s="376"/>
      <c r="G573" s="377"/>
      <c r="H573" s="377"/>
      <c r="I573" s="377"/>
      <c r="J573" s="376"/>
      <c r="K573" s="378"/>
      <c r="L573" s="378"/>
      <c r="M573" s="378"/>
      <c r="N573" s="378"/>
      <c r="O573" s="378"/>
      <c r="P573" s="378"/>
    </row>
    <row r="574" spans="3:16" x14ac:dyDescent="0.3">
      <c r="C574" s="373"/>
      <c r="D574" s="374"/>
      <c r="E574" s="375"/>
      <c r="F574" s="376"/>
      <c r="G574" s="377"/>
      <c r="H574" s="377"/>
      <c r="I574" s="377"/>
      <c r="J574" s="376"/>
      <c r="K574" s="378"/>
      <c r="L574" s="378"/>
      <c r="M574" s="378"/>
      <c r="N574" s="378"/>
      <c r="O574" s="378"/>
      <c r="P574" s="378"/>
    </row>
    <row r="575" spans="3:16" x14ac:dyDescent="0.3">
      <c r="C575" s="379"/>
      <c r="D575" s="312"/>
      <c r="E575" s="380"/>
      <c r="F575" s="314"/>
      <c r="G575" s="315"/>
      <c r="H575" s="315"/>
      <c r="I575" s="315"/>
      <c r="J575" s="314"/>
      <c r="K575" s="316"/>
      <c r="L575" s="316"/>
      <c r="M575" s="316"/>
      <c r="N575" s="316"/>
      <c r="O575" s="316"/>
      <c r="P575" s="316"/>
    </row>
    <row r="576" spans="3:16" x14ac:dyDescent="0.3">
      <c r="C576" s="373"/>
      <c r="D576" s="374"/>
      <c r="E576" s="375"/>
      <c r="F576" s="376"/>
      <c r="G576" s="377"/>
      <c r="H576" s="377"/>
      <c r="I576" s="377"/>
      <c r="J576" s="376"/>
      <c r="K576" s="378"/>
      <c r="L576" s="378"/>
      <c r="M576" s="378"/>
      <c r="N576" s="378"/>
      <c r="O576" s="378"/>
      <c r="P576" s="378"/>
    </row>
    <row r="577" spans="3:16" x14ac:dyDescent="0.3">
      <c r="C577" s="379"/>
      <c r="D577" s="312"/>
      <c r="E577" s="380"/>
      <c r="F577" s="314"/>
      <c r="G577" s="315"/>
      <c r="H577" s="315"/>
      <c r="I577" s="315"/>
      <c r="J577" s="314"/>
      <c r="K577" s="316"/>
      <c r="L577" s="316"/>
      <c r="M577" s="316"/>
      <c r="N577" s="316"/>
      <c r="O577" s="316"/>
      <c r="P577" s="316"/>
    </row>
    <row r="578" spans="3:16" x14ac:dyDescent="0.3">
      <c r="C578" s="385"/>
      <c r="D578" s="386"/>
      <c r="E578" s="382"/>
      <c r="F578" s="383"/>
      <c r="G578" s="384"/>
      <c r="H578" s="384"/>
      <c r="I578" s="384"/>
      <c r="J578" s="314"/>
      <c r="K578" s="387"/>
      <c r="L578" s="387"/>
      <c r="M578" s="387"/>
      <c r="N578" s="387"/>
      <c r="O578" s="387"/>
      <c r="P578" s="387"/>
    </row>
    <row r="579" spans="3:16" x14ac:dyDescent="0.3">
      <c r="C579" s="381"/>
      <c r="D579" s="393"/>
      <c r="E579" s="382"/>
      <c r="F579" s="383"/>
      <c r="G579" s="384"/>
      <c r="H579" s="384"/>
      <c r="I579" s="384"/>
      <c r="J579" s="314"/>
      <c r="K579" s="316"/>
      <c r="L579" s="316"/>
      <c r="M579" s="316"/>
      <c r="N579" s="316"/>
      <c r="O579" s="316"/>
      <c r="P579" s="316"/>
    </row>
    <row r="580" spans="3:16" x14ac:dyDescent="0.3">
      <c r="C580" s="379"/>
      <c r="D580" s="312"/>
      <c r="E580" s="380"/>
      <c r="F580" s="314"/>
      <c r="G580" s="315"/>
      <c r="H580" s="315"/>
      <c r="I580" s="315"/>
      <c r="J580" s="314"/>
      <c r="K580" s="316"/>
      <c r="L580" s="316"/>
      <c r="M580" s="316"/>
      <c r="N580" s="316"/>
      <c r="O580" s="316"/>
      <c r="P580" s="316"/>
    </row>
    <row r="581" spans="3:16" x14ac:dyDescent="0.3">
      <c r="C581" s="373"/>
      <c r="D581" s="374"/>
      <c r="E581" s="375"/>
      <c r="F581" s="376"/>
      <c r="G581" s="377"/>
      <c r="H581" s="377"/>
      <c r="I581" s="377"/>
      <c r="J581" s="376"/>
      <c r="K581" s="378"/>
      <c r="L581" s="378"/>
      <c r="M581" s="378"/>
      <c r="N581" s="378"/>
      <c r="O581" s="378"/>
      <c r="P581" s="378"/>
    </row>
    <row r="582" spans="3:16" x14ac:dyDescent="0.3">
      <c r="C582" s="373"/>
      <c r="D582" s="374"/>
      <c r="E582" s="375"/>
      <c r="F582" s="376"/>
      <c r="G582" s="377"/>
      <c r="H582" s="377"/>
      <c r="I582" s="377"/>
      <c r="J582" s="376"/>
      <c r="K582" s="378"/>
      <c r="L582" s="378"/>
      <c r="M582" s="378"/>
      <c r="N582" s="378"/>
      <c r="O582" s="378"/>
      <c r="P582" s="378"/>
    </row>
    <row r="583" spans="3:16" x14ac:dyDescent="0.3">
      <c r="C583" s="373"/>
      <c r="D583" s="374"/>
      <c r="E583" s="375"/>
      <c r="F583" s="376"/>
      <c r="G583" s="377"/>
      <c r="H583" s="377"/>
      <c r="I583" s="377"/>
      <c r="J583" s="376"/>
      <c r="K583" s="378"/>
      <c r="L583" s="378"/>
      <c r="M583" s="378"/>
      <c r="N583" s="378"/>
      <c r="O583" s="378"/>
      <c r="P583" s="378"/>
    </row>
    <row r="584" spans="3:16" x14ac:dyDescent="0.3">
      <c r="C584" s="373"/>
      <c r="D584" s="374"/>
      <c r="E584" s="375"/>
      <c r="F584" s="376"/>
      <c r="G584" s="377"/>
      <c r="H584" s="377"/>
      <c r="I584" s="377"/>
      <c r="J584" s="376"/>
      <c r="K584" s="378"/>
      <c r="L584" s="378"/>
      <c r="M584" s="378"/>
      <c r="N584" s="378"/>
      <c r="O584" s="378"/>
      <c r="P584" s="378"/>
    </row>
    <row r="585" spans="3:16" x14ac:dyDescent="0.3">
      <c r="C585" s="373"/>
      <c r="D585" s="374"/>
      <c r="E585" s="375"/>
      <c r="F585" s="376"/>
      <c r="G585" s="377"/>
      <c r="H585" s="377"/>
      <c r="I585" s="377"/>
      <c r="J585" s="376"/>
      <c r="K585" s="378"/>
      <c r="L585" s="378"/>
      <c r="M585" s="378"/>
      <c r="N585" s="378"/>
      <c r="O585" s="378"/>
      <c r="P585" s="378"/>
    </row>
    <row r="586" spans="3:16" x14ac:dyDescent="0.3">
      <c r="C586" s="373"/>
      <c r="D586" s="374"/>
      <c r="E586" s="375"/>
      <c r="F586" s="376"/>
      <c r="G586" s="377"/>
      <c r="H586" s="377"/>
      <c r="I586" s="377"/>
      <c r="J586" s="376"/>
      <c r="K586" s="378"/>
      <c r="L586" s="378"/>
      <c r="M586" s="378"/>
      <c r="N586" s="378"/>
      <c r="O586" s="378"/>
      <c r="P586" s="378"/>
    </row>
    <row r="587" spans="3:16" x14ac:dyDescent="0.3">
      <c r="C587" s="373"/>
      <c r="D587" s="374"/>
      <c r="E587" s="375"/>
      <c r="F587" s="376"/>
      <c r="G587" s="377"/>
      <c r="H587" s="377"/>
      <c r="I587" s="377"/>
      <c r="J587" s="376"/>
      <c r="K587" s="378"/>
      <c r="L587" s="378"/>
      <c r="M587" s="378"/>
      <c r="N587" s="378"/>
      <c r="O587" s="378"/>
      <c r="P587" s="378"/>
    </row>
    <row r="588" spans="3:16" x14ac:dyDescent="0.3">
      <c r="C588" s="373"/>
      <c r="D588" s="374"/>
      <c r="E588" s="375"/>
      <c r="F588" s="376"/>
      <c r="G588" s="377"/>
      <c r="H588" s="377"/>
      <c r="I588" s="377"/>
      <c r="J588" s="376"/>
      <c r="K588" s="378"/>
      <c r="L588" s="378"/>
      <c r="M588" s="378"/>
      <c r="N588" s="378"/>
      <c r="O588" s="378"/>
      <c r="P588" s="378"/>
    </row>
    <row r="589" spans="3:16" x14ac:dyDescent="0.3">
      <c r="C589" s="373"/>
      <c r="D589" s="374"/>
      <c r="E589" s="375"/>
      <c r="F589" s="376"/>
      <c r="G589" s="377"/>
      <c r="H589" s="377"/>
      <c r="I589" s="377"/>
      <c r="J589" s="376"/>
      <c r="K589" s="378"/>
      <c r="L589" s="378"/>
      <c r="M589" s="378"/>
      <c r="N589" s="378"/>
      <c r="O589" s="378"/>
      <c r="P589" s="378"/>
    </row>
    <row r="590" spans="3:16" x14ac:dyDescent="0.3">
      <c r="C590" s="373"/>
      <c r="D590" s="374"/>
      <c r="E590" s="375"/>
      <c r="F590" s="376"/>
      <c r="G590" s="377"/>
      <c r="H590" s="377"/>
      <c r="I590" s="377"/>
      <c r="J590" s="376"/>
      <c r="K590" s="378"/>
      <c r="L590" s="378"/>
      <c r="M590" s="378"/>
      <c r="N590" s="378"/>
      <c r="O590" s="378"/>
      <c r="P590" s="378"/>
    </row>
    <row r="591" spans="3:16" x14ac:dyDescent="0.3">
      <c r="C591" s="373"/>
      <c r="D591" s="374"/>
      <c r="E591" s="375"/>
      <c r="F591" s="376"/>
      <c r="G591" s="377"/>
      <c r="H591" s="377"/>
      <c r="I591" s="377"/>
      <c r="J591" s="376"/>
      <c r="K591" s="378"/>
      <c r="L591" s="378"/>
      <c r="M591" s="378"/>
      <c r="N591" s="378"/>
      <c r="O591" s="378"/>
      <c r="P591" s="378"/>
    </row>
    <row r="592" spans="3:16" x14ac:dyDescent="0.3">
      <c r="C592" s="379"/>
      <c r="D592" s="312"/>
      <c r="E592" s="380"/>
      <c r="F592" s="314"/>
      <c r="G592" s="315"/>
      <c r="H592" s="315"/>
      <c r="I592" s="315"/>
      <c r="J592" s="314"/>
      <c r="K592" s="316"/>
      <c r="L592" s="316"/>
      <c r="M592" s="316"/>
      <c r="N592" s="316"/>
      <c r="O592" s="316"/>
      <c r="P592" s="316"/>
    </row>
    <row r="593" spans="3:16" x14ac:dyDescent="0.3">
      <c r="C593" s="373"/>
      <c r="D593" s="374"/>
      <c r="E593" s="375"/>
      <c r="F593" s="376"/>
      <c r="G593" s="377"/>
      <c r="H593" s="377"/>
      <c r="I593" s="377"/>
      <c r="J593" s="376"/>
      <c r="K593" s="378"/>
      <c r="L593" s="378"/>
      <c r="M593" s="378"/>
      <c r="N593" s="378"/>
      <c r="O593" s="378"/>
      <c r="P593" s="378"/>
    </row>
    <row r="594" spans="3:16" x14ac:dyDescent="0.3">
      <c r="C594" s="373"/>
      <c r="D594" s="374"/>
      <c r="E594" s="375"/>
      <c r="F594" s="376"/>
      <c r="G594" s="377"/>
      <c r="H594" s="377"/>
      <c r="I594" s="377"/>
      <c r="J594" s="376"/>
      <c r="K594" s="378"/>
      <c r="L594" s="378"/>
      <c r="M594" s="378"/>
      <c r="N594" s="378"/>
      <c r="O594" s="378"/>
      <c r="P594" s="378"/>
    </row>
    <row r="595" spans="3:16" x14ac:dyDescent="0.3">
      <c r="C595" s="373"/>
      <c r="D595" s="374"/>
      <c r="E595" s="375"/>
      <c r="F595" s="376"/>
      <c r="G595" s="377"/>
      <c r="H595" s="377"/>
      <c r="I595" s="377"/>
      <c r="J595" s="376"/>
      <c r="K595" s="378"/>
      <c r="L595" s="378"/>
      <c r="M595" s="378"/>
      <c r="N595" s="378"/>
      <c r="O595" s="378"/>
      <c r="P595" s="378"/>
    </row>
    <row r="596" spans="3:16" x14ac:dyDescent="0.3">
      <c r="C596" s="373"/>
      <c r="D596" s="374"/>
      <c r="E596" s="375"/>
      <c r="F596" s="376"/>
      <c r="G596" s="377"/>
      <c r="H596" s="377"/>
      <c r="I596" s="377"/>
      <c r="J596" s="376"/>
      <c r="K596" s="378"/>
      <c r="L596" s="378"/>
      <c r="M596" s="378"/>
      <c r="N596" s="378"/>
      <c r="O596" s="378"/>
      <c r="P596" s="378"/>
    </row>
    <row r="597" spans="3:16" x14ac:dyDescent="0.3">
      <c r="C597" s="373"/>
      <c r="D597" s="374"/>
      <c r="E597" s="375"/>
      <c r="F597" s="376"/>
      <c r="G597" s="377"/>
      <c r="H597" s="377"/>
      <c r="I597" s="377"/>
      <c r="J597" s="376"/>
      <c r="K597" s="378"/>
      <c r="L597" s="378"/>
      <c r="M597" s="378"/>
      <c r="N597" s="378"/>
      <c r="O597" s="378"/>
      <c r="P597" s="378"/>
    </row>
    <row r="598" spans="3:16" x14ac:dyDescent="0.3">
      <c r="C598" s="373"/>
      <c r="D598" s="374"/>
      <c r="E598" s="375"/>
      <c r="F598" s="376"/>
      <c r="G598" s="377"/>
      <c r="H598" s="377"/>
      <c r="I598" s="377"/>
      <c r="J598" s="376"/>
      <c r="K598" s="378"/>
      <c r="L598" s="378"/>
      <c r="M598" s="378"/>
      <c r="N598" s="378"/>
      <c r="O598" s="378"/>
      <c r="P598" s="378"/>
    </row>
    <row r="599" spans="3:16" x14ac:dyDescent="0.3">
      <c r="C599" s="379"/>
      <c r="D599" s="312"/>
      <c r="E599" s="380"/>
      <c r="F599" s="314"/>
      <c r="G599" s="315"/>
      <c r="H599" s="315"/>
      <c r="I599" s="315"/>
      <c r="J599" s="314"/>
      <c r="K599" s="316"/>
      <c r="L599" s="316"/>
      <c r="M599" s="316"/>
      <c r="N599" s="316"/>
      <c r="O599" s="316"/>
      <c r="P599" s="316"/>
    </row>
    <row r="600" spans="3:16" x14ac:dyDescent="0.3">
      <c r="C600" s="373"/>
      <c r="D600" s="374"/>
      <c r="E600" s="375"/>
      <c r="F600" s="376"/>
      <c r="G600" s="377"/>
      <c r="H600" s="377"/>
      <c r="I600" s="377"/>
      <c r="J600" s="376"/>
      <c r="K600" s="378"/>
      <c r="L600" s="378"/>
      <c r="M600" s="378"/>
      <c r="N600" s="378"/>
      <c r="O600" s="378"/>
      <c r="P600" s="378"/>
    </row>
    <row r="601" spans="3:16" x14ac:dyDescent="0.3">
      <c r="C601" s="373"/>
      <c r="D601" s="374"/>
      <c r="E601" s="375"/>
      <c r="F601" s="376"/>
      <c r="G601" s="377"/>
      <c r="H601" s="377"/>
      <c r="I601" s="377"/>
      <c r="J601" s="376"/>
      <c r="K601" s="378"/>
      <c r="L601" s="378"/>
      <c r="M601" s="378"/>
      <c r="N601" s="378"/>
      <c r="O601" s="378"/>
      <c r="P601" s="378"/>
    </row>
    <row r="602" spans="3:16" x14ac:dyDescent="0.3">
      <c r="C602" s="379"/>
      <c r="D602" s="312"/>
      <c r="E602" s="380"/>
      <c r="F602" s="314"/>
      <c r="G602" s="315"/>
      <c r="H602" s="315"/>
      <c r="I602" s="315"/>
      <c r="J602" s="314"/>
      <c r="K602" s="316"/>
      <c r="L602" s="316"/>
      <c r="M602" s="316"/>
      <c r="N602" s="316"/>
      <c r="O602" s="316"/>
      <c r="P602" s="316"/>
    </row>
    <row r="603" spans="3:16" x14ac:dyDescent="0.3">
      <c r="C603" s="381"/>
      <c r="D603" s="393"/>
      <c r="E603" s="382"/>
      <c r="F603" s="383"/>
      <c r="G603" s="384"/>
      <c r="H603" s="384"/>
      <c r="I603" s="384"/>
      <c r="J603" s="314"/>
      <c r="K603" s="316"/>
      <c r="L603" s="316"/>
      <c r="M603" s="316"/>
      <c r="N603" s="316"/>
      <c r="O603" s="316"/>
      <c r="P603" s="316"/>
    </row>
    <row r="604" spans="3:16" x14ac:dyDescent="0.3">
      <c r="C604" s="379"/>
      <c r="D604" s="312"/>
      <c r="E604" s="380"/>
      <c r="F604" s="314"/>
      <c r="G604" s="315"/>
      <c r="H604" s="315"/>
      <c r="I604" s="315"/>
      <c r="J604" s="314"/>
      <c r="K604" s="316"/>
      <c r="L604" s="316"/>
      <c r="M604" s="316"/>
      <c r="N604" s="316"/>
      <c r="O604" s="316"/>
      <c r="P604" s="316"/>
    </row>
    <row r="605" spans="3:16" x14ac:dyDescent="0.3">
      <c r="C605" s="373"/>
      <c r="D605" s="374"/>
      <c r="E605" s="375"/>
      <c r="F605" s="376"/>
      <c r="G605" s="377"/>
      <c r="H605" s="377"/>
      <c r="I605" s="377"/>
      <c r="J605" s="376"/>
      <c r="K605" s="378"/>
      <c r="L605" s="378"/>
      <c r="M605" s="378"/>
      <c r="N605" s="378"/>
      <c r="O605" s="378"/>
      <c r="P605" s="378"/>
    </row>
    <row r="606" spans="3:16" x14ac:dyDescent="0.3">
      <c r="C606" s="373"/>
      <c r="D606" s="374"/>
      <c r="E606" s="375"/>
      <c r="F606" s="376"/>
      <c r="G606" s="377"/>
      <c r="H606" s="377"/>
      <c r="I606" s="377"/>
      <c r="J606" s="376"/>
      <c r="K606" s="378"/>
      <c r="L606" s="378"/>
      <c r="M606" s="378"/>
      <c r="N606" s="378"/>
      <c r="O606" s="378"/>
      <c r="P606" s="378"/>
    </row>
    <row r="607" spans="3:16" x14ac:dyDescent="0.3">
      <c r="C607" s="373"/>
      <c r="D607" s="374"/>
      <c r="E607" s="375"/>
      <c r="F607" s="376"/>
      <c r="G607" s="377"/>
      <c r="H607" s="377"/>
      <c r="I607" s="377"/>
      <c r="J607" s="376"/>
      <c r="K607" s="378"/>
      <c r="L607" s="378"/>
      <c r="M607" s="378"/>
      <c r="N607" s="378"/>
      <c r="O607" s="378"/>
      <c r="P607" s="378"/>
    </row>
    <row r="608" spans="3:16" x14ac:dyDescent="0.3">
      <c r="C608" s="373"/>
      <c r="D608" s="374"/>
      <c r="E608" s="375"/>
      <c r="F608" s="376"/>
      <c r="G608" s="377"/>
      <c r="H608" s="377"/>
      <c r="I608" s="377"/>
      <c r="J608" s="376"/>
      <c r="K608" s="378"/>
      <c r="L608" s="378"/>
      <c r="M608" s="378"/>
      <c r="N608" s="378"/>
      <c r="O608" s="378"/>
      <c r="P608" s="378"/>
    </row>
    <row r="609" spans="3:16" x14ac:dyDescent="0.3">
      <c r="C609" s="373"/>
      <c r="D609" s="374"/>
      <c r="E609" s="375"/>
      <c r="F609" s="376"/>
      <c r="G609" s="377"/>
      <c r="H609" s="377"/>
      <c r="I609" s="377"/>
      <c r="J609" s="376"/>
      <c r="K609" s="378"/>
      <c r="L609" s="378"/>
      <c r="M609" s="378"/>
      <c r="N609" s="378"/>
      <c r="O609" s="378"/>
      <c r="P609" s="378"/>
    </row>
    <row r="610" spans="3:16" x14ac:dyDescent="0.3">
      <c r="C610" s="373"/>
      <c r="D610" s="374"/>
      <c r="E610" s="375"/>
      <c r="F610" s="376"/>
      <c r="G610" s="377"/>
      <c r="H610" s="377"/>
      <c r="I610" s="377"/>
      <c r="J610" s="376"/>
      <c r="K610" s="378"/>
      <c r="L610" s="378"/>
      <c r="M610" s="378"/>
      <c r="N610" s="378"/>
      <c r="O610" s="378"/>
      <c r="P610" s="378"/>
    </row>
    <row r="611" spans="3:16" x14ac:dyDescent="0.3">
      <c r="C611" s="373"/>
      <c r="D611" s="374"/>
      <c r="E611" s="375"/>
      <c r="F611" s="376"/>
      <c r="G611" s="377"/>
      <c r="H611" s="377"/>
      <c r="I611" s="377"/>
      <c r="J611" s="376"/>
      <c r="K611" s="378"/>
      <c r="L611" s="378"/>
      <c r="M611" s="378"/>
      <c r="N611" s="378"/>
      <c r="O611" s="378"/>
      <c r="P611" s="378"/>
    </row>
    <row r="612" spans="3:16" x14ac:dyDescent="0.3">
      <c r="C612" s="373"/>
      <c r="D612" s="374"/>
      <c r="E612" s="375"/>
      <c r="F612" s="376"/>
      <c r="G612" s="377"/>
      <c r="H612" s="377"/>
      <c r="I612" s="377"/>
      <c r="J612" s="376"/>
      <c r="K612" s="378"/>
      <c r="L612" s="378"/>
      <c r="M612" s="378"/>
      <c r="N612" s="378"/>
      <c r="O612" s="378"/>
      <c r="P612" s="378"/>
    </row>
    <row r="613" spans="3:16" x14ac:dyDescent="0.3">
      <c r="C613" s="379"/>
      <c r="D613" s="312"/>
      <c r="E613" s="380"/>
      <c r="F613" s="314"/>
      <c r="G613" s="315"/>
      <c r="H613" s="315"/>
      <c r="I613" s="315"/>
      <c r="J613" s="314"/>
      <c r="K613" s="316"/>
      <c r="L613" s="316"/>
      <c r="M613" s="316"/>
      <c r="N613" s="316"/>
      <c r="O613" s="316"/>
      <c r="P613" s="316"/>
    </row>
    <row r="614" spans="3:16" x14ac:dyDescent="0.3">
      <c r="C614" s="373"/>
      <c r="D614" s="374"/>
      <c r="E614" s="375"/>
      <c r="F614" s="376"/>
      <c r="G614" s="377"/>
      <c r="H614" s="377"/>
      <c r="I614" s="377"/>
      <c r="J614" s="376"/>
      <c r="K614" s="378"/>
      <c r="L614" s="378"/>
      <c r="M614" s="378"/>
      <c r="N614" s="378"/>
      <c r="O614" s="378"/>
      <c r="P614" s="378"/>
    </row>
    <row r="615" spans="3:16" x14ac:dyDescent="0.3">
      <c r="C615" s="373"/>
      <c r="D615" s="374"/>
      <c r="E615" s="375"/>
      <c r="F615" s="376"/>
      <c r="G615" s="377"/>
      <c r="H615" s="377"/>
      <c r="I615" s="377"/>
      <c r="J615" s="376"/>
      <c r="K615" s="378"/>
      <c r="L615" s="378"/>
      <c r="M615" s="378"/>
      <c r="N615" s="378"/>
      <c r="O615" s="378"/>
      <c r="P615" s="378"/>
    </row>
    <row r="616" spans="3:16" x14ac:dyDescent="0.3">
      <c r="C616" s="373"/>
      <c r="D616" s="374"/>
      <c r="E616" s="375"/>
      <c r="F616" s="376"/>
      <c r="G616" s="377"/>
      <c r="H616" s="377"/>
      <c r="I616" s="377"/>
      <c r="J616" s="376"/>
      <c r="K616" s="378"/>
      <c r="L616" s="378"/>
      <c r="M616" s="378"/>
      <c r="N616" s="378"/>
      <c r="O616" s="378"/>
      <c r="P616" s="378"/>
    </row>
    <row r="617" spans="3:16" x14ac:dyDescent="0.3">
      <c r="C617" s="373"/>
      <c r="D617" s="374"/>
      <c r="E617" s="375"/>
      <c r="F617" s="376"/>
      <c r="G617" s="377"/>
      <c r="H617" s="377"/>
      <c r="I617" s="377"/>
      <c r="J617" s="376"/>
      <c r="K617" s="378"/>
      <c r="L617" s="378"/>
      <c r="M617" s="378"/>
      <c r="N617" s="378"/>
      <c r="O617" s="378"/>
      <c r="P617" s="378"/>
    </row>
    <row r="618" spans="3:16" x14ac:dyDescent="0.3">
      <c r="C618" s="373"/>
      <c r="D618" s="374"/>
      <c r="E618" s="375"/>
      <c r="F618" s="376"/>
      <c r="G618" s="377"/>
      <c r="H618" s="377"/>
      <c r="I618" s="377"/>
      <c r="J618" s="376"/>
      <c r="K618" s="378"/>
      <c r="L618" s="378"/>
      <c r="M618" s="378"/>
      <c r="N618" s="378"/>
      <c r="O618" s="378"/>
      <c r="P618" s="378"/>
    </row>
    <row r="619" spans="3:16" x14ac:dyDescent="0.3">
      <c r="C619" s="373"/>
      <c r="D619" s="374"/>
      <c r="E619" s="375"/>
      <c r="F619" s="376"/>
      <c r="G619" s="377"/>
      <c r="H619" s="377"/>
      <c r="I619" s="377"/>
      <c r="J619" s="376"/>
      <c r="K619" s="378"/>
      <c r="L619" s="378"/>
      <c r="M619" s="378"/>
      <c r="N619" s="378"/>
      <c r="O619" s="378"/>
      <c r="P619" s="378"/>
    </row>
    <row r="620" spans="3:16" x14ac:dyDescent="0.3">
      <c r="C620" s="373"/>
      <c r="D620" s="374"/>
      <c r="E620" s="375"/>
      <c r="F620" s="376"/>
      <c r="G620" s="377"/>
      <c r="H620" s="377"/>
      <c r="I620" s="377"/>
      <c r="J620" s="376"/>
      <c r="K620" s="378"/>
      <c r="L620" s="378"/>
      <c r="M620" s="378"/>
      <c r="N620" s="378"/>
      <c r="O620" s="378"/>
      <c r="P620" s="378"/>
    </row>
    <row r="621" spans="3:16" x14ac:dyDescent="0.3">
      <c r="C621" s="373"/>
      <c r="D621" s="374"/>
      <c r="E621" s="375"/>
      <c r="F621" s="376"/>
      <c r="G621" s="377"/>
      <c r="H621" s="377"/>
      <c r="I621" s="377"/>
      <c r="J621" s="376"/>
      <c r="K621" s="378"/>
      <c r="L621" s="378"/>
      <c r="M621" s="378"/>
      <c r="N621" s="378"/>
      <c r="O621" s="378"/>
      <c r="P621" s="378"/>
    </row>
    <row r="622" spans="3:16" x14ac:dyDescent="0.3">
      <c r="C622" s="373"/>
      <c r="D622" s="374"/>
      <c r="E622" s="375"/>
      <c r="F622" s="376"/>
      <c r="G622" s="377"/>
      <c r="H622" s="377"/>
      <c r="I622" s="377"/>
      <c r="J622" s="376"/>
      <c r="K622" s="378"/>
      <c r="L622" s="378"/>
      <c r="M622" s="378"/>
      <c r="N622" s="378"/>
      <c r="O622" s="378"/>
      <c r="P622" s="378"/>
    </row>
    <row r="623" spans="3:16" x14ac:dyDescent="0.3">
      <c r="C623" s="373"/>
      <c r="D623" s="374"/>
      <c r="E623" s="375"/>
      <c r="F623" s="376"/>
      <c r="G623" s="377"/>
      <c r="H623" s="377"/>
      <c r="I623" s="377"/>
      <c r="J623" s="376"/>
      <c r="K623" s="378"/>
      <c r="L623" s="378"/>
      <c r="M623" s="378"/>
      <c r="N623" s="378"/>
      <c r="O623" s="378"/>
      <c r="P623" s="378"/>
    </row>
    <row r="624" spans="3:16" x14ac:dyDescent="0.3">
      <c r="C624" s="373"/>
      <c r="D624" s="374"/>
      <c r="E624" s="375"/>
      <c r="F624" s="376"/>
      <c r="G624" s="377"/>
      <c r="H624" s="377"/>
      <c r="I624" s="377"/>
      <c r="J624" s="376"/>
      <c r="K624" s="378"/>
      <c r="L624" s="378"/>
      <c r="M624" s="378"/>
      <c r="N624" s="378"/>
      <c r="O624" s="378"/>
      <c r="P624" s="378"/>
    </row>
    <row r="625" spans="3:16" x14ac:dyDescent="0.3">
      <c r="C625" s="373"/>
      <c r="D625" s="374"/>
      <c r="E625" s="375"/>
      <c r="F625" s="376"/>
      <c r="G625" s="377"/>
      <c r="H625" s="377"/>
      <c r="I625" s="377"/>
      <c r="J625" s="376"/>
      <c r="K625" s="378"/>
      <c r="L625" s="378"/>
      <c r="M625" s="378"/>
      <c r="N625" s="378"/>
      <c r="O625" s="378"/>
      <c r="P625" s="378"/>
    </row>
    <row r="626" spans="3:16" x14ac:dyDescent="0.3">
      <c r="C626" s="373"/>
      <c r="D626" s="374"/>
      <c r="E626" s="375"/>
      <c r="F626" s="376"/>
      <c r="G626" s="377"/>
      <c r="H626" s="377"/>
      <c r="I626" s="377"/>
      <c r="J626" s="376"/>
      <c r="K626" s="378"/>
      <c r="L626" s="378"/>
      <c r="M626" s="378"/>
      <c r="N626" s="378"/>
      <c r="O626" s="378"/>
      <c r="P626" s="378"/>
    </row>
    <row r="627" spans="3:16" x14ac:dyDescent="0.3">
      <c r="C627" s="373"/>
      <c r="D627" s="374"/>
      <c r="E627" s="375"/>
      <c r="F627" s="376"/>
      <c r="G627" s="377"/>
      <c r="H627" s="377"/>
      <c r="I627" s="377"/>
      <c r="J627" s="376"/>
      <c r="K627" s="378"/>
      <c r="L627" s="378"/>
      <c r="M627" s="378"/>
      <c r="N627" s="378"/>
      <c r="O627" s="378"/>
      <c r="P627" s="378"/>
    </row>
    <row r="628" spans="3:16" x14ac:dyDescent="0.3">
      <c r="C628" s="373"/>
      <c r="D628" s="374"/>
      <c r="E628" s="375"/>
      <c r="F628" s="376"/>
      <c r="G628" s="377"/>
      <c r="H628" s="377"/>
      <c r="I628" s="377"/>
      <c r="J628" s="376"/>
      <c r="K628" s="378"/>
      <c r="L628" s="378"/>
      <c r="M628" s="378"/>
      <c r="N628" s="378"/>
      <c r="O628" s="378"/>
      <c r="P628" s="378"/>
    </row>
    <row r="629" spans="3:16" x14ac:dyDescent="0.3">
      <c r="C629" s="373"/>
      <c r="D629" s="374"/>
      <c r="E629" s="375"/>
      <c r="F629" s="376"/>
      <c r="G629" s="377"/>
      <c r="H629" s="377"/>
      <c r="I629" s="377"/>
      <c r="J629" s="376"/>
      <c r="K629" s="378"/>
      <c r="L629" s="378"/>
      <c r="M629" s="378"/>
      <c r="N629" s="378"/>
      <c r="O629" s="378"/>
      <c r="P629" s="378"/>
    </row>
    <row r="630" spans="3:16" x14ac:dyDescent="0.3">
      <c r="C630" s="373"/>
      <c r="D630" s="399"/>
      <c r="E630" s="375"/>
      <c r="F630" s="376"/>
      <c r="G630" s="377"/>
      <c r="H630" s="377"/>
      <c r="I630" s="377"/>
      <c r="J630" s="376"/>
      <c r="K630" s="378"/>
      <c r="L630" s="378"/>
      <c r="M630" s="378"/>
      <c r="N630" s="378"/>
      <c r="O630" s="378"/>
      <c r="P630" s="378"/>
    </row>
    <row r="631" spans="3:16" x14ac:dyDescent="0.3">
      <c r="C631" s="373"/>
      <c r="D631" s="374"/>
      <c r="E631" s="375"/>
      <c r="F631" s="376"/>
      <c r="G631" s="377"/>
      <c r="H631" s="377"/>
      <c r="I631" s="377"/>
      <c r="J631" s="376"/>
      <c r="K631" s="378"/>
      <c r="L631" s="378"/>
      <c r="M631" s="378"/>
      <c r="N631" s="378"/>
      <c r="O631" s="378"/>
      <c r="P631" s="378"/>
    </row>
    <row r="632" spans="3:16" x14ac:dyDescent="0.3">
      <c r="C632" s="373"/>
      <c r="D632" s="374"/>
      <c r="E632" s="375"/>
      <c r="F632" s="376"/>
      <c r="G632" s="377"/>
      <c r="H632" s="377"/>
      <c r="I632" s="377"/>
      <c r="J632" s="376"/>
      <c r="K632" s="378"/>
      <c r="L632" s="378"/>
      <c r="M632" s="378"/>
      <c r="N632" s="378"/>
      <c r="O632" s="378"/>
      <c r="P632" s="378"/>
    </row>
    <row r="633" spans="3:16" x14ac:dyDescent="0.3">
      <c r="C633" s="373"/>
      <c r="D633" s="374"/>
      <c r="E633" s="375"/>
      <c r="F633" s="376"/>
      <c r="G633" s="377"/>
      <c r="H633" s="377"/>
      <c r="I633" s="377"/>
      <c r="J633" s="376"/>
      <c r="K633" s="378"/>
      <c r="L633" s="378"/>
      <c r="M633" s="378"/>
      <c r="N633" s="378"/>
      <c r="O633" s="378"/>
      <c r="P633" s="378"/>
    </row>
    <row r="634" spans="3:16" x14ac:dyDescent="0.3">
      <c r="C634" s="373"/>
      <c r="D634" s="374"/>
      <c r="E634" s="375"/>
      <c r="F634" s="376"/>
      <c r="G634" s="377"/>
      <c r="H634" s="377"/>
      <c r="I634" s="377"/>
      <c r="J634" s="376"/>
      <c r="K634" s="378"/>
      <c r="L634" s="378"/>
      <c r="M634" s="378"/>
      <c r="N634" s="378"/>
      <c r="O634" s="378"/>
      <c r="P634" s="378"/>
    </row>
    <row r="635" spans="3:16" x14ac:dyDescent="0.3">
      <c r="C635" s="373"/>
      <c r="D635" s="374"/>
      <c r="E635" s="375"/>
      <c r="F635" s="376"/>
      <c r="G635" s="377"/>
      <c r="H635" s="377"/>
      <c r="I635" s="377"/>
      <c r="J635" s="376"/>
      <c r="K635" s="378"/>
      <c r="L635" s="378"/>
      <c r="M635" s="378"/>
      <c r="N635" s="378"/>
      <c r="O635" s="378"/>
      <c r="P635" s="378"/>
    </row>
    <row r="636" spans="3:16" x14ac:dyDescent="0.3">
      <c r="C636" s="373"/>
      <c r="D636" s="374"/>
      <c r="E636" s="375"/>
      <c r="F636" s="376"/>
      <c r="G636" s="377"/>
      <c r="H636" s="377"/>
      <c r="I636" s="377"/>
      <c r="J636" s="376"/>
      <c r="K636" s="378"/>
      <c r="L636" s="378"/>
      <c r="M636" s="378"/>
      <c r="N636" s="378"/>
      <c r="O636" s="378"/>
      <c r="P636" s="378"/>
    </row>
    <row r="637" spans="3:16" x14ac:dyDescent="0.3">
      <c r="C637" s="373"/>
      <c r="D637" s="374"/>
      <c r="E637" s="375"/>
      <c r="F637" s="376"/>
      <c r="G637" s="377"/>
      <c r="H637" s="377"/>
      <c r="I637" s="377"/>
      <c r="J637" s="376"/>
      <c r="K637" s="378"/>
      <c r="L637" s="378"/>
      <c r="M637" s="378"/>
      <c r="N637" s="378"/>
      <c r="O637" s="378"/>
      <c r="P637" s="378"/>
    </row>
    <row r="638" spans="3:16" x14ac:dyDescent="0.3">
      <c r="C638" s="373"/>
      <c r="D638" s="374"/>
      <c r="E638" s="375"/>
      <c r="F638" s="376"/>
      <c r="G638" s="377"/>
      <c r="H638" s="377"/>
      <c r="I638" s="377"/>
      <c r="J638" s="376"/>
      <c r="K638" s="378"/>
      <c r="L638" s="378"/>
      <c r="M638" s="378"/>
      <c r="N638" s="378"/>
      <c r="O638" s="378"/>
      <c r="P638" s="378"/>
    </row>
    <row r="639" spans="3:16" x14ac:dyDescent="0.3">
      <c r="C639" s="373"/>
      <c r="D639" s="374"/>
      <c r="E639" s="375"/>
      <c r="F639" s="376"/>
      <c r="G639" s="377"/>
      <c r="H639" s="377"/>
      <c r="I639" s="377"/>
      <c r="J639" s="376"/>
      <c r="K639" s="378"/>
      <c r="L639" s="378"/>
      <c r="M639" s="378"/>
      <c r="N639" s="378"/>
      <c r="O639" s="378"/>
      <c r="P639" s="378"/>
    </row>
    <row r="640" spans="3:16" x14ac:dyDescent="0.3">
      <c r="C640" s="373"/>
      <c r="D640" s="374"/>
      <c r="E640" s="375"/>
      <c r="F640" s="376"/>
      <c r="G640" s="377"/>
      <c r="H640" s="377"/>
      <c r="I640" s="377"/>
      <c r="J640" s="376"/>
      <c r="K640" s="378"/>
      <c r="L640" s="378"/>
      <c r="M640" s="378"/>
      <c r="N640" s="378"/>
      <c r="O640" s="378"/>
      <c r="P640" s="378"/>
    </row>
    <row r="641" spans="3:16" x14ac:dyDescent="0.3">
      <c r="C641" s="373"/>
      <c r="D641" s="374"/>
      <c r="E641" s="375"/>
      <c r="F641" s="376"/>
      <c r="G641" s="377"/>
      <c r="H641" s="377"/>
      <c r="I641" s="377"/>
      <c r="J641" s="376"/>
      <c r="K641" s="378"/>
      <c r="L641" s="378"/>
      <c r="M641" s="378"/>
      <c r="N641" s="378"/>
      <c r="O641" s="378"/>
      <c r="P641" s="378"/>
    </row>
    <row r="642" spans="3:16" x14ac:dyDescent="0.3">
      <c r="C642" s="373"/>
      <c r="D642" s="374"/>
      <c r="E642" s="375"/>
      <c r="F642" s="376"/>
      <c r="G642" s="377"/>
      <c r="H642" s="377"/>
      <c r="I642" s="377"/>
      <c r="J642" s="376"/>
      <c r="K642" s="378"/>
      <c r="L642" s="378"/>
      <c r="M642" s="378"/>
      <c r="N642" s="378"/>
      <c r="O642" s="378"/>
      <c r="P642" s="378"/>
    </row>
    <row r="643" spans="3:16" x14ac:dyDescent="0.3">
      <c r="C643" s="373"/>
      <c r="D643" s="374"/>
      <c r="E643" s="375"/>
      <c r="F643" s="376"/>
      <c r="G643" s="377"/>
      <c r="H643" s="377"/>
      <c r="I643" s="377"/>
      <c r="J643" s="376"/>
      <c r="K643" s="378"/>
      <c r="L643" s="378"/>
      <c r="M643" s="378"/>
      <c r="N643" s="378"/>
      <c r="O643" s="378"/>
      <c r="P643" s="378"/>
    </row>
    <row r="644" spans="3:16" x14ac:dyDescent="0.3">
      <c r="C644" s="379"/>
      <c r="D644" s="312"/>
      <c r="E644" s="380"/>
      <c r="F644" s="314"/>
      <c r="G644" s="315"/>
      <c r="H644" s="315"/>
      <c r="I644" s="315"/>
      <c r="J644" s="314"/>
      <c r="K644" s="316"/>
      <c r="L644" s="316"/>
      <c r="M644" s="316"/>
      <c r="N644" s="316"/>
      <c r="O644" s="316"/>
      <c r="P644" s="316"/>
    </row>
    <row r="645" spans="3:16" x14ac:dyDescent="0.3">
      <c r="C645" s="400"/>
      <c r="D645" s="374"/>
      <c r="E645" s="375"/>
      <c r="F645" s="376"/>
      <c r="G645" s="377"/>
      <c r="H645" s="377"/>
      <c r="I645" s="377"/>
      <c r="J645" s="376"/>
      <c r="K645" s="401"/>
      <c r="L645" s="401"/>
      <c r="M645" s="401"/>
      <c r="N645" s="401"/>
      <c r="O645" s="401"/>
      <c r="P645" s="401"/>
    </row>
    <row r="646" spans="3:16" x14ac:dyDescent="0.3">
      <c r="C646" s="373"/>
      <c r="D646" s="374"/>
      <c r="E646" s="375"/>
      <c r="F646" s="376"/>
      <c r="G646" s="377"/>
      <c r="H646" s="377"/>
      <c r="I646" s="377"/>
      <c r="J646" s="376"/>
      <c r="K646" s="378"/>
      <c r="L646" s="378"/>
      <c r="M646" s="378"/>
      <c r="N646" s="378"/>
      <c r="O646" s="378"/>
      <c r="P646" s="378"/>
    </row>
    <row r="647" spans="3:16" x14ac:dyDescent="0.3">
      <c r="C647" s="373"/>
      <c r="D647" s="374"/>
      <c r="E647" s="375"/>
      <c r="F647" s="376"/>
      <c r="G647" s="377"/>
      <c r="H647" s="377"/>
      <c r="I647" s="377"/>
      <c r="J647" s="376"/>
      <c r="K647" s="378"/>
      <c r="L647" s="378"/>
      <c r="M647" s="378"/>
      <c r="N647" s="378"/>
      <c r="O647" s="378"/>
      <c r="P647" s="378"/>
    </row>
    <row r="648" spans="3:16" x14ac:dyDescent="0.3">
      <c r="C648" s="373"/>
      <c r="D648" s="374"/>
      <c r="E648" s="375"/>
      <c r="F648" s="376"/>
      <c r="G648" s="377"/>
      <c r="H648" s="377"/>
      <c r="I648" s="377"/>
      <c r="J648" s="376"/>
      <c r="K648" s="378"/>
      <c r="L648" s="378"/>
      <c r="M648" s="378"/>
      <c r="N648" s="378"/>
      <c r="O648" s="378"/>
      <c r="P648" s="378"/>
    </row>
    <row r="649" spans="3:16" x14ac:dyDescent="0.3">
      <c r="C649" s="373"/>
      <c r="D649" s="374"/>
      <c r="E649" s="375"/>
      <c r="F649" s="376"/>
      <c r="G649" s="377"/>
      <c r="H649" s="377"/>
      <c r="I649" s="377"/>
      <c r="J649" s="376"/>
      <c r="K649" s="378"/>
      <c r="L649" s="378"/>
      <c r="M649" s="378"/>
      <c r="N649" s="378"/>
      <c r="O649" s="378"/>
      <c r="P649" s="378"/>
    </row>
    <row r="650" spans="3:16" x14ac:dyDescent="0.3">
      <c r="C650" s="373"/>
      <c r="D650" s="374"/>
      <c r="E650" s="375"/>
      <c r="F650" s="376"/>
      <c r="G650" s="377"/>
      <c r="H650" s="377"/>
      <c r="I650" s="377"/>
      <c r="J650" s="376"/>
      <c r="K650" s="378"/>
      <c r="L650" s="378"/>
      <c r="M650" s="378"/>
      <c r="N650" s="378"/>
      <c r="O650" s="378"/>
      <c r="P650" s="378"/>
    </row>
    <row r="651" spans="3:16" x14ac:dyDescent="0.3">
      <c r="C651" s="373"/>
      <c r="D651" s="374"/>
      <c r="E651" s="375"/>
      <c r="F651" s="376"/>
      <c r="G651" s="377"/>
      <c r="H651" s="377"/>
      <c r="I651" s="377"/>
      <c r="J651" s="376"/>
      <c r="K651" s="378"/>
      <c r="L651" s="378"/>
      <c r="M651" s="378"/>
      <c r="N651" s="378"/>
      <c r="O651" s="378"/>
      <c r="P651" s="378"/>
    </row>
    <row r="652" spans="3:16" x14ac:dyDescent="0.3">
      <c r="C652" s="373"/>
      <c r="D652" s="374"/>
      <c r="E652" s="375"/>
      <c r="F652" s="376"/>
      <c r="G652" s="377"/>
      <c r="H652" s="377"/>
      <c r="I652" s="377"/>
      <c r="J652" s="376"/>
      <c r="K652" s="378"/>
      <c r="L652" s="378"/>
      <c r="M652" s="378"/>
      <c r="N652" s="378"/>
      <c r="O652" s="378"/>
      <c r="P652" s="378"/>
    </row>
    <row r="653" spans="3:16" x14ac:dyDescent="0.3">
      <c r="C653" s="373"/>
      <c r="D653" s="374"/>
      <c r="E653" s="375"/>
      <c r="F653" s="376"/>
      <c r="G653" s="377"/>
      <c r="H653" s="377"/>
      <c r="I653" s="377"/>
      <c r="J653" s="376"/>
      <c r="K653" s="378"/>
      <c r="L653" s="378"/>
      <c r="M653" s="378"/>
      <c r="N653" s="378"/>
      <c r="O653" s="378"/>
      <c r="P653" s="378"/>
    </row>
    <row r="654" spans="3:16" x14ac:dyDescent="0.3">
      <c r="C654" s="373"/>
      <c r="D654" s="374"/>
      <c r="E654" s="375"/>
      <c r="F654" s="376"/>
      <c r="G654" s="377"/>
      <c r="H654" s="377"/>
      <c r="I654" s="377"/>
      <c r="J654" s="376"/>
      <c r="K654" s="378"/>
      <c r="L654" s="378"/>
      <c r="M654" s="378"/>
      <c r="N654" s="378"/>
      <c r="O654" s="378"/>
      <c r="P654" s="378"/>
    </row>
    <row r="655" spans="3:16" x14ac:dyDescent="0.3">
      <c r="C655" s="373"/>
      <c r="D655" s="374"/>
      <c r="E655" s="375"/>
      <c r="F655" s="376"/>
      <c r="G655" s="377"/>
      <c r="H655" s="377"/>
      <c r="I655" s="377"/>
      <c r="J655" s="376"/>
      <c r="K655" s="378"/>
      <c r="L655" s="378"/>
      <c r="M655" s="378"/>
      <c r="N655" s="378"/>
      <c r="O655" s="378"/>
      <c r="P655" s="378"/>
    </row>
    <row r="656" spans="3:16" x14ac:dyDescent="0.3">
      <c r="C656" s="379"/>
      <c r="D656" s="312"/>
      <c r="E656" s="380"/>
      <c r="F656" s="314"/>
      <c r="G656" s="315"/>
      <c r="H656" s="315"/>
      <c r="I656" s="315"/>
      <c r="J656" s="314"/>
      <c r="K656" s="316"/>
      <c r="L656" s="316"/>
      <c r="M656" s="316"/>
      <c r="N656" s="316"/>
      <c r="O656" s="316"/>
      <c r="P656" s="316"/>
    </row>
    <row r="657" spans="3:16" x14ac:dyDescent="0.3">
      <c r="C657" s="373"/>
      <c r="D657" s="374"/>
      <c r="E657" s="375"/>
      <c r="F657" s="376"/>
      <c r="G657" s="377"/>
      <c r="H657" s="377"/>
      <c r="I657" s="377"/>
      <c r="J657" s="376"/>
      <c r="K657" s="378"/>
      <c r="L657" s="378"/>
      <c r="M657" s="378"/>
      <c r="N657" s="378"/>
      <c r="O657" s="378"/>
      <c r="P657" s="378"/>
    </row>
    <row r="658" spans="3:16" x14ac:dyDescent="0.3">
      <c r="C658" s="373"/>
      <c r="D658" s="374"/>
      <c r="E658" s="375"/>
      <c r="F658" s="376"/>
      <c r="G658" s="377"/>
      <c r="H658" s="377"/>
      <c r="I658" s="377"/>
      <c r="J658" s="376"/>
      <c r="K658" s="378"/>
      <c r="L658" s="378"/>
      <c r="M658" s="378"/>
      <c r="N658" s="378"/>
      <c r="O658" s="378"/>
      <c r="P658" s="378"/>
    </row>
    <row r="659" spans="3:16" x14ac:dyDescent="0.3">
      <c r="C659" s="373"/>
      <c r="D659" s="374"/>
      <c r="E659" s="375"/>
      <c r="F659" s="376"/>
      <c r="G659" s="377"/>
      <c r="H659" s="377"/>
      <c r="I659" s="377"/>
      <c r="J659" s="376"/>
      <c r="K659" s="378"/>
      <c r="L659" s="378"/>
      <c r="M659" s="378"/>
      <c r="N659" s="378"/>
      <c r="O659" s="378"/>
      <c r="P659" s="378"/>
    </row>
    <row r="660" spans="3:16" x14ac:dyDescent="0.3">
      <c r="C660" s="373"/>
      <c r="D660" s="374"/>
      <c r="E660" s="375"/>
      <c r="F660" s="376"/>
      <c r="G660" s="377"/>
      <c r="H660" s="377"/>
      <c r="I660" s="377"/>
      <c r="J660" s="376"/>
      <c r="K660" s="378"/>
      <c r="L660" s="378"/>
      <c r="M660" s="378"/>
      <c r="N660" s="378"/>
      <c r="O660" s="378"/>
      <c r="P660" s="378"/>
    </row>
    <row r="661" spans="3:16" x14ac:dyDescent="0.3">
      <c r="C661" s="373"/>
      <c r="D661" s="374"/>
      <c r="E661" s="375"/>
      <c r="F661" s="376"/>
      <c r="G661" s="377"/>
      <c r="H661" s="377"/>
      <c r="I661" s="377"/>
      <c r="J661" s="376"/>
      <c r="K661" s="378"/>
      <c r="L661" s="378"/>
      <c r="M661" s="378"/>
      <c r="N661" s="378"/>
      <c r="O661" s="378"/>
      <c r="P661" s="378"/>
    </row>
    <row r="662" spans="3:16" x14ac:dyDescent="0.3">
      <c r="C662" s="373"/>
      <c r="D662" s="374"/>
      <c r="E662" s="375"/>
      <c r="F662" s="376"/>
      <c r="G662" s="377"/>
      <c r="H662" s="377"/>
      <c r="I662" s="377"/>
      <c r="J662" s="376"/>
      <c r="K662" s="378"/>
      <c r="L662" s="378"/>
      <c r="M662" s="378"/>
      <c r="N662" s="378"/>
      <c r="O662" s="378"/>
      <c r="P662" s="378"/>
    </row>
    <row r="663" spans="3:16" x14ac:dyDescent="0.3">
      <c r="C663" s="373"/>
      <c r="D663" s="374"/>
      <c r="E663" s="375"/>
      <c r="F663" s="376"/>
      <c r="G663" s="377"/>
      <c r="H663" s="377"/>
      <c r="I663" s="377"/>
      <c r="J663" s="376"/>
      <c r="K663" s="378"/>
      <c r="L663" s="378"/>
      <c r="M663" s="378"/>
      <c r="N663" s="378"/>
      <c r="O663" s="378"/>
      <c r="P663" s="378"/>
    </row>
    <row r="664" spans="3:16" x14ac:dyDescent="0.3">
      <c r="C664" s="373"/>
      <c r="D664" s="374"/>
      <c r="E664" s="375"/>
      <c r="F664" s="376"/>
      <c r="G664" s="377"/>
      <c r="H664" s="377"/>
      <c r="I664" s="377"/>
      <c r="J664" s="376"/>
      <c r="K664" s="378"/>
      <c r="L664" s="378"/>
      <c r="M664" s="378"/>
      <c r="N664" s="378"/>
      <c r="O664" s="378"/>
      <c r="P664" s="378"/>
    </row>
    <row r="665" spans="3:16" x14ac:dyDescent="0.3">
      <c r="C665" s="373"/>
      <c r="D665" s="374"/>
      <c r="E665" s="375"/>
      <c r="F665" s="376"/>
      <c r="G665" s="377"/>
      <c r="H665" s="377"/>
      <c r="I665" s="377"/>
      <c r="J665" s="376"/>
      <c r="K665" s="378"/>
      <c r="L665" s="378"/>
      <c r="M665" s="378"/>
      <c r="N665" s="378"/>
      <c r="O665" s="378"/>
      <c r="P665" s="378"/>
    </row>
    <row r="666" spans="3:16" x14ac:dyDescent="0.3">
      <c r="C666" s="373"/>
      <c r="D666" s="374"/>
      <c r="E666" s="375"/>
      <c r="F666" s="376"/>
      <c r="G666" s="377"/>
      <c r="H666" s="377"/>
      <c r="I666" s="377"/>
      <c r="J666" s="376"/>
      <c r="K666" s="378"/>
      <c r="L666" s="378"/>
      <c r="M666" s="378"/>
      <c r="N666" s="378"/>
      <c r="O666" s="378"/>
      <c r="P666" s="378"/>
    </row>
    <row r="667" spans="3:16" x14ac:dyDescent="0.3">
      <c r="C667" s="379"/>
      <c r="D667" s="374"/>
      <c r="E667" s="375"/>
      <c r="F667" s="376"/>
      <c r="G667" s="377"/>
      <c r="H667" s="315"/>
      <c r="I667" s="377"/>
      <c r="J667" s="314"/>
      <c r="K667" s="316"/>
      <c r="L667" s="316"/>
      <c r="M667" s="316"/>
      <c r="N667" s="316"/>
      <c r="O667" s="316"/>
      <c r="P667" s="316"/>
    </row>
    <row r="668" spans="3:16" x14ac:dyDescent="0.3">
      <c r="C668" s="373"/>
      <c r="D668" s="399"/>
      <c r="E668" s="375"/>
      <c r="F668" s="376"/>
      <c r="G668" s="377"/>
      <c r="H668" s="377"/>
      <c r="I668" s="377"/>
      <c r="J668" s="376"/>
      <c r="K668" s="378"/>
      <c r="L668" s="378"/>
      <c r="M668" s="378"/>
      <c r="N668" s="378"/>
      <c r="O668" s="378"/>
      <c r="P668" s="378"/>
    </row>
    <row r="669" spans="3:16" x14ac:dyDescent="0.3">
      <c r="C669" s="373"/>
      <c r="D669" s="374"/>
      <c r="E669" s="375"/>
      <c r="F669" s="376"/>
      <c r="G669" s="377"/>
      <c r="H669" s="377"/>
      <c r="I669" s="377"/>
      <c r="J669" s="376"/>
      <c r="K669" s="378"/>
      <c r="L669" s="378"/>
      <c r="M669" s="378"/>
      <c r="N669" s="378"/>
      <c r="O669" s="378"/>
      <c r="P669" s="378"/>
    </row>
    <row r="670" spans="3:16" x14ac:dyDescent="0.3">
      <c r="C670" s="373"/>
      <c r="D670" s="374"/>
      <c r="E670" s="375"/>
      <c r="F670" s="376"/>
      <c r="G670" s="377"/>
      <c r="H670" s="377"/>
      <c r="I670" s="377"/>
      <c r="J670" s="376"/>
      <c r="K670" s="378"/>
      <c r="L670" s="378"/>
      <c r="M670" s="378"/>
      <c r="N670" s="378"/>
      <c r="O670" s="378"/>
      <c r="P670" s="378"/>
    </row>
    <row r="671" spans="3:16" x14ac:dyDescent="0.3">
      <c r="C671" s="373"/>
      <c r="D671" s="374"/>
      <c r="E671" s="375"/>
      <c r="F671" s="376"/>
      <c r="G671" s="377"/>
      <c r="H671" s="377"/>
      <c r="I671" s="377"/>
      <c r="J671" s="376"/>
      <c r="K671" s="378"/>
      <c r="L671" s="378"/>
      <c r="M671" s="378"/>
      <c r="N671" s="378"/>
      <c r="O671" s="378"/>
      <c r="P671" s="378"/>
    </row>
    <row r="672" spans="3:16" x14ac:dyDescent="0.3">
      <c r="C672" s="373"/>
      <c r="D672" s="374"/>
      <c r="E672" s="375"/>
      <c r="F672" s="376"/>
      <c r="G672" s="377"/>
      <c r="H672" s="377"/>
      <c r="I672" s="377"/>
      <c r="J672" s="376"/>
      <c r="K672" s="378"/>
      <c r="L672" s="378"/>
      <c r="M672" s="378"/>
      <c r="N672" s="378"/>
      <c r="O672" s="378"/>
      <c r="P672" s="378"/>
    </row>
    <row r="673" spans="3:16" x14ac:dyDescent="0.3">
      <c r="C673" s="373"/>
      <c r="D673" s="374"/>
      <c r="E673" s="375"/>
      <c r="F673" s="376"/>
      <c r="G673" s="377"/>
      <c r="H673" s="377"/>
      <c r="I673" s="377"/>
      <c r="J673" s="376"/>
      <c r="K673" s="378"/>
      <c r="L673" s="378"/>
      <c r="M673" s="378"/>
      <c r="N673" s="378"/>
      <c r="O673" s="378"/>
      <c r="P673" s="378"/>
    </row>
    <row r="674" spans="3:16" x14ac:dyDescent="0.3">
      <c r="C674" s="373"/>
      <c r="D674" s="374"/>
      <c r="E674" s="375"/>
      <c r="F674" s="376"/>
      <c r="G674" s="377"/>
      <c r="H674" s="377"/>
      <c r="I674" s="377"/>
      <c r="J674" s="376"/>
      <c r="K674" s="378"/>
      <c r="L674" s="378"/>
      <c r="M674" s="378"/>
      <c r="N674" s="378"/>
      <c r="O674" s="378"/>
      <c r="P674" s="378"/>
    </row>
    <row r="675" spans="3:16" x14ac:dyDescent="0.3">
      <c r="C675" s="373"/>
      <c r="D675" s="374"/>
      <c r="E675" s="375"/>
      <c r="F675" s="376"/>
      <c r="G675" s="377"/>
      <c r="H675" s="377"/>
      <c r="I675" s="377"/>
      <c r="J675" s="376"/>
      <c r="K675" s="378"/>
      <c r="L675" s="378"/>
      <c r="M675" s="378"/>
      <c r="N675" s="378"/>
      <c r="O675" s="378"/>
      <c r="P675" s="378"/>
    </row>
    <row r="676" spans="3:16" x14ac:dyDescent="0.3">
      <c r="C676" s="379"/>
      <c r="D676" s="374"/>
      <c r="E676" s="375"/>
      <c r="F676" s="376"/>
      <c r="G676" s="377"/>
      <c r="H676" s="315"/>
      <c r="I676" s="377"/>
      <c r="J676" s="314"/>
      <c r="K676" s="316"/>
      <c r="L676" s="316"/>
      <c r="M676" s="316"/>
      <c r="N676" s="316"/>
      <c r="O676" s="316"/>
      <c r="P676" s="316"/>
    </row>
    <row r="677" spans="3:16" x14ac:dyDescent="0.3">
      <c r="C677" s="381"/>
      <c r="D677" s="393"/>
      <c r="E677" s="382"/>
      <c r="F677" s="383"/>
      <c r="G677" s="384"/>
      <c r="H677" s="384"/>
      <c r="I677" s="384"/>
      <c r="J677" s="314"/>
      <c r="K677" s="316"/>
      <c r="L677" s="316"/>
      <c r="M677" s="316"/>
      <c r="N677" s="316"/>
      <c r="O677" s="316"/>
      <c r="P677" s="316"/>
    </row>
    <row r="678" spans="3:16" x14ac:dyDescent="0.3">
      <c r="C678" s="379"/>
      <c r="D678" s="312"/>
      <c r="E678" s="380"/>
      <c r="F678" s="314"/>
      <c r="G678" s="315"/>
      <c r="H678" s="315"/>
      <c r="I678" s="315"/>
      <c r="J678" s="314"/>
      <c r="K678" s="316"/>
      <c r="L678" s="316"/>
      <c r="M678" s="316"/>
      <c r="N678" s="316"/>
      <c r="O678" s="316"/>
      <c r="P678" s="316"/>
    </row>
    <row r="679" spans="3:16" x14ac:dyDescent="0.3">
      <c r="C679" s="373"/>
      <c r="D679" s="374"/>
      <c r="E679" s="375"/>
      <c r="F679" s="376"/>
      <c r="G679" s="377"/>
      <c r="H679" s="377"/>
      <c r="I679" s="377"/>
      <c r="J679" s="376"/>
      <c r="K679" s="378"/>
      <c r="L679" s="378"/>
      <c r="M679" s="378"/>
      <c r="N679" s="378"/>
      <c r="O679" s="378"/>
      <c r="P679" s="378"/>
    </row>
    <row r="680" spans="3:16" x14ac:dyDescent="0.3">
      <c r="C680" s="373"/>
      <c r="D680" s="374"/>
      <c r="E680" s="375"/>
      <c r="F680" s="376"/>
      <c r="G680" s="377"/>
      <c r="H680" s="377"/>
      <c r="I680" s="377"/>
      <c r="J680" s="376"/>
      <c r="K680" s="378"/>
      <c r="L680" s="378"/>
      <c r="M680" s="378"/>
      <c r="N680" s="378"/>
      <c r="O680" s="378"/>
      <c r="P680" s="378"/>
    </row>
    <row r="681" spans="3:16" x14ac:dyDescent="0.3">
      <c r="C681" s="373"/>
      <c r="D681" s="374"/>
      <c r="E681" s="375"/>
      <c r="F681" s="376"/>
      <c r="G681" s="377"/>
      <c r="H681" s="377"/>
      <c r="I681" s="377"/>
      <c r="J681" s="376"/>
      <c r="K681" s="378"/>
      <c r="L681" s="378"/>
      <c r="M681" s="378"/>
      <c r="N681" s="378"/>
      <c r="O681" s="378"/>
      <c r="P681" s="378"/>
    </row>
    <row r="682" spans="3:16" x14ac:dyDescent="0.3">
      <c r="C682" s="379"/>
      <c r="D682" s="312"/>
      <c r="E682" s="380"/>
      <c r="F682" s="314"/>
      <c r="G682" s="315"/>
      <c r="H682" s="315"/>
      <c r="I682" s="315"/>
      <c r="J682" s="314"/>
      <c r="K682" s="316"/>
      <c r="L682" s="316"/>
      <c r="M682" s="316"/>
      <c r="N682" s="316"/>
      <c r="O682" s="316"/>
      <c r="P682" s="316"/>
    </row>
    <row r="683" spans="3:16" x14ac:dyDescent="0.3">
      <c r="C683" s="373"/>
      <c r="D683" s="374"/>
      <c r="E683" s="375"/>
      <c r="F683" s="376"/>
      <c r="G683" s="377"/>
      <c r="H683" s="377"/>
      <c r="I683" s="377"/>
      <c r="J683" s="376"/>
      <c r="K683" s="378"/>
      <c r="L683" s="378"/>
      <c r="M683" s="378"/>
      <c r="N683" s="378"/>
      <c r="O683" s="378"/>
      <c r="P683" s="378"/>
    </row>
    <row r="684" spans="3:16" x14ac:dyDescent="0.3">
      <c r="C684" s="385"/>
      <c r="D684" s="386"/>
      <c r="E684" s="382"/>
      <c r="F684" s="383"/>
      <c r="G684" s="384"/>
      <c r="H684" s="384"/>
      <c r="I684" s="384"/>
      <c r="J684" s="314"/>
      <c r="K684" s="387"/>
      <c r="L684" s="387"/>
      <c r="M684" s="387"/>
      <c r="N684" s="387"/>
      <c r="O684" s="387"/>
      <c r="P684" s="387"/>
    </row>
    <row r="685" spans="3:16" x14ac:dyDescent="0.3">
      <c r="C685" s="381"/>
      <c r="D685" s="393"/>
      <c r="E685" s="382"/>
      <c r="F685" s="383"/>
      <c r="G685" s="384"/>
      <c r="H685" s="384"/>
      <c r="I685" s="384"/>
      <c r="J685" s="314"/>
      <c r="K685" s="316"/>
      <c r="L685" s="316"/>
      <c r="M685" s="316"/>
      <c r="N685" s="316"/>
      <c r="O685" s="316"/>
      <c r="P685" s="316"/>
    </row>
    <row r="686" spans="3:16" x14ac:dyDescent="0.3">
      <c r="C686" s="379"/>
      <c r="D686" s="312"/>
      <c r="E686" s="380"/>
      <c r="F686" s="314"/>
      <c r="G686" s="315"/>
      <c r="H686" s="315"/>
      <c r="I686" s="315"/>
      <c r="J686" s="314"/>
      <c r="K686" s="316"/>
      <c r="L686" s="316"/>
      <c r="M686" s="316"/>
      <c r="N686" s="316"/>
      <c r="O686" s="316"/>
      <c r="P686" s="316"/>
    </row>
    <row r="687" spans="3:16" x14ac:dyDescent="0.3">
      <c r="C687" s="373"/>
      <c r="D687" s="374"/>
      <c r="E687" s="375"/>
      <c r="F687" s="376"/>
      <c r="G687" s="377"/>
      <c r="H687" s="377"/>
      <c r="I687" s="377"/>
      <c r="J687" s="376"/>
      <c r="K687" s="378"/>
      <c r="L687" s="378"/>
      <c r="M687" s="378"/>
      <c r="N687" s="378"/>
      <c r="O687" s="378"/>
      <c r="P687" s="378"/>
    </row>
    <row r="688" spans="3:16" x14ac:dyDescent="0.3">
      <c r="C688" s="373"/>
      <c r="D688" s="374"/>
      <c r="E688" s="375"/>
      <c r="F688" s="376"/>
      <c r="G688" s="377"/>
      <c r="H688" s="377"/>
      <c r="I688" s="377"/>
      <c r="J688" s="376"/>
      <c r="K688" s="378"/>
      <c r="L688" s="378"/>
      <c r="M688" s="378"/>
      <c r="N688" s="378"/>
      <c r="O688" s="378"/>
      <c r="P688" s="378"/>
    </row>
    <row r="689" spans="3:16" x14ac:dyDescent="0.3">
      <c r="C689" s="373"/>
      <c r="D689" s="374"/>
      <c r="E689" s="375"/>
      <c r="F689" s="376"/>
      <c r="G689" s="377"/>
      <c r="H689" s="377"/>
      <c r="I689" s="377"/>
      <c r="J689" s="376"/>
      <c r="K689" s="378"/>
      <c r="L689" s="378"/>
      <c r="M689" s="378"/>
      <c r="N689" s="378"/>
      <c r="O689" s="378"/>
      <c r="P689" s="378"/>
    </row>
    <row r="690" spans="3:16" x14ac:dyDescent="0.3">
      <c r="C690" s="373"/>
      <c r="D690" s="374"/>
      <c r="E690" s="375"/>
      <c r="F690" s="376"/>
      <c r="G690" s="377"/>
      <c r="H690" s="377"/>
      <c r="I690" s="377"/>
      <c r="J690" s="376"/>
      <c r="K690" s="378"/>
      <c r="L690" s="378"/>
      <c r="M690" s="378"/>
      <c r="N690" s="378"/>
      <c r="O690" s="378"/>
      <c r="P690" s="378"/>
    </row>
    <row r="691" spans="3:16" x14ac:dyDescent="0.3">
      <c r="C691" s="373"/>
      <c r="D691" s="374"/>
      <c r="E691" s="375"/>
      <c r="F691" s="376"/>
      <c r="G691" s="377"/>
      <c r="H691" s="377"/>
      <c r="I691" s="377"/>
      <c r="J691" s="376"/>
      <c r="K691" s="378"/>
      <c r="L691" s="378"/>
      <c r="M691" s="378"/>
      <c r="N691" s="378"/>
      <c r="O691" s="378"/>
      <c r="P691" s="378"/>
    </row>
    <row r="692" spans="3:16" x14ac:dyDescent="0.3">
      <c r="C692" s="373"/>
      <c r="D692" s="374"/>
      <c r="E692" s="375"/>
      <c r="F692" s="376"/>
      <c r="G692" s="377"/>
      <c r="H692" s="377"/>
      <c r="I692" s="377"/>
      <c r="J692" s="376"/>
      <c r="K692" s="378"/>
      <c r="L692" s="378"/>
      <c r="M692" s="378"/>
      <c r="N692" s="378"/>
      <c r="O692" s="378"/>
      <c r="P692" s="378"/>
    </row>
    <row r="693" spans="3:16" x14ac:dyDescent="0.3">
      <c r="C693" s="373"/>
      <c r="D693" s="374"/>
      <c r="E693" s="375"/>
      <c r="F693" s="376"/>
      <c r="G693" s="377"/>
      <c r="H693" s="377"/>
      <c r="I693" s="377"/>
      <c r="J693" s="376"/>
      <c r="K693" s="378"/>
      <c r="L693" s="378"/>
      <c r="M693" s="378"/>
      <c r="N693" s="378"/>
      <c r="O693" s="378"/>
      <c r="P693" s="378"/>
    </row>
    <row r="694" spans="3:16" x14ac:dyDescent="0.3">
      <c r="C694" s="373"/>
      <c r="D694" s="374"/>
      <c r="E694" s="375"/>
      <c r="F694" s="376"/>
      <c r="G694" s="377"/>
      <c r="H694" s="377"/>
      <c r="I694" s="377"/>
      <c r="J694" s="376"/>
      <c r="K694" s="378"/>
      <c r="L694" s="378"/>
      <c r="M694" s="378"/>
      <c r="N694" s="378"/>
      <c r="O694" s="378"/>
      <c r="P694" s="378"/>
    </row>
    <row r="695" spans="3:16" x14ac:dyDescent="0.3">
      <c r="C695" s="379"/>
      <c r="D695" s="312"/>
      <c r="E695" s="380"/>
      <c r="F695" s="314"/>
      <c r="G695" s="315"/>
      <c r="H695" s="315"/>
      <c r="I695" s="315"/>
      <c r="J695" s="314"/>
      <c r="K695" s="316"/>
      <c r="L695" s="316"/>
      <c r="M695" s="316"/>
      <c r="N695" s="316"/>
      <c r="O695" s="316"/>
      <c r="P695" s="316"/>
    </row>
    <row r="696" spans="3:16" x14ac:dyDescent="0.3">
      <c r="C696" s="373"/>
      <c r="D696" s="374"/>
      <c r="E696" s="375"/>
      <c r="F696" s="376"/>
      <c r="G696" s="377"/>
      <c r="H696" s="377"/>
      <c r="I696" s="377"/>
      <c r="J696" s="376"/>
      <c r="K696" s="378"/>
      <c r="L696" s="378"/>
      <c r="M696" s="378"/>
      <c r="N696" s="378"/>
      <c r="O696" s="378"/>
      <c r="P696" s="378"/>
    </row>
    <row r="697" spans="3:16" x14ac:dyDescent="0.3">
      <c r="C697" s="373"/>
      <c r="D697" s="374"/>
      <c r="E697" s="375"/>
      <c r="F697" s="376"/>
      <c r="G697" s="377"/>
      <c r="H697" s="377"/>
      <c r="I697" s="377"/>
      <c r="J697" s="376"/>
      <c r="K697" s="378"/>
      <c r="L697" s="378"/>
      <c r="M697" s="378"/>
      <c r="N697" s="378"/>
      <c r="O697" s="378"/>
      <c r="P697" s="378"/>
    </row>
    <row r="698" spans="3:16" x14ac:dyDescent="0.3">
      <c r="C698" s="373"/>
      <c r="D698" s="374"/>
      <c r="E698" s="375"/>
      <c r="F698" s="376"/>
      <c r="G698" s="377"/>
      <c r="H698" s="377"/>
      <c r="I698" s="377"/>
      <c r="J698" s="376"/>
      <c r="K698" s="378"/>
      <c r="L698" s="378"/>
      <c r="M698" s="378"/>
      <c r="N698" s="378"/>
      <c r="O698" s="378"/>
      <c r="P698" s="378"/>
    </row>
    <row r="699" spans="3:16" x14ac:dyDescent="0.3">
      <c r="C699" s="373"/>
      <c r="D699" s="374"/>
      <c r="E699" s="375"/>
      <c r="F699" s="376"/>
      <c r="G699" s="377"/>
      <c r="H699" s="377"/>
      <c r="I699" s="377"/>
      <c r="J699" s="376"/>
      <c r="K699" s="378"/>
      <c r="L699" s="378"/>
      <c r="M699" s="378"/>
      <c r="N699" s="378"/>
      <c r="O699" s="378"/>
      <c r="P699" s="378"/>
    </row>
    <row r="700" spans="3:16" x14ac:dyDescent="0.3">
      <c r="C700" s="373"/>
      <c r="D700" s="374"/>
      <c r="E700" s="375"/>
      <c r="F700" s="376"/>
      <c r="G700" s="377"/>
      <c r="H700" s="377"/>
      <c r="I700" s="377"/>
      <c r="J700" s="376"/>
      <c r="K700" s="378"/>
      <c r="L700" s="378"/>
      <c r="M700" s="378"/>
      <c r="N700" s="378"/>
      <c r="O700" s="378"/>
      <c r="P700" s="378"/>
    </row>
    <row r="701" spans="3:16" x14ac:dyDescent="0.3">
      <c r="C701" s="373"/>
      <c r="D701" s="374"/>
      <c r="E701" s="375"/>
      <c r="F701" s="376"/>
      <c r="G701" s="377"/>
      <c r="H701" s="377"/>
      <c r="I701" s="377"/>
      <c r="J701" s="376"/>
      <c r="K701" s="378"/>
      <c r="L701" s="378"/>
      <c r="M701" s="378"/>
      <c r="N701" s="378"/>
      <c r="O701" s="378"/>
      <c r="P701" s="378"/>
    </row>
    <row r="702" spans="3:16" x14ac:dyDescent="0.3">
      <c r="C702" s="373"/>
      <c r="D702" s="374"/>
      <c r="E702" s="375"/>
      <c r="F702" s="376"/>
      <c r="G702" s="377"/>
      <c r="H702" s="377"/>
      <c r="I702" s="377"/>
      <c r="J702" s="376"/>
      <c r="K702" s="378"/>
      <c r="L702" s="378"/>
      <c r="M702" s="378"/>
      <c r="N702" s="378"/>
      <c r="O702" s="378"/>
      <c r="P702" s="378"/>
    </row>
    <row r="703" spans="3:16" x14ac:dyDescent="0.3">
      <c r="C703" s="373"/>
      <c r="D703" s="374"/>
      <c r="E703" s="375"/>
      <c r="F703" s="376"/>
      <c r="G703" s="377"/>
      <c r="H703" s="377"/>
      <c r="I703" s="377"/>
      <c r="J703" s="376"/>
      <c r="K703" s="378"/>
      <c r="L703" s="378"/>
      <c r="M703" s="378"/>
      <c r="N703" s="378"/>
      <c r="O703" s="378"/>
      <c r="P703" s="378"/>
    </row>
    <row r="704" spans="3:16" x14ac:dyDescent="0.3">
      <c r="C704" s="373"/>
      <c r="D704" s="374"/>
      <c r="E704" s="375"/>
      <c r="F704" s="376"/>
      <c r="G704" s="377"/>
      <c r="H704" s="377"/>
      <c r="I704" s="377"/>
      <c r="J704" s="376"/>
      <c r="K704" s="378"/>
      <c r="L704" s="378"/>
      <c r="M704" s="378"/>
      <c r="N704" s="378"/>
      <c r="O704" s="378"/>
      <c r="P704" s="378"/>
    </row>
    <row r="705" spans="3:16" x14ac:dyDescent="0.3">
      <c r="C705" s="373"/>
      <c r="D705" s="374"/>
      <c r="E705" s="375"/>
      <c r="F705" s="376"/>
      <c r="G705" s="377"/>
      <c r="H705" s="377"/>
      <c r="I705" s="377"/>
      <c r="J705" s="376"/>
      <c r="K705" s="378"/>
      <c r="L705" s="378"/>
      <c r="M705" s="378"/>
      <c r="N705" s="378"/>
      <c r="O705" s="378"/>
      <c r="P705" s="378"/>
    </row>
    <row r="706" spans="3:16" x14ac:dyDescent="0.3">
      <c r="C706" s="373"/>
      <c r="D706" s="374"/>
      <c r="E706" s="375"/>
      <c r="F706" s="376"/>
      <c r="G706" s="377"/>
      <c r="H706" s="377"/>
      <c r="I706" s="377"/>
      <c r="J706" s="376"/>
      <c r="K706" s="378"/>
      <c r="L706" s="378"/>
      <c r="M706" s="378"/>
      <c r="N706" s="378"/>
      <c r="O706" s="378"/>
      <c r="P706" s="378"/>
    </row>
    <row r="707" spans="3:16" x14ac:dyDescent="0.3">
      <c r="C707" s="373"/>
      <c r="D707" s="374"/>
      <c r="E707" s="375"/>
      <c r="F707" s="376"/>
      <c r="G707" s="377"/>
      <c r="H707" s="377"/>
      <c r="I707" s="377"/>
      <c r="J707" s="376"/>
      <c r="K707" s="378"/>
      <c r="L707" s="378"/>
      <c r="M707" s="378"/>
      <c r="N707" s="378"/>
      <c r="O707" s="378"/>
      <c r="P707" s="378"/>
    </row>
    <row r="708" spans="3:16" x14ac:dyDescent="0.3">
      <c r="C708" s="373"/>
      <c r="D708" s="374"/>
      <c r="E708" s="375"/>
      <c r="F708" s="376"/>
      <c r="G708" s="377"/>
      <c r="H708" s="377"/>
      <c r="I708" s="377"/>
      <c r="J708" s="376"/>
      <c r="K708" s="378"/>
      <c r="L708" s="378"/>
      <c r="M708" s="378"/>
      <c r="N708" s="378"/>
      <c r="O708" s="378"/>
      <c r="P708" s="378"/>
    </row>
    <row r="709" spans="3:16" x14ac:dyDescent="0.3">
      <c r="C709" s="373"/>
      <c r="D709" s="374"/>
      <c r="E709" s="375"/>
      <c r="F709" s="376"/>
      <c r="G709" s="377"/>
      <c r="H709" s="377"/>
      <c r="I709" s="377"/>
      <c r="J709" s="376"/>
      <c r="K709" s="378"/>
      <c r="L709" s="378"/>
      <c r="M709" s="378"/>
      <c r="N709" s="378"/>
      <c r="O709" s="378"/>
      <c r="P709" s="378"/>
    </row>
    <row r="710" spans="3:16" x14ac:dyDescent="0.3">
      <c r="C710" s="373"/>
      <c r="D710" s="374"/>
      <c r="E710" s="375"/>
      <c r="F710" s="376"/>
      <c r="G710" s="377"/>
      <c r="H710" s="377"/>
      <c r="I710" s="377"/>
      <c r="J710" s="376"/>
      <c r="K710" s="378"/>
      <c r="L710" s="378"/>
      <c r="M710" s="378"/>
      <c r="N710" s="378"/>
      <c r="O710" s="378"/>
      <c r="P710" s="378"/>
    </row>
    <row r="711" spans="3:16" x14ac:dyDescent="0.3">
      <c r="C711" s="373"/>
      <c r="D711" s="374"/>
      <c r="E711" s="375"/>
      <c r="F711" s="376"/>
      <c r="G711" s="377"/>
      <c r="H711" s="377"/>
      <c r="I711" s="377"/>
      <c r="J711" s="376"/>
      <c r="K711" s="378"/>
      <c r="L711" s="378"/>
      <c r="M711" s="378"/>
      <c r="N711" s="378"/>
      <c r="O711" s="378"/>
      <c r="P711" s="378"/>
    </row>
    <row r="712" spans="3:16" x14ac:dyDescent="0.3">
      <c r="C712" s="373"/>
      <c r="D712" s="399"/>
      <c r="E712" s="375"/>
      <c r="F712" s="376"/>
      <c r="G712" s="377"/>
      <c r="H712" s="377"/>
      <c r="I712" s="377"/>
      <c r="J712" s="376"/>
      <c r="K712" s="378"/>
      <c r="L712" s="378"/>
      <c r="M712" s="378"/>
      <c r="N712" s="378"/>
      <c r="O712" s="378"/>
      <c r="P712" s="378"/>
    </row>
    <row r="713" spans="3:16" x14ac:dyDescent="0.3">
      <c r="C713" s="373"/>
      <c r="D713" s="374"/>
      <c r="E713" s="375"/>
      <c r="F713" s="376"/>
      <c r="G713" s="377"/>
      <c r="H713" s="377"/>
      <c r="I713" s="377"/>
      <c r="J713" s="376"/>
      <c r="K713" s="378"/>
      <c r="L713" s="378"/>
      <c r="M713" s="378"/>
      <c r="N713" s="378"/>
      <c r="O713" s="378"/>
      <c r="P713" s="378"/>
    </row>
    <row r="714" spans="3:16" x14ac:dyDescent="0.3">
      <c r="C714" s="373"/>
      <c r="D714" s="374"/>
      <c r="E714" s="375"/>
      <c r="F714" s="376"/>
      <c r="G714" s="377"/>
      <c r="H714" s="377"/>
      <c r="I714" s="377"/>
      <c r="J714" s="376"/>
      <c r="K714" s="378"/>
      <c r="L714" s="378"/>
      <c r="M714" s="378"/>
      <c r="N714" s="378"/>
      <c r="O714" s="378"/>
      <c r="P714" s="378"/>
    </row>
    <row r="715" spans="3:16" x14ac:dyDescent="0.3">
      <c r="C715" s="373"/>
      <c r="D715" s="374"/>
      <c r="E715" s="375"/>
      <c r="F715" s="376"/>
      <c r="G715" s="377"/>
      <c r="H715" s="377"/>
      <c r="I715" s="377"/>
      <c r="J715" s="376"/>
      <c r="K715" s="378"/>
      <c r="L715" s="378"/>
      <c r="M715" s="378"/>
      <c r="N715" s="378"/>
      <c r="O715" s="378"/>
      <c r="P715" s="378"/>
    </row>
    <row r="716" spans="3:16" x14ac:dyDescent="0.3">
      <c r="C716" s="373"/>
      <c r="D716" s="374"/>
      <c r="E716" s="375"/>
      <c r="F716" s="376"/>
      <c r="G716" s="377"/>
      <c r="H716" s="377"/>
      <c r="I716" s="377"/>
      <c r="J716" s="376"/>
      <c r="K716" s="378"/>
      <c r="L716" s="378"/>
      <c r="M716" s="378"/>
      <c r="N716" s="378"/>
      <c r="O716" s="378"/>
      <c r="P716" s="378"/>
    </row>
    <row r="717" spans="3:16" x14ac:dyDescent="0.3">
      <c r="C717" s="373"/>
      <c r="D717" s="374"/>
      <c r="E717" s="375"/>
      <c r="F717" s="376"/>
      <c r="G717" s="377"/>
      <c r="H717" s="377"/>
      <c r="I717" s="377"/>
      <c r="J717" s="376"/>
      <c r="K717" s="378"/>
      <c r="L717" s="378"/>
      <c r="M717" s="378"/>
      <c r="N717" s="378"/>
      <c r="O717" s="378"/>
      <c r="P717" s="378"/>
    </row>
    <row r="718" spans="3:16" x14ac:dyDescent="0.3">
      <c r="C718" s="373"/>
      <c r="D718" s="374"/>
      <c r="E718" s="375"/>
      <c r="F718" s="376"/>
      <c r="G718" s="377"/>
      <c r="H718" s="377"/>
      <c r="I718" s="377"/>
      <c r="J718" s="376"/>
      <c r="K718" s="378"/>
      <c r="L718" s="378"/>
      <c r="M718" s="378"/>
      <c r="N718" s="378"/>
      <c r="O718" s="378"/>
      <c r="P718" s="378"/>
    </row>
    <row r="719" spans="3:16" x14ac:dyDescent="0.3">
      <c r="C719" s="373"/>
      <c r="D719" s="374"/>
      <c r="E719" s="375"/>
      <c r="F719" s="376"/>
      <c r="G719" s="377"/>
      <c r="H719" s="377"/>
      <c r="I719" s="377"/>
      <c r="J719" s="376"/>
      <c r="K719" s="378"/>
      <c r="L719" s="378"/>
      <c r="M719" s="378"/>
      <c r="N719" s="378"/>
      <c r="O719" s="378"/>
      <c r="P719" s="378"/>
    </row>
    <row r="720" spans="3:16" x14ac:dyDescent="0.3">
      <c r="C720" s="373"/>
      <c r="D720" s="374"/>
      <c r="E720" s="375"/>
      <c r="F720" s="376"/>
      <c r="G720" s="377"/>
      <c r="H720" s="377"/>
      <c r="I720" s="377"/>
      <c r="J720" s="376"/>
      <c r="K720" s="378"/>
      <c r="L720" s="378"/>
      <c r="M720" s="378"/>
      <c r="N720" s="378"/>
      <c r="O720" s="378"/>
      <c r="P720" s="378"/>
    </row>
    <row r="721" spans="3:16" x14ac:dyDescent="0.3">
      <c r="C721" s="373"/>
      <c r="D721" s="374"/>
      <c r="E721" s="375"/>
      <c r="F721" s="376"/>
      <c r="G721" s="377"/>
      <c r="H721" s="377"/>
      <c r="I721" s="377"/>
      <c r="J721" s="376"/>
      <c r="K721" s="378"/>
      <c r="L721" s="378"/>
      <c r="M721" s="378"/>
      <c r="N721" s="378"/>
      <c r="O721" s="378"/>
      <c r="P721" s="378"/>
    </row>
    <row r="722" spans="3:16" x14ac:dyDescent="0.3">
      <c r="C722" s="373"/>
      <c r="D722" s="374"/>
      <c r="E722" s="375"/>
      <c r="F722" s="376"/>
      <c r="G722" s="377"/>
      <c r="H722" s="377"/>
      <c r="I722" s="377"/>
      <c r="J722" s="376"/>
      <c r="K722" s="378"/>
      <c r="L722" s="378"/>
      <c r="M722" s="378"/>
      <c r="N722" s="378"/>
      <c r="O722" s="378"/>
      <c r="P722" s="378"/>
    </row>
    <row r="723" spans="3:16" x14ac:dyDescent="0.3">
      <c r="C723" s="373"/>
      <c r="D723" s="374"/>
      <c r="E723" s="375"/>
      <c r="F723" s="376"/>
      <c r="G723" s="377"/>
      <c r="H723" s="377"/>
      <c r="I723" s="377"/>
      <c r="J723" s="376"/>
      <c r="K723" s="378"/>
      <c r="L723" s="378"/>
      <c r="M723" s="378"/>
      <c r="N723" s="378"/>
      <c r="O723" s="378"/>
      <c r="P723" s="378"/>
    </row>
    <row r="724" spans="3:16" x14ac:dyDescent="0.3">
      <c r="C724" s="373"/>
      <c r="D724" s="374"/>
      <c r="E724" s="375"/>
      <c r="F724" s="376"/>
      <c r="G724" s="377"/>
      <c r="H724" s="377"/>
      <c r="I724" s="377"/>
      <c r="J724" s="376"/>
      <c r="K724" s="378"/>
      <c r="L724" s="378"/>
      <c r="M724" s="378"/>
      <c r="N724" s="378"/>
      <c r="O724" s="378"/>
      <c r="P724" s="378"/>
    </row>
    <row r="725" spans="3:16" x14ac:dyDescent="0.3">
      <c r="C725" s="373"/>
      <c r="D725" s="374"/>
      <c r="E725" s="375"/>
      <c r="F725" s="376"/>
      <c r="G725" s="377"/>
      <c r="H725" s="377"/>
      <c r="I725" s="377"/>
      <c r="J725" s="376"/>
      <c r="K725" s="378"/>
      <c r="L725" s="378"/>
      <c r="M725" s="378"/>
      <c r="N725" s="378"/>
      <c r="O725" s="378"/>
      <c r="P725" s="378"/>
    </row>
    <row r="726" spans="3:16" x14ac:dyDescent="0.3">
      <c r="C726" s="379"/>
      <c r="D726" s="312"/>
      <c r="E726" s="380"/>
      <c r="F726" s="314"/>
      <c r="G726" s="315"/>
      <c r="H726" s="315"/>
      <c r="I726" s="315"/>
      <c r="J726" s="314"/>
      <c r="K726" s="316"/>
      <c r="L726" s="316"/>
      <c r="M726" s="316"/>
      <c r="N726" s="316"/>
      <c r="O726" s="316"/>
      <c r="P726" s="316"/>
    </row>
    <row r="727" spans="3:16" x14ac:dyDescent="0.3">
      <c r="C727" s="373"/>
      <c r="D727" s="374"/>
      <c r="E727" s="375"/>
      <c r="F727" s="376"/>
      <c r="G727" s="377"/>
      <c r="H727" s="377"/>
      <c r="I727" s="377"/>
      <c r="J727" s="376"/>
      <c r="K727" s="378"/>
      <c r="L727" s="378"/>
      <c r="M727" s="378"/>
      <c r="N727" s="378"/>
      <c r="O727" s="378"/>
      <c r="P727" s="378"/>
    </row>
    <row r="728" spans="3:16" x14ac:dyDescent="0.3">
      <c r="C728" s="373"/>
      <c r="D728" s="374"/>
      <c r="E728" s="375"/>
      <c r="F728" s="376"/>
      <c r="G728" s="377"/>
      <c r="H728" s="377"/>
      <c r="I728" s="377"/>
      <c r="J728" s="376"/>
      <c r="K728" s="378"/>
      <c r="L728" s="378"/>
      <c r="M728" s="378"/>
      <c r="N728" s="378"/>
      <c r="O728" s="378"/>
      <c r="P728" s="378"/>
    </row>
    <row r="729" spans="3:16" x14ac:dyDescent="0.3">
      <c r="C729" s="373"/>
      <c r="D729" s="374"/>
      <c r="E729" s="375"/>
      <c r="F729" s="376"/>
      <c r="G729" s="377"/>
      <c r="H729" s="377"/>
      <c r="I729" s="377"/>
      <c r="J729" s="376"/>
      <c r="K729" s="378"/>
      <c r="L729" s="378"/>
      <c r="M729" s="378"/>
      <c r="N729" s="378"/>
      <c r="O729" s="378"/>
      <c r="P729" s="378"/>
    </row>
    <row r="730" spans="3:16" x14ac:dyDescent="0.3">
      <c r="C730" s="373"/>
      <c r="D730" s="374"/>
      <c r="E730" s="375"/>
      <c r="F730" s="376"/>
      <c r="G730" s="377"/>
      <c r="H730" s="377"/>
      <c r="I730" s="377"/>
      <c r="J730" s="376"/>
      <c r="K730" s="378"/>
      <c r="L730" s="378"/>
      <c r="M730" s="378"/>
      <c r="N730" s="378"/>
      <c r="O730" s="378"/>
      <c r="P730" s="378"/>
    </row>
    <row r="731" spans="3:16" x14ac:dyDescent="0.3">
      <c r="C731" s="373"/>
      <c r="D731" s="374"/>
      <c r="E731" s="375"/>
      <c r="F731" s="376"/>
      <c r="G731" s="377"/>
      <c r="H731" s="377"/>
      <c r="I731" s="377"/>
      <c r="J731" s="376"/>
      <c r="K731" s="378"/>
      <c r="L731" s="378"/>
      <c r="M731" s="378"/>
      <c r="N731" s="378"/>
      <c r="O731" s="378"/>
      <c r="P731" s="378"/>
    </row>
    <row r="732" spans="3:16" x14ac:dyDescent="0.3">
      <c r="C732" s="373"/>
      <c r="D732" s="374"/>
      <c r="E732" s="375"/>
      <c r="F732" s="376"/>
      <c r="G732" s="377"/>
      <c r="H732" s="377"/>
      <c r="I732" s="377"/>
      <c r="J732" s="376"/>
      <c r="K732" s="378"/>
      <c r="L732" s="378"/>
      <c r="M732" s="378"/>
      <c r="N732" s="378"/>
      <c r="O732" s="378"/>
      <c r="P732" s="378"/>
    </row>
    <row r="733" spans="3:16" x14ac:dyDescent="0.3">
      <c r="C733" s="373"/>
      <c r="D733" s="374"/>
      <c r="E733" s="375"/>
      <c r="F733" s="376"/>
      <c r="G733" s="377"/>
      <c r="H733" s="377"/>
      <c r="I733" s="377"/>
      <c r="J733" s="376"/>
      <c r="K733" s="378"/>
      <c r="L733" s="378"/>
      <c r="M733" s="378"/>
      <c r="N733" s="378"/>
      <c r="O733" s="378"/>
      <c r="P733" s="378"/>
    </row>
    <row r="734" spans="3:16" x14ac:dyDescent="0.3">
      <c r="C734" s="373"/>
      <c r="D734" s="374"/>
      <c r="E734" s="375"/>
      <c r="F734" s="376"/>
      <c r="G734" s="377"/>
      <c r="H734" s="377"/>
      <c r="I734" s="377"/>
      <c r="J734" s="376"/>
      <c r="K734" s="378"/>
      <c r="L734" s="378"/>
      <c r="M734" s="378"/>
      <c r="N734" s="378"/>
      <c r="O734" s="378"/>
      <c r="P734" s="378"/>
    </row>
    <row r="735" spans="3:16" x14ac:dyDescent="0.3">
      <c r="C735" s="373"/>
      <c r="D735" s="374"/>
      <c r="E735" s="375"/>
      <c r="F735" s="376"/>
      <c r="G735" s="377"/>
      <c r="H735" s="377"/>
      <c r="I735" s="377"/>
      <c r="J735" s="376"/>
      <c r="K735" s="378"/>
      <c r="L735" s="378"/>
      <c r="M735" s="378"/>
      <c r="N735" s="378"/>
      <c r="O735" s="378"/>
      <c r="P735" s="378"/>
    </row>
    <row r="736" spans="3:16" x14ac:dyDescent="0.3">
      <c r="C736" s="373"/>
      <c r="D736" s="374"/>
      <c r="E736" s="375"/>
      <c r="F736" s="376"/>
      <c r="G736" s="377"/>
      <c r="H736" s="377"/>
      <c r="I736" s="377"/>
      <c r="J736" s="376"/>
      <c r="K736" s="378"/>
      <c r="L736" s="378"/>
      <c r="M736" s="378"/>
      <c r="N736" s="378"/>
      <c r="O736" s="378"/>
      <c r="P736" s="378"/>
    </row>
    <row r="737" spans="3:16" x14ac:dyDescent="0.3">
      <c r="C737" s="373"/>
      <c r="D737" s="374"/>
      <c r="E737" s="375"/>
      <c r="F737" s="376"/>
      <c r="G737" s="377"/>
      <c r="H737" s="377"/>
      <c r="I737" s="377"/>
      <c r="J737" s="376"/>
      <c r="K737" s="378"/>
      <c r="L737" s="378"/>
      <c r="M737" s="378"/>
      <c r="N737" s="378"/>
      <c r="O737" s="378"/>
      <c r="P737" s="378"/>
    </row>
    <row r="738" spans="3:16" x14ac:dyDescent="0.3">
      <c r="C738" s="379"/>
      <c r="D738" s="312"/>
      <c r="E738" s="380"/>
      <c r="F738" s="314"/>
      <c r="G738" s="315"/>
      <c r="H738" s="315"/>
      <c r="I738" s="315"/>
      <c r="J738" s="314"/>
      <c r="K738" s="316"/>
      <c r="L738" s="316"/>
      <c r="M738" s="316"/>
      <c r="N738" s="316"/>
      <c r="O738" s="316"/>
      <c r="P738" s="316"/>
    </row>
    <row r="739" spans="3:16" x14ac:dyDescent="0.3">
      <c r="C739" s="373"/>
      <c r="D739" s="374"/>
      <c r="E739" s="375"/>
      <c r="F739" s="376"/>
      <c r="G739" s="377"/>
      <c r="H739" s="377"/>
      <c r="I739" s="377"/>
      <c r="J739" s="376"/>
      <c r="K739" s="378"/>
      <c r="L739" s="378"/>
      <c r="M739" s="378"/>
      <c r="N739" s="378"/>
      <c r="O739" s="378"/>
      <c r="P739" s="378"/>
    </row>
    <row r="740" spans="3:16" x14ac:dyDescent="0.3">
      <c r="C740" s="373"/>
      <c r="D740" s="374"/>
      <c r="E740" s="375"/>
      <c r="F740" s="376"/>
      <c r="G740" s="377"/>
      <c r="H740" s="377"/>
      <c r="I740" s="377"/>
      <c r="J740" s="376"/>
      <c r="K740" s="378"/>
      <c r="L740" s="378"/>
      <c r="M740" s="378"/>
      <c r="N740" s="378"/>
      <c r="O740" s="378"/>
      <c r="P740" s="378"/>
    </row>
    <row r="741" spans="3:16" x14ac:dyDescent="0.3">
      <c r="C741" s="373"/>
      <c r="D741" s="374"/>
      <c r="E741" s="375"/>
      <c r="F741" s="376"/>
      <c r="G741" s="377"/>
      <c r="H741" s="377"/>
      <c r="I741" s="377"/>
      <c r="J741" s="376"/>
      <c r="K741" s="378"/>
      <c r="L741" s="378"/>
      <c r="M741" s="378"/>
      <c r="N741" s="378"/>
      <c r="O741" s="378"/>
      <c r="P741" s="378"/>
    </row>
    <row r="742" spans="3:16" x14ac:dyDescent="0.3">
      <c r="C742" s="373"/>
      <c r="D742" s="374"/>
      <c r="E742" s="375"/>
      <c r="F742" s="376"/>
      <c r="G742" s="377"/>
      <c r="H742" s="377"/>
      <c r="I742" s="377"/>
      <c r="J742" s="376"/>
      <c r="K742" s="378"/>
      <c r="L742" s="378"/>
      <c r="M742" s="378"/>
      <c r="N742" s="378"/>
      <c r="O742" s="378"/>
      <c r="P742" s="378"/>
    </row>
    <row r="743" spans="3:16" x14ac:dyDescent="0.3">
      <c r="C743" s="373"/>
      <c r="D743" s="374"/>
      <c r="E743" s="375"/>
      <c r="F743" s="376"/>
      <c r="G743" s="377"/>
      <c r="H743" s="377"/>
      <c r="I743" s="377"/>
      <c r="J743" s="376"/>
      <c r="K743" s="378"/>
      <c r="L743" s="378"/>
      <c r="M743" s="378"/>
      <c r="N743" s="378"/>
      <c r="O743" s="378"/>
      <c r="P743" s="378"/>
    </row>
    <row r="744" spans="3:16" x14ac:dyDescent="0.3">
      <c r="C744" s="373"/>
      <c r="D744" s="374"/>
      <c r="E744" s="375"/>
      <c r="F744" s="376"/>
      <c r="G744" s="377"/>
      <c r="H744" s="377"/>
      <c r="I744" s="377"/>
      <c r="J744" s="376"/>
      <c r="K744" s="378"/>
      <c r="L744" s="378"/>
      <c r="M744" s="378"/>
      <c r="N744" s="378"/>
      <c r="O744" s="378"/>
      <c r="P744" s="378"/>
    </row>
    <row r="745" spans="3:16" x14ac:dyDescent="0.3">
      <c r="C745" s="373"/>
      <c r="D745" s="374"/>
      <c r="E745" s="375"/>
      <c r="F745" s="376"/>
      <c r="G745" s="377"/>
      <c r="H745" s="377"/>
      <c r="I745" s="377"/>
      <c r="J745" s="376"/>
      <c r="K745" s="378"/>
      <c r="L745" s="378"/>
      <c r="M745" s="378"/>
      <c r="N745" s="378"/>
      <c r="O745" s="378"/>
      <c r="P745" s="378"/>
    </row>
    <row r="746" spans="3:16" x14ac:dyDescent="0.3">
      <c r="C746" s="373"/>
      <c r="D746" s="374"/>
      <c r="E746" s="375"/>
      <c r="F746" s="376"/>
      <c r="G746" s="377"/>
      <c r="H746" s="377"/>
      <c r="I746" s="377"/>
      <c r="J746" s="376"/>
      <c r="K746" s="378"/>
      <c r="L746" s="378"/>
      <c r="M746" s="378"/>
      <c r="N746" s="378"/>
      <c r="O746" s="378"/>
      <c r="P746" s="378"/>
    </row>
    <row r="747" spans="3:16" x14ac:dyDescent="0.3">
      <c r="C747" s="373"/>
      <c r="D747" s="374"/>
      <c r="E747" s="375"/>
      <c r="F747" s="376"/>
      <c r="G747" s="377"/>
      <c r="H747" s="377"/>
      <c r="I747" s="377"/>
      <c r="J747" s="376"/>
      <c r="K747" s="378"/>
      <c r="L747" s="378"/>
      <c r="M747" s="378"/>
      <c r="N747" s="378"/>
      <c r="O747" s="378"/>
      <c r="P747" s="378"/>
    </row>
    <row r="748" spans="3:16" x14ac:dyDescent="0.3">
      <c r="C748" s="373"/>
      <c r="D748" s="374"/>
      <c r="E748" s="375"/>
      <c r="F748" s="376"/>
      <c r="G748" s="377"/>
      <c r="H748" s="377"/>
      <c r="I748" s="377"/>
      <c r="J748" s="376"/>
      <c r="K748" s="378"/>
      <c r="L748" s="378"/>
      <c r="M748" s="378"/>
      <c r="N748" s="378"/>
      <c r="O748" s="378"/>
      <c r="P748" s="378"/>
    </row>
    <row r="749" spans="3:16" x14ac:dyDescent="0.3">
      <c r="C749" s="373"/>
      <c r="D749" s="399"/>
      <c r="E749" s="375"/>
      <c r="F749" s="376"/>
      <c r="G749" s="377"/>
      <c r="H749" s="377"/>
      <c r="I749" s="377"/>
      <c r="J749" s="376"/>
      <c r="K749" s="378"/>
      <c r="L749" s="378"/>
      <c r="M749" s="378"/>
      <c r="N749" s="378"/>
      <c r="O749" s="378"/>
      <c r="P749" s="378"/>
    </row>
    <row r="750" spans="3:16" x14ac:dyDescent="0.3">
      <c r="C750" s="373"/>
      <c r="D750" s="374"/>
      <c r="E750" s="375"/>
      <c r="F750" s="376"/>
      <c r="G750" s="377"/>
      <c r="H750" s="377"/>
      <c r="I750" s="377"/>
      <c r="J750" s="376"/>
      <c r="K750" s="378"/>
      <c r="L750" s="378"/>
      <c r="M750" s="378"/>
      <c r="N750" s="378"/>
      <c r="O750" s="378"/>
      <c r="P750" s="378"/>
    </row>
    <row r="751" spans="3:16" x14ac:dyDescent="0.3">
      <c r="C751" s="373"/>
      <c r="D751" s="374"/>
      <c r="E751" s="375"/>
      <c r="F751" s="376"/>
      <c r="G751" s="377"/>
      <c r="H751" s="377"/>
      <c r="I751" s="377"/>
      <c r="J751" s="376"/>
      <c r="K751" s="378"/>
      <c r="L751" s="378"/>
      <c r="M751" s="378"/>
      <c r="N751" s="378"/>
      <c r="O751" s="378"/>
      <c r="P751" s="378"/>
    </row>
    <row r="752" spans="3:16" x14ac:dyDescent="0.3">
      <c r="C752" s="373"/>
      <c r="D752" s="374"/>
      <c r="E752" s="375"/>
      <c r="F752" s="376"/>
      <c r="G752" s="377"/>
      <c r="H752" s="377"/>
      <c r="I752" s="377"/>
      <c r="J752" s="376"/>
      <c r="K752" s="378"/>
      <c r="L752" s="378"/>
      <c r="M752" s="378"/>
      <c r="N752" s="378"/>
      <c r="O752" s="378"/>
      <c r="P752" s="378"/>
    </row>
    <row r="753" spans="3:16" x14ac:dyDescent="0.3">
      <c r="C753" s="373"/>
      <c r="D753" s="374"/>
      <c r="E753" s="375"/>
      <c r="F753" s="376"/>
      <c r="G753" s="377"/>
      <c r="H753" s="377"/>
      <c r="I753" s="377"/>
      <c r="J753" s="376"/>
      <c r="K753" s="378"/>
      <c r="L753" s="378"/>
      <c r="M753" s="378"/>
      <c r="N753" s="378"/>
      <c r="O753" s="378"/>
      <c r="P753" s="378"/>
    </row>
    <row r="754" spans="3:16" x14ac:dyDescent="0.3">
      <c r="C754" s="373"/>
      <c r="D754" s="374"/>
      <c r="E754" s="375"/>
      <c r="F754" s="376"/>
      <c r="G754" s="377"/>
      <c r="H754" s="377"/>
      <c r="I754" s="377"/>
      <c r="J754" s="376"/>
      <c r="K754" s="378"/>
      <c r="L754" s="378"/>
      <c r="M754" s="378"/>
      <c r="N754" s="378"/>
      <c r="O754" s="378"/>
      <c r="P754" s="378"/>
    </row>
    <row r="755" spans="3:16" x14ac:dyDescent="0.3">
      <c r="C755" s="373"/>
      <c r="D755" s="374"/>
      <c r="E755" s="375"/>
      <c r="F755" s="376"/>
      <c r="G755" s="377"/>
      <c r="H755" s="377"/>
      <c r="I755" s="377"/>
      <c r="J755" s="376"/>
      <c r="K755" s="378"/>
      <c r="L755" s="378"/>
      <c r="M755" s="378"/>
      <c r="N755" s="378"/>
      <c r="O755" s="378"/>
      <c r="P755" s="378"/>
    </row>
    <row r="756" spans="3:16" x14ac:dyDescent="0.3">
      <c r="C756" s="373"/>
      <c r="D756" s="374"/>
      <c r="E756" s="375"/>
      <c r="F756" s="376"/>
      <c r="G756" s="377"/>
      <c r="H756" s="377"/>
      <c r="I756" s="377"/>
      <c r="J756" s="376"/>
      <c r="K756" s="378"/>
      <c r="L756" s="378"/>
      <c r="M756" s="378"/>
      <c r="N756" s="378"/>
      <c r="O756" s="378"/>
      <c r="P756" s="378"/>
    </row>
    <row r="757" spans="3:16" x14ac:dyDescent="0.3">
      <c r="C757" s="385"/>
      <c r="D757" s="386"/>
      <c r="E757" s="382"/>
      <c r="F757" s="383"/>
      <c r="G757" s="384"/>
      <c r="H757" s="384"/>
      <c r="I757" s="384"/>
      <c r="J757" s="314"/>
      <c r="K757" s="387"/>
      <c r="L757" s="387"/>
      <c r="M757" s="387"/>
      <c r="N757" s="387"/>
      <c r="O757" s="387"/>
      <c r="P757" s="387"/>
    </row>
    <row r="758" spans="3:16" x14ac:dyDescent="0.3">
      <c r="C758" s="379"/>
      <c r="D758" s="312"/>
      <c r="E758" s="380"/>
      <c r="F758" s="314"/>
      <c r="G758" s="315"/>
      <c r="H758" s="315"/>
      <c r="I758" s="315"/>
      <c r="J758" s="314"/>
      <c r="K758" s="316"/>
      <c r="L758" s="316"/>
      <c r="M758" s="316"/>
      <c r="N758" s="316"/>
      <c r="O758" s="316"/>
      <c r="P758" s="316"/>
    </row>
    <row r="759" spans="3:16" x14ac:dyDescent="0.3">
      <c r="C759" s="373"/>
      <c r="D759" s="374"/>
      <c r="E759" s="375"/>
      <c r="F759" s="376"/>
      <c r="G759" s="377"/>
      <c r="H759" s="377"/>
      <c r="I759" s="377"/>
      <c r="J759" s="376"/>
      <c r="K759" s="378"/>
      <c r="L759" s="378"/>
      <c r="M759" s="378"/>
      <c r="N759" s="378"/>
      <c r="O759" s="378"/>
      <c r="P759" s="378"/>
    </row>
    <row r="760" spans="3:16" x14ac:dyDescent="0.3">
      <c r="C760" s="373"/>
      <c r="D760" s="374"/>
      <c r="E760" s="375"/>
      <c r="F760" s="376"/>
      <c r="G760" s="377"/>
      <c r="H760" s="377"/>
      <c r="I760" s="377"/>
      <c r="J760" s="376"/>
      <c r="K760" s="378"/>
      <c r="L760" s="378"/>
      <c r="M760" s="378"/>
      <c r="N760" s="378"/>
      <c r="O760" s="378"/>
      <c r="P760" s="378"/>
    </row>
    <row r="761" spans="3:16" x14ac:dyDescent="0.3">
      <c r="C761" s="373"/>
      <c r="D761" s="374"/>
      <c r="E761" s="375"/>
      <c r="F761" s="376"/>
      <c r="G761" s="377"/>
      <c r="H761" s="377"/>
      <c r="I761" s="377"/>
      <c r="J761" s="376"/>
      <c r="K761" s="378"/>
      <c r="L761" s="378"/>
      <c r="M761" s="378"/>
      <c r="N761" s="378"/>
      <c r="O761" s="378"/>
      <c r="P761" s="378"/>
    </row>
    <row r="762" spans="3:16" x14ac:dyDescent="0.3">
      <c r="C762" s="373"/>
      <c r="D762" s="374"/>
      <c r="E762" s="375"/>
      <c r="F762" s="376"/>
      <c r="G762" s="377"/>
      <c r="H762" s="377"/>
      <c r="I762" s="377"/>
      <c r="J762" s="376"/>
      <c r="K762" s="378"/>
      <c r="L762" s="378"/>
      <c r="M762" s="378"/>
      <c r="N762" s="378"/>
      <c r="O762" s="378"/>
      <c r="P762" s="378"/>
    </row>
    <row r="763" spans="3:16" x14ac:dyDescent="0.3">
      <c r="C763" s="373"/>
      <c r="D763" s="374"/>
      <c r="E763" s="375"/>
      <c r="F763" s="376"/>
      <c r="G763" s="377"/>
      <c r="H763" s="377"/>
      <c r="I763" s="377"/>
      <c r="J763" s="376"/>
      <c r="K763" s="378"/>
      <c r="L763" s="378"/>
      <c r="M763" s="378"/>
      <c r="N763" s="378"/>
      <c r="O763" s="378"/>
      <c r="P763" s="378"/>
    </row>
    <row r="764" spans="3:16" x14ac:dyDescent="0.3">
      <c r="C764" s="373"/>
      <c r="D764" s="374"/>
      <c r="E764" s="375"/>
      <c r="F764" s="376"/>
      <c r="G764" s="377"/>
      <c r="H764" s="377"/>
      <c r="I764" s="377"/>
      <c r="J764" s="376"/>
      <c r="K764" s="378"/>
      <c r="L764" s="378"/>
      <c r="M764" s="378"/>
      <c r="N764" s="378"/>
      <c r="O764" s="378"/>
      <c r="P764" s="378"/>
    </row>
    <row r="765" spans="3:16" x14ac:dyDescent="0.3">
      <c r="C765" s="373"/>
      <c r="D765" s="374"/>
      <c r="E765" s="375"/>
      <c r="F765" s="376"/>
      <c r="G765" s="377"/>
      <c r="H765" s="377"/>
      <c r="I765" s="377"/>
      <c r="J765" s="376"/>
      <c r="K765" s="378"/>
      <c r="L765" s="378"/>
      <c r="M765" s="378"/>
      <c r="N765" s="378"/>
      <c r="O765" s="378"/>
      <c r="P765" s="378"/>
    </row>
    <row r="766" spans="3:16" x14ac:dyDescent="0.3">
      <c r="C766" s="373"/>
      <c r="D766" s="374"/>
      <c r="E766" s="375"/>
      <c r="F766" s="376"/>
      <c r="G766" s="377"/>
      <c r="H766" s="377"/>
      <c r="I766" s="377"/>
      <c r="J766" s="376"/>
      <c r="K766" s="378"/>
      <c r="L766" s="378"/>
      <c r="M766" s="378"/>
      <c r="N766" s="378"/>
      <c r="O766" s="378"/>
      <c r="P766" s="378"/>
    </row>
    <row r="767" spans="3:16" x14ac:dyDescent="0.3">
      <c r="C767" s="373"/>
      <c r="D767" s="374"/>
      <c r="E767" s="375"/>
      <c r="F767" s="376"/>
      <c r="G767" s="377"/>
      <c r="H767" s="377"/>
      <c r="I767" s="377"/>
      <c r="J767" s="376"/>
      <c r="K767" s="378"/>
      <c r="L767" s="378"/>
      <c r="M767" s="378"/>
      <c r="N767" s="378"/>
      <c r="O767" s="378"/>
      <c r="P767" s="378"/>
    </row>
    <row r="768" spans="3:16" x14ac:dyDescent="0.3">
      <c r="C768" s="373"/>
      <c r="D768" s="374"/>
      <c r="E768" s="375"/>
      <c r="F768" s="376"/>
      <c r="G768" s="377"/>
      <c r="H768" s="377"/>
      <c r="I768" s="377"/>
      <c r="J768" s="376"/>
      <c r="K768" s="378"/>
      <c r="L768" s="378"/>
      <c r="M768" s="378"/>
      <c r="N768" s="378"/>
      <c r="O768" s="378"/>
      <c r="P768" s="378"/>
    </row>
    <row r="769" spans="3:16" x14ac:dyDescent="0.3">
      <c r="C769" s="373"/>
      <c r="D769" s="374"/>
      <c r="E769" s="375"/>
      <c r="F769" s="376"/>
      <c r="G769" s="377"/>
      <c r="H769" s="377"/>
      <c r="I769" s="377"/>
      <c r="J769" s="376"/>
      <c r="K769" s="378"/>
      <c r="L769" s="378"/>
      <c r="M769" s="378"/>
      <c r="N769" s="378"/>
      <c r="O769" s="378"/>
      <c r="P769" s="378"/>
    </row>
    <row r="770" spans="3:16" x14ac:dyDescent="0.3">
      <c r="C770" s="373"/>
      <c r="D770" s="374"/>
      <c r="E770" s="375"/>
      <c r="F770" s="376"/>
      <c r="G770" s="377"/>
      <c r="H770" s="377"/>
      <c r="I770" s="377"/>
      <c r="J770" s="376"/>
      <c r="K770" s="378"/>
      <c r="L770" s="378"/>
      <c r="M770" s="378"/>
      <c r="N770" s="378"/>
      <c r="O770" s="378"/>
      <c r="P770" s="378"/>
    </row>
    <row r="771" spans="3:16" x14ac:dyDescent="0.3">
      <c r="C771" s="373"/>
      <c r="D771" s="374"/>
      <c r="E771" s="375"/>
      <c r="F771" s="376"/>
      <c r="G771" s="377"/>
      <c r="H771" s="377"/>
      <c r="I771" s="377"/>
      <c r="J771" s="376"/>
      <c r="K771" s="378"/>
      <c r="L771" s="378"/>
      <c r="M771" s="378"/>
      <c r="N771" s="378"/>
      <c r="O771" s="378"/>
      <c r="P771" s="378"/>
    </row>
    <row r="772" spans="3:16" x14ac:dyDescent="0.3">
      <c r="C772" s="373"/>
      <c r="D772" s="374"/>
      <c r="E772" s="375"/>
      <c r="F772" s="376"/>
      <c r="G772" s="377"/>
      <c r="H772" s="377"/>
      <c r="I772" s="377"/>
      <c r="J772" s="376"/>
      <c r="K772" s="378"/>
      <c r="L772" s="378"/>
      <c r="M772" s="378"/>
      <c r="N772" s="378"/>
      <c r="O772" s="378"/>
      <c r="P772" s="378"/>
    </row>
    <row r="773" spans="3:16" x14ac:dyDescent="0.3">
      <c r="C773" s="373"/>
      <c r="D773" s="374"/>
      <c r="E773" s="375"/>
      <c r="F773" s="376"/>
      <c r="G773" s="377"/>
      <c r="H773" s="377"/>
      <c r="I773" s="377"/>
      <c r="J773" s="376"/>
      <c r="K773" s="378"/>
      <c r="L773" s="378"/>
      <c r="M773" s="378"/>
      <c r="N773" s="378"/>
      <c r="O773" s="378"/>
      <c r="P773" s="378"/>
    </row>
    <row r="774" spans="3:16" x14ac:dyDescent="0.3">
      <c r="C774" s="373"/>
      <c r="D774" s="374"/>
      <c r="E774" s="375"/>
      <c r="F774" s="376"/>
      <c r="G774" s="377"/>
      <c r="H774" s="377"/>
      <c r="I774" s="377"/>
      <c r="J774" s="376"/>
      <c r="K774" s="378"/>
      <c r="L774" s="378"/>
      <c r="M774" s="378"/>
      <c r="N774" s="378"/>
      <c r="O774" s="378"/>
      <c r="P774" s="378"/>
    </row>
    <row r="775" spans="3:16" x14ac:dyDescent="0.3">
      <c r="C775" s="373"/>
      <c r="D775" s="374"/>
      <c r="E775" s="375"/>
      <c r="F775" s="376"/>
      <c r="G775" s="377"/>
      <c r="H775" s="377"/>
      <c r="I775" s="377"/>
      <c r="J775" s="376"/>
      <c r="K775" s="378"/>
      <c r="L775" s="378"/>
      <c r="M775" s="378"/>
      <c r="N775" s="378"/>
      <c r="O775" s="378"/>
      <c r="P775" s="378"/>
    </row>
    <row r="776" spans="3:16" x14ac:dyDescent="0.3">
      <c r="C776" s="373"/>
      <c r="D776" s="374"/>
      <c r="E776" s="375"/>
      <c r="F776" s="376"/>
      <c r="G776" s="377"/>
      <c r="H776" s="377"/>
      <c r="I776" s="377"/>
      <c r="J776" s="376"/>
      <c r="K776" s="378"/>
      <c r="L776" s="378"/>
      <c r="M776" s="378"/>
      <c r="N776" s="378"/>
      <c r="O776" s="378"/>
      <c r="P776" s="378"/>
    </row>
    <row r="777" spans="3:16" x14ac:dyDescent="0.3">
      <c r="C777" s="373"/>
      <c r="D777" s="374"/>
      <c r="E777" s="375"/>
      <c r="F777" s="376"/>
      <c r="G777" s="377"/>
      <c r="H777" s="377"/>
      <c r="I777" s="377"/>
      <c r="J777" s="376"/>
      <c r="K777" s="378"/>
      <c r="L777" s="378"/>
      <c r="M777" s="378"/>
      <c r="N777" s="378"/>
      <c r="O777" s="378"/>
      <c r="P777" s="378"/>
    </row>
    <row r="778" spans="3:16" x14ac:dyDescent="0.3">
      <c r="C778" s="373"/>
      <c r="D778" s="374"/>
      <c r="E778" s="375"/>
      <c r="F778" s="376"/>
      <c r="G778" s="377"/>
      <c r="H778" s="377"/>
      <c r="I778" s="377"/>
      <c r="J778" s="376"/>
      <c r="K778" s="378"/>
      <c r="L778" s="378"/>
      <c r="M778" s="378"/>
      <c r="N778" s="378"/>
      <c r="O778" s="378"/>
      <c r="P778" s="378"/>
    </row>
    <row r="779" spans="3:16" x14ac:dyDescent="0.3">
      <c r="C779" s="373"/>
      <c r="D779" s="374"/>
      <c r="E779" s="375"/>
      <c r="F779" s="376"/>
      <c r="G779" s="377"/>
      <c r="H779" s="377"/>
      <c r="I779" s="377"/>
      <c r="J779" s="376"/>
      <c r="K779" s="378"/>
      <c r="L779" s="378"/>
      <c r="M779" s="378"/>
      <c r="N779" s="378"/>
      <c r="O779" s="378"/>
      <c r="P779" s="378"/>
    </row>
    <row r="780" spans="3:16" x14ac:dyDescent="0.3">
      <c r="C780" s="373"/>
      <c r="D780" s="374"/>
      <c r="E780" s="375"/>
      <c r="F780" s="376"/>
      <c r="G780" s="377"/>
      <c r="H780" s="377"/>
      <c r="I780" s="377"/>
      <c r="J780" s="376"/>
      <c r="K780" s="378"/>
      <c r="L780" s="378"/>
      <c r="M780" s="378"/>
      <c r="N780" s="378"/>
      <c r="O780" s="378"/>
      <c r="P780" s="378"/>
    </row>
    <row r="781" spans="3:16" x14ac:dyDescent="0.3">
      <c r="C781" s="373"/>
      <c r="D781" s="374"/>
      <c r="E781" s="375"/>
      <c r="F781" s="376"/>
      <c r="G781" s="377"/>
      <c r="H781" s="377"/>
      <c r="I781" s="377"/>
      <c r="J781" s="376"/>
      <c r="K781" s="378"/>
      <c r="L781" s="378"/>
      <c r="M781" s="378"/>
      <c r="N781" s="378"/>
      <c r="O781" s="378"/>
      <c r="P781" s="378"/>
    </row>
    <row r="782" spans="3:16" x14ac:dyDescent="0.3">
      <c r="C782" s="373"/>
      <c r="D782" s="374"/>
      <c r="E782" s="375"/>
      <c r="F782" s="376"/>
      <c r="G782" s="377"/>
      <c r="H782" s="377"/>
      <c r="I782" s="377"/>
      <c r="J782" s="376"/>
      <c r="K782" s="378"/>
      <c r="L782" s="378"/>
      <c r="M782" s="378"/>
      <c r="N782" s="378"/>
      <c r="O782" s="378"/>
      <c r="P782" s="378"/>
    </row>
    <row r="783" spans="3:16" x14ac:dyDescent="0.3">
      <c r="C783" s="373"/>
      <c r="D783" s="374"/>
      <c r="E783" s="375"/>
      <c r="F783" s="376"/>
      <c r="G783" s="377"/>
      <c r="H783" s="377"/>
      <c r="I783" s="377"/>
      <c r="J783" s="376"/>
      <c r="K783" s="378"/>
      <c r="L783" s="378"/>
      <c r="M783" s="378"/>
      <c r="N783" s="378"/>
      <c r="O783" s="378"/>
      <c r="P783" s="378"/>
    </row>
    <row r="784" spans="3:16" x14ac:dyDescent="0.3">
      <c r="C784" s="379"/>
      <c r="D784" s="312"/>
      <c r="E784" s="380"/>
      <c r="F784" s="314"/>
      <c r="G784" s="315"/>
      <c r="H784" s="315"/>
      <c r="I784" s="315"/>
      <c r="J784" s="314"/>
      <c r="K784" s="316"/>
      <c r="L784" s="316"/>
      <c r="M784" s="316"/>
      <c r="N784" s="316"/>
      <c r="O784" s="316"/>
      <c r="P784" s="316"/>
    </row>
    <row r="785" spans="3:16" x14ac:dyDescent="0.3">
      <c r="C785" s="373"/>
      <c r="D785" s="374"/>
      <c r="E785" s="375"/>
      <c r="F785" s="376"/>
      <c r="G785" s="377"/>
      <c r="H785" s="377"/>
      <c r="I785" s="377"/>
      <c r="J785" s="376"/>
      <c r="K785" s="378"/>
      <c r="L785" s="378"/>
      <c r="M785" s="378"/>
      <c r="N785" s="378"/>
      <c r="O785" s="378"/>
      <c r="P785" s="378"/>
    </row>
    <row r="786" spans="3:16" x14ac:dyDescent="0.3">
      <c r="C786" s="373"/>
      <c r="D786" s="374"/>
      <c r="E786" s="375"/>
      <c r="F786" s="376"/>
      <c r="G786" s="377"/>
      <c r="H786" s="377"/>
      <c r="I786" s="377"/>
      <c r="J786" s="376"/>
      <c r="K786" s="378"/>
      <c r="L786" s="378"/>
      <c r="M786" s="378"/>
      <c r="N786" s="378"/>
      <c r="O786" s="378"/>
      <c r="P786" s="378"/>
    </row>
    <row r="787" spans="3:16" x14ac:dyDescent="0.3">
      <c r="C787" s="373"/>
      <c r="D787" s="374"/>
      <c r="E787" s="375"/>
      <c r="F787" s="376"/>
      <c r="G787" s="377"/>
      <c r="H787" s="377"/>
      <c r="I787" s="377"/>
      <c r="J787" s="376"/>
      <c r="K787" s="378"/>
      <c r="L787" s="378"/>
      <c r="M787" s="378"/>
      <c r="N787" s="378"/>
      <c r="O787" s="378"/>
      <c r="P787" s="378"/>
    </row>
    <row r="788" spans="3:16" x14ac:dyDescent="0.3">
      <c r="C788" s="373"/>
      <c r="D788" s="374"/>
      <c r="E788" s="375"/>
      <c r="F788" s="376"/>
      <c r="G788" s="377"/>
      <c r="H788" s="377"/>
      <c r="I788" s="377"/>
      <c r="J788" s="376"/>
      <c r="K788" s="378"/>
      <c r="L788" s="378"/>
      <c r="M788" s="378"/>
      <c r="N788" s="378"/>
      <c r="O788" s="378"/>
      <c r="P788" s="378"/>
    </row>
    <row r="789" spans="3:16" x14ac:dyDescent="0.3">
      <c r="C789" s="373"/>
      <c r="D789" s="374"/>
      <c r="E789" s="375"/>
      <c r="F789" s="376"/>
      <c r="G789" s="377"/>
      <c r="H789" s="377"/>
      <c r="I789" s="377"/>
      <c r="J789" s="376"/>
      <c r="K789" s="378"/>
      <c r="L789" s="378"/>
      <c r="M789" s="378"/>
      <c r="N789" s="378"/>
      <c r="O789" s="378"/>
      <c r="P789" s="378"/>
    </row>
    <row r="790" spans="3:16" x14ac:dyDescent="0.3">
      <c r="C790" s="373"/>
      <c r="D790" s="374"/>
      <c r="E790" s="375"/>
      <c r="F790" s="376"/>
      <c r="G790" s="377"/>
      <c r="H790" s="377"/>
      <c r="I790" s="377"/>
      <c r="J790" s="376"/>
      <c r="K790" s="378"/>
      <c r="L790" s="378"/>
      <c r="M790" s="378"/>
      <c r="N790" s="378"/>
      <c r="O790" s="378"/>
      <c r="P790" s="378"/>
    </row>
    <row r="791" spans="3:16" x14ac:dyDescent="0.3">
      <c r="C791" s="373"/>
      <c r="D791" s="374"/>
      <c r="E791" s="375"/>
      <c r="F791" s="376"/>
      <c r="G791" s="377"/>
      <c r="H791" s="377"/>
      <c r="I791" s="377"/>
      <c r="J791" s="376"/>
      <c r="K791" s="378"/>
      <c r="L791" s="378"/>
      <c r="M791" s="378"/>
      <c r="N791" s="378"/>
      <c r="O791" s="378"/>
      <c r="P791" s="378"/>
    </row>
    <row r="792" spans="3:16" x14ac:dyDescent="0.3">
      <c r="C792" s="373"/>
      <c r="D792" s="374"/>
      <c r="E792" s="375"/>
      <c r="F792" s="376"/>
      <c r="G792" s="377"/>
      <c r="H792" s="377"/>
      <c r="I792" s="377"/>
      <c r="J792" s="376"/>
      <c r="K792" s="378"/>
      <c r="L792" s="378"/>
      <c r="M792" s="378"/>
      <c r="N792" s="378"/>
      <c r="O792" s="378"/>
      <c r="P792" s="378"/>
    </row>
    <row r="793" spans="3:16" x14ac:dyDescent="0.3">
      <c r="C793" s="373"/>
      <c r="D793" s="374"/>
      <c r="E793" s="375"/>
      <c r="F793" s="376"/>
      <c r="G793" s="377"/>
      <c r="H793" s="377"/>
      <c r="I793" s="377"/>
      <c r="J793" s="376"/>
      <c r="K793" s="378"/>
      <c r="L793" s="378"/>
      <c r="M793" s="378"/>
      <c r="N793" s="378"/>
      <c r="O793" s="378"/>
      <c r="P793" s="378"/>
    </row>
    <row r="794" spans="3:16" x14ac:dyDescent="0.3">
      <c r="C794" s="373"/>
      <c r="D794" s="374"/>
      <c r="E794" s="375"/>
      <c r="F794" s="376"/>
      <c r="G794" s="377"/>
      <c r="H794" s="377"/>
      <c r="I794" s="377"/>
      <c r="J794" s="376"/>
      <c r="K794" s="378"/>
      <c r="L794" s="378"/>
      <c r="M794" s="378"/>
      <c r="N794" s="378"/>
      <c r="O794" s="378"/>
      <c r="P794" s="378"/>
    </row>
    <row r="795" spans="3:16" x14ac:dyDescent="0.3">
      <c r="C795" s="373"/>
      <c r="D795" s="374"/>
      <c r="E795" s="375"/>
      <c r="F795" s="376"/>
      <c r="G795" s="377"/>
      <c r="H795" s="377"/>
      <c r="I795" s="377"/>
      <c r="J795" s="376"/>
      <c r="K795" s="378"/>
      <c r="L795" s="378"/>
      <c r="M795" s="378"/>
      <c r="N795" s="378"/>
      <c r="O795" s="378"/>
      <c r="P795" s="378"/>
    </row>
    <row r="796" spans="3:16" x14ac:dyDescent="0.3">
      <c r="C796" s="373"/>
      <c r="D796" s="374"/>
      <c r="E796" s="375"/>
      <c r="F796" s="376"/>
      <c r="G796" s="377"/>
      <c r="H796" s="377"/>
      <c r="I796" s="377"/>
      <c r="J796" s="376"/>
      <c r="K796" s="378"/>
      <c r="L796" s="378"/>
      <c r="M796" s="378"/>
      <c r="N796" s="378"/>
      <c r="O796" s="378"/>
      <c r="P796" s="378"/>
    </row>
    <row r="797" spans="3:16" x14ac:dyDescent="0.3">
      <c r="C797" s="373"/>
      <c r="D797" s="374"/>
      <c r="E797" s="375"/>
      <c r="F797" s="376"/>
      <c r="G797" s="377"/>
      <c r="H797" s="377"/>
      <c r="I797" s="377"/>
      <c r="J797" s="376"/>
      <c r="K797" s="378"/>
      <c r="L797" s="378"/>
      <c r="M797" s="378"/>
      <c r="N797" s="378"/>
      <c r="O797" s="378"/>
      <c r="P797" s="378"/>
    </row>
    <row r="798" spans="3:16" x14ac:dyDescent="0.3">
      <c r="C798" s="373"/>
      <c r="D798" s="374"/>
      <c r="E798" s="375"/>
      <c r="F798" s="376"/>
      <c r="G798" s="377"/>
      <c r="H798" s="377"/>
      <c r="I798" s="377"/>
      <c r="J798" s="376"/>
      <c r="K798" s="378"/>
      <c r="L798" s="378"/>
      <c r="M798" s="378"/>
      <c r="N798" s="378"/>
      <c r="O798" s="378"/>
      <c r="P798" s="378"/>
    </row>
    <row r="799" spans="3:16" x14ac:dyDescent="0.3">
      <c r="C799" s="373"/>
      <c r="D799" s="374"/>
      <c r="E799" s="375"/>
      <c r="F799" s="376"/>
      <c r="G799" s="377"/>
      <c r="H799" s="377"/>
      <c r="I799" s="377"/>
      <c r="J799" s="376"/>
      <c r="K799" s="378"/>
      <c r="L799" s="378"/>
      <c r="M799" s="378"/>
      <c r="N799" s="378"/>
      <c r="O799" s="378"/>
      <c r="P799" s="378"/>
    </row>
    <row r="800" spans="3:16" x14ac:dyDescent="0.3">
      <c r="C800" s="373"/>
      <c r="D800" s="374"/>
      <c r="E800" s="375"/>
      <c r="F800" s="376"/>
      <c r="G800" s="377"/>
      <c r="H800" s="377"/>
      <c r="I800" s="377"/>
      <c r="J800" s="376"/>
      <c r="K800" s="378"/>
      <c r="L800" s="378"/>
      <c r="M800" s="378"/>
      <c r="N800" s="378"/>
      <c r="O800" s="378"/>
      <c r="P800" s="378"/>
    </row>
    <row r="801" spans="3:16" x14ac:dyDescent="0.3">
      <c r="C801" s="373"/>
      <c r="D801" s="374"/>
      <c r="E801" s="375"/>
      <c r="F801" s="376"/>
      <c r="G801" s="377"/>
      <c r="H801" s="377"/>
      <c r="I801" s="377"/>
      <c r="J801" s="376"/>
      <c r="K801" s="378"/>
      <c r="L801" s="378"/>
      <c r="M801" s="378"/>
      <c r="N801" s="378"/>
      <c r="O801" s="378"/>
      <c r="P801" s="378"/>
    </row>
    <row r="802" spans="3:16" x14ac:dyDescent="0.3">
      <c r="C802" s="373"/>
      <c r="D802" s="374"/>
      <c r="E802" s="375"/>
      <c r="F802" s="376"/>
      <c r="G802" s="377"/>
      <c r="H802" s="377"/>
      <c r="I802" s="377"/>
      <c r="J802" s="376"/>
      <c r="K802" s="378"/>
      <c r="L802" s="378"/>
      <c r="M802" s="378"/>
      <c r="N802" s="378"/>
      <c r="O802" s="378"/>
      <c r="P802" s="378"/>
    </row>
    <row r="803" spans="3:16" x14ac:dyDescent="0.3">
      <c r="C803" s="373"/>
      <c r="D803" s="374"/>
      <c r="E803" s="375"/>
      <c r="F803" s="376"/>
      <c r="G803" s="377"/>
      <c r="H803" s="377"/>
      <c r="I803" s="377"/>
      <c r="J803" s="376"/>
      <c r="K803" s="378"/>
      <c r="L803" s="378"/>
      <c r="M803" s="378"/>
      <c r="N803" s="378"/>
      <c r="O803" s="378"/>
      <c r="P803" s="378"/>
    </row>
    <row r="804" spans="3:16" x14ac:dyDescent="0.3">
      <c r="C804" s="373"/>
      <c r="D804" s="374"/>
      <c r="E804" s="375"/>
      <c r="F804" s="376"/>
      <c r="G804" s="377"/>
      <c r="H804" s="377"/>
      <c r="I804" s="377"/>
      <c r="J804" s="376"/>
      <c r="K804" s="378"/>
      <c r="L804" s="378"/>
      <c r="M804" s="378"/>
      <c r="N804" s="378"/>
      <c r="O804" s="378"/>
      <c r="P804" s="378"/>
    </row>
    <row r="805" spans="3:16" x14ac:dyDescent="0.3">
      <c r="C805" s="373"/>
      <c r="D805" s="374"/>
      <c r="E805" s="375"/>
      <c r="F805" s="376"/>
      <c r="G805" s="377"/>
      <c r="H805" s="377"/>
      <c r="I805" s="377"/>
      <c r="J805" s="376"/>
      <c r="K805" s="378"/>
      <c r="L805" s="378"/>
      <c r="M805" s="378"/>
      <c r="N805" s="378"/>
      <c r="O805" s="378"/>
      <c r="P805" s="378"/>
    </row>
    <row r="806" spans="3:16" x14ac:dyDescent="0.3">
      <c r="C806" s="373"/>
      <c r="D806" s="374"/>
      <c r="E806" s="375"/>
      <c r="F806" s="376"/>
      <c r="G806" s="377"/>
      <c r="H806" s="377"/>
      <c r="I806" s="377"/>
      <c r="J806" s="376"/>
      <c r="K806" s="378"/>
      <c r="L806" s="378"/>
      <c r="M806" s="378"/>
      <c r="N806" s="378"/>
      <c r="O806" s="378"/>
      <c r="P806" s="378"/>
    </row>
    <row r="807" spans="3:16" x14ac:dyDescent="0.3">
      <c r="C807" s="373"/>
      <c r="D807" s="374"/>
      <c r="E807" s="375"/>
      <c r="F807" s="376"/>
      <c r="G807" s="377"/>
      <c r="H807" s="377"/>
      <c r="I807" s="377"/>
      <c r="J807" s="376"/>
      <c r="K807" s="378"/>
      <c r="L807" s="378"/>
      <c r="M807" s="378"/>
      <c r="N807" s="378"/>
      <c r="O807" s="378"/>
      <c r="P807" s="378"/>
    </row>
    <row r="808" spans="3:16" x14ac:dyDescent="0.3">
      <c r="C808" s="373"/>
      <c r="D808" s="374"/>
      <c r="E808" s="375"/>
      <c r="F808" s="376"/>
      <c r="G808" s="377"/>
      <c r="H808" s="377"/>
      <c r="I808" s="377"/>
      <c r="J808" s="376"/>
      <c r="K808" s="378"/>
      <c r="L808" s="378"/>
      <c r="M808" s="378"/>
      <c r="N808" s="378"/>
      <c r="O808" s="378"/>
      <c r="P808" s="378"/>
    </row>
    <row r="809" spans="3:16" x14ac:dyDescent="0.3">
      <c r="C809" s="373"/>
      <c r="D809" s="374"/>
      <c r="E809" s="375"/>
      <c r="F809" s="376"/>
      <c r="G809" s="377"/>
      <c r="H809" s="377"/>
      <c r="I809" s="377"/>
      <c r="J809" s="376"/>
      <c r="K809" s="378"/>
      <c r="L809" s="378"/>
      <c r="M809" s="378"/>
      <c r="N809" s="378"/>
      <c r="O809" s="378"/>
      <c r="P809" s="378"/>
    </row>
    <row r="810" spans="3:16" x14ac:dyDescent="0.3">
      <c r="C810" s="373"/>
      <c r="D810" s="374"/>
      <c r="E810" s="375"/>
      <c r="F810" s="376"/>
      <c r="G810" s="377"/>
      <c r="H810" s="377"/>
      <c r="I810" s="377"/>
      <c r="J810" s="376"/>
      <c r="K810" s="378"/>
      <c r="L810" s="378"/>
      <c r="M810" s="378"/>
      <c r="N810" s="378"/>
      <c r="O810" s="378"/>
      <c r="P810" s="378"/>
    </row>
    <row r="811" spans="3:16" x14ac:dyDescent="0.3">
      <c r="C811" s="373"/>
      <c r="D811" s="374"/>
      <c r="E811" s="375"/>
      <c r="F811" s="376"/>
      <c r="G811" s="377"/>
      <c r="H811" s="377"/>
      <c r="I811" s="377"/>
      <c r="J811" s="376"/>
      <c r="K811" s="378"/>
      <c r="L811" s="378"/>
      <c r="M811" s="378"/>
      <c r="N811" s="378"/>
      <c r="O811" s="378"/>
      <c r="P811" s="378"/>
    </row>
    <row r="812" spans="3:16" x14ac:dyDescent="0.3">
      <c r="C812" s="373"/>
      <c r="D812" s="374"/>
      <c r="E812" s="375"/>
      <c r="F812" s="376"/>
      <c r="G812" s="377"/>
      <c r="H812" s="377"/>
      <c r="I812" s="377"/>
      <c r="J812" s="376"/>
      <c r="K812" s="378"/>
      <c r="L812" s="378"/>
      <c r="M812" s="378"/>
      <c r="N812" s="378"/>
      <c r="O812" s="378"/>
      <c r="P812" s="378"/>
    </row>
    <row r="813" spans="3:16" x14ac:dyDescent="0.3">
      <c r="C813" s="373"/>
      <c r="D813" s="374"/>
      <c r="E813" s="375"/>
      <c r="F813" s="376"/>
      <c r="G813" s="377"/>
      <c r="H813" s="377"/>
      <c r="I813" s="377"/>
      <c r="J813" s="376"/>
      <c r="K813" s="378"/>
      <c r="L813" s="378"/>
      <c r="M813" s="378"/>
      <c r="N813" s="378"/>
      <c r="O813" s="378"/>
      <c r="P813" s="378"/>
    </row>
    <row r="814" spans="3:16" x14ac:dyDescent="0.3">
      <c r="C814" s="373"/>
      <c r="D814" s="374"/>
      <c r="E814" s="375"/>
      <c r="F814" s="376"/>
      <c r="G814" s="377"/>
      <c r="H814" s="377"/>
      <c r="I814" s="377"/>
      <c r="J814" s="376"/>
      <c r="K814" s="378"/>
      <c r="L814" s="378"/>
      <c r="M814" s="378"/>
      <c r="N814" s="378"/>
      <c r="O814" s="378"/>
      <c r="P814" s="378"/>
    </row>
    <row r="815" spans="3:16" x14ac:dyDescent="0.3">
      <c r="C815" s="373"/>
      <c r="D815" s="374"/>
      <c r="E815" s="375"/>
      <c r="F815" s="376"/>
      <c r="G815" s="377"/>
      <c r="H815" s="377"/>
      <c r="I815" s="377"/>
      <c r="J815" s="376"/>
      <c r="K815" s="378"/>
      <c r="L815" s="378"/>
      <c r="M815" s="378"/>
      <c r="N815" s="378"/>
      <c r="O815" s="378"/>
      <c r="P815" s="378"/>
    </row>
    <row r="816" spans="3:16" x14ac:dyDescent="0.3">
      <c r="C816" s="373"/>
      <c r="D816" s="374"/>
      <c r="E816" s="375"/>
      <c r="F816" s="376"/>
      <c r="G816" s="377"/>
      <c r="H816" s="377"/>
      <c r="I816" s="377"/>
      <c r="J816" s="376"/>
      <c r="K816" s="378"/>
      <c r="L816" s="378"/>
      <c r="M816" s="378"/>
      <c r="N816" s="378"/>
      <c r="O816" s="378"/>
      <c r="P816" s="378"/>
    </row>
    <row r="817" spans="3:16" x14ac:dyDescent="0.3">
      <c r="C817" s="373"/>
      <c r="D817" s="374"/>
      <c r="E817" s="375"/>
      <c r="F817" s="376"/>
      <c r="G817" s="377"/>
      <c r="H817" s="377"/>
      <c r="I817" s="377"/>
      <c r="J817" s="376"/>
      <c r="K817" s="378"/>
      <c r="L817" s="378"/>
      <c r="M817" s="378"/>
      <c r="N817" s="378"/>
      <c r="O817" s="378"/>
      <c r="P817" s="378"/>
    </row>
    <row r="818" spans="3:16" x14ac:dyDescent="0.3">
      <c r="C818" s="373"/>
      <c r="D818" s="374"/>
      <c r="E818" s="375"/>
      <c r="F818" s="376"/>
      <c r="G818" s="377"/>
      <c r="H818" s="377"/>
      <c r="I818" s="377"/>
      <c r="J818" s="376"/>
      <c r="K818" s="378"/>
      <c r="L818" s="378"/>
      <c r="M818" s="378"/>
      <c r="N818" s="378"/>
      <c r="O818" s="378"/>
      <c r="P818" s="378"/>
    </row>
    <row r="819" spans="3:16" x14ac:dyDescent="0.3">
      <c r="C819" s="373"/>
      <c r="D819" s="374"/>
      <c r="E819" s="375"/>
      <c r="F819" s="376"/>
      <c r="G819" s="377"/>
      <c r="H819" s="377"/>
      <c r="I819" s="377"/>
      <c r="J819" s="376"/>
      <c r="K819" s="378"/>
      <c r="L819" s="378"/>
      <c r="M819" s="378"/>
      <c r="N819" s="378"/>
      <c r="O819" s="378"/>
      <c r="P819" s="378"/>
    </row>
    <row r="820" spans="3:16" x14ac:dyDescent="0.3">
      <c r="C820" s="373"/>
      <c r="D820" s="374"/>
      <c r="E820" s="375"/>
      <c r="F820" s="376"/>
      <c r="G820" s="377"/>
      <c r="H820" s="377"/>
      <c r="I820" s="377"/>
      <c r="J820" s="376"/>
      <c r="K820" s="377"/>
      <c r="L820" s="377"/>
      <c r="M820" s="378"/>
      <c r="N820" s="378"/>
      <c r="O820" s="378"/>
      <c r="P820" s="378"/>
    </row>
    <row r="821" spans="3:16" x14ac:dyDescent="0.3">
      <c r="C821" s="373"/>
      <c r="D821" s="374"/>
      <c r="E821" s="375"/>
      <c r="F821" s="376"/>
      <c r="G821" s="377"/>
      <c r="H821" s="377"/>
      <c r="I821" s="377"/>
      <c r="J821" s="376"/>
      <c r="K821" s="377"/>
      <c r="L821" s="377"/>
      <c r="M821" s="378"/>
      <c r="N821" s="378"/>
      <c r="O821" s="378"/>
      <c r="P821" s="378"/>
    </row>
    <row r="822" spans="3:16" x14ac:dyDescent="0.3">
      <c r="C822" s="373"/>
      <c r="D822" s="374"/>
      <c r="E822" s="375"/>
      <c r="F822" s="376"/>
      <c r="G822" s="377"/>
      <c r="H822" s="377"/>
      <c r="I822" s="377"/>
      <c r="J822" s="376"/>
      <c r="K822" s="378"/>
      <c r="L822" s="378"/>
      <c r="M822" s="378"/>
      <c r="N822" s="378"/>
      <c r="O822" s="378"/>
      <c r="P822" s="378"/>
    </row>
    <row r="823" spans="3:16" x14ac:dyDescent="0.3">
      <c r="C823" s="373"/>
      <c r="D823" s="374"/>
      <c r="E823" s="375"/>
      <c r="F823" s="376"/>
      <c r="G823" s="377"/>
      <c r="H823" s="377"/>
      <c r="I823" s="377"/>
      <c r="J823" s="376"/>
      <c r="K823" s="378"/>
      <c r="L823" s="378"/>
      <c r="M823" s="378"/>
      <c r="N823" s="378"/>
      <c r="O823" s="378"/>
      <c r="P823" s="378"/>
    </row>
    <row r="824" spans="3:16" x14ac:dyDescent="0.3">
      <c r="C824" s="373"/>
      <c r="D824" s="374"/>
      <c r="E824" s="375"/>
      <c r="F824" s="376"/>
      <c r="G824" s="377"/>
      <c r="H824" s="377"/>
      <c r="I824" s="377"/>
      <c r="J824" s="376"/>
      <c r="K824" s="378"/>
      <c r="L824" s="378"/>
      <c r="M824" s="378"/>
      <c r="N824" s="378"/>
      <c r="O824" s="378"/>
      <c r="P824" s="378"/>
    </row>
    <row r="825" spans="3:16" x14ac:dyDescent="0.3">
      <c r="C825" s="373"/>
      <c r="D825" s="374"/>
      <c r="E825" s="375"/>
      <c r="F825" s="376"/>
      <c r="G825" s="377"/>
      <c r="H825" s="377"/>
      <c r="I825" s="377"/>
      <c r="J825" s="376"/>
      <c r="K825" s="378"/>
      <c r="L825" s="378"/>
      <c r="M825" s="378"/>
      <c r="N825" s="378"/>
      <c r="O825" s="378"/>
      <c r="P825" s="378"/>
    </row>
    <row r="826" spans="3:16" x14ac:dyDescent="0.3">
      <c r="C826" s="373"/>
      <c r="D826" s="374"/>
      <c r="E826" s="375"/>
      <c r="F826" s="376"/>
      <c r="G826" s="377"/>
      <c r="H826" s="377"/>
      <c r="I826" s="377"/>
      <c r="J826" s="376"/>
      <c r="K826" s="378"/>
      <c r="L826" s="378"/>
      <c r="M826" s="378"/>
      <c r="N826" s="378"/>
      <c r="O826" s="378"/>
      <c r="P826" s="378"/>
    </row>
    <row r="827" spans="3:16" x14ac:dyDescent="0.3">
      <c r="C827" s="373"/>
      <c r="D827" s="374"/>
      <c r="E827" s="375"/>
      <c r="F827" s="376"/>
      <c r="G827" s="377"/>
      <c r="H827" s="377"/>
      <c r="I827" s="377"/>
      <c r="J827" s="376"/>
      <c r="K827" s="378"/>
      <c r="L827" s="378"/>
      <c r="M827" s="378"/>
      <c r="N827" s="378"/>
      <c r="O827" s="378"/>
      <c r="P827" s="378"/>
    </row>
    <row r="828" spans="3:16" x14ac:dyDescent="0.3">
      <c r="C828" s="373"/>
      <c r="D828" s="374"/>
      <c r="E828" s="375"/>
      <c r="F828" s="376"/>
      <c r="G828" s="377"/>
      <c r="H828" s="377"/>
      <c r="I828" s="377"/>
      <c r="J828" s="376"/>
      <c r="K828" s="378"/>
      <c r="L828" s="378"/>
      <c r="M828" s="378"/>
      <c r="N828" s="378"/>
      <c r="O828" s="378"/>
      <c r="P828" s="378"/>
    </row>
    <row r="829" spans="3:16" x14ac:dyDescent="0.3">
      <c r="C829" s="373"/>
      <c r="D829" s="374"/>
      <c r="E829" s="375"/>
      <c r="F829" s="376"/>
      <c r="G829" s="377"/>
      <c r="H829" s="377"/>
      <c r="I829" s="377"/>
      <c r="J829" s="376"/>
      <c r="K829" s="378"/>
      <c r="L829" s="378"/>
      <c r="M829" s="378"/>
      <c r="N829" s="378"/>
      <c r="O829" s="378"/>
      <c r="P829" s="378"/>
    </row>
    <row r="830" spans="3:16" x14ac:dyDescent="0.3">
      <c r="C830" s="373"/>
      <c r="D830" s="374"/>
      <c r="E830" s="375"/>
      <c r="F830" s="376"/>
      <c r="G830" s="377"/>
      <c r="H830" s="377"/>
      <c r="I830" s="377"/>
      <c r="J830" s="376"/>
      <c r="K830" s="378"/>
      <c r="L830" s="378"/>
      <c r="M830" s="378"/>
      <c r="N830" s="378"/>
      <c r="O830" s="378"/>
      <c r="P830" s="378"/>
    </row>
    <row r="831" spans="3:16" x14ac:dyDescent="0.3">
      <c r="C831" s="373"/>
      <c r="D831" s="374"/>
      <c r="E831" s="375"/>
      <c r="F831" s="376"/>
      <c r="G831" s="377"/>
      <c r="H831" s="377"/>
      <c r="I831" s="377"/>
      <c r="J831" s="376"/>
      <c r="K831" s="378"/>
      <c r="L831" s="378"/>
      <c r="M831" s="378"/>
      <c r="N831" s="378"/>
      <c r="O831" s="378"/>
      <c r="P831" s="378"/>
    </row>
    <row r="832" spans="3:16" x14ac:dyDescent="0.3">
      <c r="C832" s="373"/>
      <c r="D832" s="374"/>
      <c r="E832" s="375"/>
      <c r="F832" s="376"/>
      <c r="G832" s="377"/>
      <c r="H832" s="377"/>
      <c r="I832" s="377"/>
      <c r="J832" s="376"/>
      <c r="K832" s="378"/>
      <c r="L832" s="378"/>
      <c r="M832" s="378"/>
      <c r="N832" s="378"/>
      <c r="O832" s="378"/>
      <c r="P832" s="378"/>
    </row>
    <row r="833" spans="3:16" x14ac:dyDescent="0.3">
      <c r="C833" s="373"/>
      <c r="D833" s="374"/>
      <c r="E833" s="375"/>
      <c r="F833" s="376"/>
      <c r="G833" s="377"/>
      <c r="H833" s="377"/>
      <c r="I833" s="377"/>
      <c r="J833" s="376"/>
      <c r="K833" s="378"/>
      <c r="L833" s="378"/>
      <c r="M833" s="378"/>
      <c r="N833" s="378"/>
      <c r="O833" s="378"/>
      <c r="P833" s="378"/>
    </row>
    <row r="834" spans="3:16" x14ac:dyDescent="0.3">
      <c r="C834" s="373"/>
      <c r="D834" s="374"/>
      <c r="E834" s="375"/>
      <c r="F834" s="376"/>
      <c r="G834" s="377"/>
      <c r="H834" s="377"/>
      <c r="I834" s="377"/>
      <c r="J834" s="376"/>
      <c r="K834" s="378"/>
      <c r="L834" s="378"/>
      <c r="M834" s="378"/>
      <c r="N834" s="378"/>
      <c r="O834" s="378"/>
      <c r="P834" s="378"/>
    </row>
    <row r="835" spans="3:16" x14ac:dyDescent="0.3">
      <c r="C835" s="373"/>
      <c r="D835" s="374"/>
      <c r="E835" s="375"/>
      <c r="F835" s="376"/>
      <c r="G835" s="377"/>
      <c r="H835" s="377"/>
      <c r="I835" s="377"/>
      <c r="J835" s="376"/>
      <c r="K835" s="378"/>
      <c r="L835" s="378"/>
      <c r="M835" s="378"/>
      <c r="N835" s="378"/>
      <c r="O835" s="378"/>
      <c r="P835" s="378"/>
    </row>
    <row r="836" spans="3:16" x14ac:dyDescent="0.3">
      <c r="C836" s="379"/>
      <c r="D836" s="312"/>
      <c r="E836" s="380"/>
      <c r="F836" s="314"/>
      <c r="G836" s="315"/>
      <c r="H836" s="315"/>
      <c r="I836" s="315"/>
      <c r="J836" s="314"/>
      <c r="K836" s="316"/>
      <c r="L836" s="316"/>
      <c r="M836" s="316"/>
      <c r="N836" s="316"/>
      <c r="O836" s="316"/>
      <c r="P836" s="316"/>
    </row>
    <row r="837" spans="3:16" x14ac:dyDescent="0.3">
      <c r="C837" s="373"/>
      <c r="D837" s="374"/>
      <c r="E837" s="375"/>
      <c r="F837" s="376"/>
      <c r="G837" s="377"/>
      <c r="H837" s="377"/>
      <c r="I837" s="377"/>
      <c r="J837" s="376"/>
      <c r="K837" s="378"/>
      <c r="L837" s="378"/>
      <c r="M837" s="378"/>
      <c r="N837" s="378"/>
      <c r="O837" s="378"/>
      <c r="P837" s="378"/>
    </row>
    <row r="838" spans="3:16" x14ac:dyDescent="0.3">
      <c r="C838" s="373"/>
      <c r="D838" s="374"/>
      <c r="E838" s="375"/>
      <c r="F838" s="376"/>
      <c r="G838" s="377"/>
      <c r="H838" s="377"/>
      <c r="I838" s="377"/>
      <c r="J838" s="376"/>
      <c r="K838" s="378"/>
      <c r="L838" s="378"/>
      <c r="M838" s="378"/>
      <c r="N838" s="378"/>
      <c r="O838" s="378"/>
      <c r="P838" s="378"/>
    </row>
    <row r="839" spans="3:16" x14ac:dyDescent="0.3">
      <c r="C839" s="373"/>
      <c r="D839" s="374"/>
      <c r="E839" s="375"/>
      <c r="F839" s="376"/>
      <c r="G839" s="377"/>
      <c r="H839" s="377"/>
      <c r="I839" s="377"/>
      <c r="J839" s="376"/>
      <c r="K839" s="378"/>
      <c r="L839" s="378"/>
      <c r="M839" s="378"/>
      <c r="N839" s="378"/>
      <c r="O839" s="378"/>
      <c r="P839" s="378"/>
    </row>
    <row r="840" spans="3:16" x14ac:dyDescent="0.3">
      <c r="C840" s="373"/>
      <c r="D840" s="374"/>
      <c r="E840" s="375"/>
      <c r="F840" s="376"/>
      <c r="G840" s="377"/>
      <c r="H840" s="377"/>
      <c r="I840" s="377"/>
      <c r="J840" s="376"/>
      <c r="K840" s="378"/>
      <c r="L840" s="378"/>
      <c r="M840" s="378"/>
      <c r="N840" s="378"/>
      <c r="O840" s="378"/>
      <c r="P840" s="378"/>
    </row>
    <row r="841" spans="3:16" x14ac:dyDescent="0.3">
      <c r="C841" s="373"/>
      <c r="D841" s="374"/>
      <c r="E841" s="375"/>
      <c r="F841" s="376"/>
      <c r="G841" s="377"/>
      <c r="H841" s="377"/>
      <c r="I841" s="377"/>
      <c r="J841" s="376"/>
      <c r="K841" s="378"/>
      <c r="L841" s="378"/>
      <c r="M841" s="378"/>
      <c r="N841" s="378"/>
      <c r="O841" s="378"/>
      <c r="P841" s="378"/>
    </row>
    <row r="842" spans="3:16" x14ac:dyDescent="0.3">
      <c r="C842" s="373"/>
      <c r="D842" s="374"/>
      <c r="E842" s="375"/>
      <c r="F842" s="376"/>
      <c r="G842" s="377"/>
      <c r="H842" s="377"/>
      <c r="I842" s="377"/>
      <c r="J842" s="376"/>
      <c r="K842" s="378"/>
      <c r="L842" s="378"/>
      <c r="M842" s="378"/>
      <c r="N842" s="378"/>
      <c r="O842" s="378"/>
      <c r="P842" s="378"/>
    </row>
    <row r="843" spans="3:16" x14ac:dyDescent="0.3">
      <c r="C843" s="373"/>
      <c r="D843" s="374"/>
      <c r="E843" s="375"/>
      <c r="F843" s="376"/>
      <c r="G843" s="377"/>
      <c r="H843" s="377"/>
      <c r="I843" s="377"/>
      <c r="J843" s="376"/>
      <c r="K843" s="378"/>
      <c r="L843" s="378"/>
      <c r="M843" s="378"/>
      <c r="N843" s="378"/>
      <c r="O843" s="378"/>
      <c r="P843" s="378"/>
    </row>
    <row r="844" spans="3:16" x14ac:dyDescent="0.3">
      <c r="C844" s="373"/>
      <c r="D844" s="374"/>
      <c r="E844" s="375"/>
      <c r="F844" s="376"/>
      <c r="G844" s="377"/>
      <c r="H844" s="377"/>
      <c r="I844" s="377"/>
      <c r="J844" s="376"/>
      <c r="K844" s="378"/>
      <c r="L844" s="378"/>
      <c r="M844" s="378"/>
      <c r="N844" s="378"/>
      <c r="O844" s="378"/>
      <c r="P844" s="378"/>
    </row>
    <row r="845" spans="3:16" x14ac:dyDescent="0.3">
      <c r="C845" s="373"/>
      <c r="D845" s="374"/>
      <c r="E845" s="375"/>
      <c r="F845" s="376"/>
      <c r="G845" s="377"/>
      <c r="H845" s="377"/>
      <c r="I845" s="377"/>
      <c r="J845" s="376"/>
      <c r="K845" s="378"/>
      <c r="L845" s="378"/>
      <c r="M845" s="378"/>
      <c r="N845" s="378"/>
      <c r="O845" s="378"/>
      <c r="P845" s="378"/>
    </row>
    <row r="846" spans="3:16" x14ac:dyDescent="0.3">
      <c r="C846" s="373"/>
      <c r="D846" s="374"/>
      <c r="E846" s="375"/>
      <c r="F846" s="376"/>
      <c r="G846" s="377"/>
      <c r="H846" s="377"/>
      <c r="I846" s="377"/>
      <c r="J846" s="376"/>
      <c r="K846" s="378"/>
      <c r="L846" s="378"/>
      <c r="M846" s="378"/>
      <c r="N846" s="378"/>
      <c r="O846" s="378"/>
      <c r="P846" s="378"/>
    </row>
    <row r="847" spans="3:16" x14ac:dyDescent="0.3">
      <c r="C847" s="373"/>
      <c r="D847" s="374"/>
      <c r="E847" s="375"/>
      <c r="F847" s="376"/>
      <c r="G847" s="377"/>
      <c r="H847" s="377"/>
      <c r="I847" s="377"/>
      <c r="J847" s="376"/>
      <c r="K847" s="378"/>
      <c r="L847" s="378"/>
      <c r="M847" s="378"/>
      <c r="N847" s="378"/>
      <c r="O847" s="378"/>
      <c r="P847" s="378"/>
    </row>
    <row r="848" spans="3:16" x14ac:dyDescent="0.3">
      <c r="C848" s="373"/>
      <c r="D848" s="374"/>
      <c r="E848" s="375"/>
      <c r="F848" s="376"/>
      <c r="G848" s="377"/>
      <c r="H848" s="377"/>
      <c r="I848" s="377"/>
      <c r="J848" s="376"/>
      <c r="K848" s="378"/>
      <c r="L848" s="378"/>
      <c r="M848" s="378"/>
      <c r="N848" s="378"/>
      <c r="O848" s="378"/>
      <c r="P848" s="378"/>
    </row>
    <row r="849" spans="3:16" x14ac:dyDescent="0.3">
      <c r="C849" s="373"/>
      <c r="D849" s="374"/>
      <c r="E849" s="375"/>
      <c r="F849" s="376"/>
      <c r="G849" s="377"/>
      <c r="H849" s="377"/>
      <c r="I849" s="377"/>
      <c r="J849" s="376"/>
      <c r="K849" s="378"/>
      <c r="L849" s="378"/>
      <c r="M849" s="378"/>
      <c r="N849" s="378"/>
      <c r="O849" s="378"/>
      <c r="P849" s="378"/>
    </row>
    <row r="850" spans="3:16" x14ac:dyDescent="0.3">
      <c r="C850" s="373"/>
      <c r="D850" s="374"/>
      <c r="E850" s="375"/>
      <c r="F850" s="376"/>
      <c r="G850" s="377"/>
      <c r="H850" s="377"/>
      <c r="I850" s="377"/>
      <c r="J850" s="376"/>
      <c r="K850" s="378"/>
      <c r="L850" s="378"/>
      <c r="M850" s="378"/>
      <c r="N850" s="378"/>
      <c r="O850" s="378"/>
      <c r="P850" s="378"/>
    </row>
    <row r="851" spans="3:16" x14ac:dyDescent="0.3">
      <c r="C851" s="373"/>
      <c r="D851" s="374"/>
      <c r="E851" s="375"/>
      <c r="F851" s="376"/>
      <c r="G851" s="377"/>
      <c r="H851" s="377"/>
      <c r="I851" s="377"/>
      <c r="J851" s="376"/>
      <c r="K851" s="378"/>
      <c r="L851" s="378"/>
      <c r="M851" s="378"/>
      <c r="N851" s="378"/>
      <c r="O851" s="378"/>
      <c r="P851" s="378"/>
    </row>
    <row r="852" spans="3:16" x14ac:dyDescent="0.3">
      <c r="C852" s="373"/>
      <c r="D852" s="374"/>
      <c r="E852" s="375"/>
      <c r="F852" s="376"/>
      <c r="G852" s="377"/>
      <c r="H852" s="377"/>
      <c r="I852" s="377"/>
      <c r="J852" s="376"/>
      <c r="K852" s="378"/>
      <c r="L852" s="378"/>
      <c r="M852" s="378"/>
      <c r="N852" s="378"/>
      <c r="O852" s="378"/>
      <c r="P852" s="378"/>
    </row>
    <row r="853" spans="3:16" x14ac:dyDescent="0.3">
      <c r="C853" s="373"/>
      <c r="D853" s="374"/>
      <c r="E853" s="375"/>
      <c r="F853" s="376"/>
      <c r="G853" s="377"/>
      <c r="H853" s="377"/>
      <c r="I853" s="377"/>
      <c r="J853" s="376"/>
      <c r="K853" s="378"/>
      <c r="L853" s="378"/>
      <c r="M853" s="378"/>
      <c r="N853" s="378"/>
      <c r="O853" s="378"/>
      <c r="P853" s="378"/>
    </row>
    <row r="854" spans="3:16" x14ac:dyDescent="0.3">
      <c r="C854" s="373"/>
      <c r="D854" s="374"/>
      <c r="E854" s="375"/>
      <c r="F854" s="376"/>
      <c r="G854" s="377"/>
      <c r="H854" s="377"/>
      <c r="I854" s="377"/>
      <c r="J854" s="376"/>
      <c r="K854" s="378"/>
      <c r="L854" s="378"/>
      <c r="M854" s="378"/>
      <c r="N854" s="378"/>
      <c r="O854" s="378"/>
      <c r="P854" s="378"/>
    </row>
    <row r="855" spans="3:16" x14ac:dyDescent="0.3">
      <c r="C855" s="373"/>
      <c r="D855" s="374"/>
      <c r="E855" s="375"/>
      <c r="F855" s="376"/>
      <c r="G855" s="377"/>
      <c r="H855" s="377"/>
      <c r="I855" s="377"/>
      <c r="J855" s="376"/>
      <c r="K855" s="378"/>
      <c r="L855" s="378"/>
      <c r="M855" s="378"/>
      <c r="N855" s="378"/>
      <c r="O855" s="378"/>
      <c r="P855" s="378"/>
    </row>
    <row r="856" spans="3:16" x14ac:dyDescent="0.3">
      <c r="C856" s="373"/>
      <c r="D856" s="374"/>
      <c r="E856" s="375"/>
      <c r="F856" s="376"/>
      <c r="G856" s="377"/>
      <c r="H856" s="377"/>
      <c r="I856" s="377"/>
      <c r="J856" s="376"/>
      <c r="K856" s="378"/>
      <c r="L856" s="378"/>
      <c r="M856" s="378"/>
      <c r="N856" s="378"/>
      <c r="O856" s="378"/>
      <c r="P856" s="378"/>
    </row>
    <row r="857" spans="3:16" x14ac:dyDescent="0.3">
      <c r="C857" s="373"/>
      <c r="D857" s="374"/>
      <c r="E857" s="375"/>
      <c r="F857" s="376"/>
      <c r="G857" s="377"/>
      <c r="H857" s="377"/>
      <c r="I857" s="377"/>
      <c r="J857" s="376"/>
      <c r="K857" s="378"/>
      <c r="L857" s="378"/>
      <c r="M857" s="378"/>
      <c r="N857" s="378"/>
      <c r="O857" s="378"/>
      <c r="P857" s="378"/>
    </row>
    <row r="858" spans="3:16" x14ac:dyDescent="0.3">
      <c r="C858" s="373"/>
      <c r="D858" s="374"/>
      <c r="E858" s="375"/>
      <c r="F858" s="376"/>
      <c r="G858" s="377"/>
      <c r="H858" s="377"/>
      <c r="I858" s="377"/>
      <c r="J858" s="376"/>
      <c r="K858" s="378"/>
      <c r="L858" s="378"/>
      <c r="M858" s="378"/>
      <c r="N858" s="378"/>
      <c r="O858" s="378"/>
      <c r="P858" s="378"/>
    </row>
    <row r="859" spans="3:16" x14ac:dyDescent="0.3">
      <c r="C859" s="373"/>
      <c r="D859" s="374"/>
      <c r="E859" s="375"/>
      <c r="F859" s="376"/>
      <c r="G859" s="377"/>
      <c r="H859" s="377"/>
      <c r="I859" s="377"/>
      <c r="J859" s="376"/>
      <c r="K859" s="378"/>
      <c r="L859" s="378"/>
      <c r="M859" s="378"/>
      <c r="N859" s="378"/>
      <c r="O859" s="378"/>
      <c r="P859" s="378"/>
    </row>
    <row r="860" spans="3:16" x14ac:dyDescent="0.3">
      <c r="C860" s="373"/>
      <c r="D860" s="374"/>
      <c r="E860" s="375"/>
      <c r="F860" s="376"/>
      <c r="G860" s="377"/>
      <c r="H860" s="377"/>
      <c r="I860" s="377"/>
      <c r="J860" s="376"/>
      <c r="K860" s="378"/>
      <c r="L860" s="378"/>
      <c r="M860" s="378"/>
      <c r="N860" s="378"/>
      <c r="O860" s="378"/>
      <c r="P860" s="378"/>
    </row>
    <row r="861" spans="3:16" x14ac:dyDescent="0.3">
      <c r="C861" s="373"/>
      <c r="D861" s="374"/>
      <c r="E861" s="375"/>
      <c r="F861" s="376"/>
      <c r="G861" s="377"/>
      <c r="H861" s="377"/>
      <c r="I861" s="377"/>
      <c r="J861" s="376"/>
      <c r="K861" s="378"/>
      <c r="L861" s="378"/>
      <c r="M861" s="378"/>
      <c r="N861" s="378"/>
      <c r="O861" s="378"/>
      <c r="P861" s="378"/>
    </row>
    <row r="862" spans="3:16" x14ac:dyDescent="0.3">
      <c r="C862" s="373"/>
      <c r="D862" s="374"/>
      <c r="E862" s="375"/>
      <c r="F862" s="376"/>
      <c r="G862" s="377"/>
      <c r="H862" s="377"/>
      <c r="I862" s="377"/>
      <c r="J862" s="376"/>
      <c r="K862" s="378"/>
      <c r="L862" s="378"/>
      <c r="M862" s="378"/>
      <c r="N862" s="378"/>
      <c r="O862" s="378"/>
      <c r="P862" s="378"/>
    </row>
    <row r="863" spans="3:16" x14ac:dyDescent="0.3">
      <c r="C863" s="373"/>
      <c r="D863" s="374"/>
      <c r="E863" s="375"/>
      <c r="F863" s="376"/>
      <c r="G863" s="377"/>
      <c r="H863" s="377"/>
      <c r="I863" s="377"/>
      <c r="J863" s="376"/>
      <c r="K863" s="378"/>
      <c r="L863" s="378"/>
      <c r="M863" s="378"/>
      <c r="N863" s="378"/>
      <c r="O863" s="378"/>
      <c r="P863" s="378"/>
    </row>
    <row r="864" spans="3:16" x14ac:dyDescent="0.3">
      <c r="C864" s="373"/>
      <c r="D864" s="374"/>
      <c r="E864" s="375"/>
      <c r="F864" s="376"/>
      <c r="G864" s="377"/>
      <c r="H864" s="377"/>
      <c r="I864" s="377"/>
      <c r="J864" s="376"/>
      <c r="K864" s="378"/>
      <c r="L864" s="378"/>
      <c r="M864" s="378"/>
      <c r="N864" s="378"/>
      <c r="O864" s="378"/>
      <c r="P864" s="378"/>
    </row>
    <row r="865" spans="3:16" x14ac:dyDescent="0.3">
      <c r="C865" s="373"/>
      <c r="D865" s="374"/>
      <c r="E865" s="375"/>
      <c r="F865" s="376"/>
      <c r="G865" s="377"/>
      <c r="H865" s="377"/>
      <c r="I865" s="377"/>
      <c r="J865" s="376"/>
      <c r="K865" s="378"/>
      <c r="L865" s="378"/>
      <c r="M865" s="378"/>
      <c r="N865" s="378"/>
      <c r="O865" s="378"/>
      <c r="P865" s="378"/>
    </row>
    <row r="866" spans="3:16" x14ac:dyDescent="0.3">
      <c r="C866" s="373"/>
      <c r="D866" s="374"/>
      <c r="E866" s="375"/>
      <c r="F866" s="376"/>
      <c r="G866" s="377"/>
      <c r="H866" s="377"/>
      <c r="I866" s="377"/>
      <c r="J866" s="376"/>
      <c r="K866" s="378"/>
      <c r="L866" s="378"/>
      <c r="M866" s="378"/>
      <c r="N866" s="378"/>
      <c r="O866" s="378"/>
      <c r="P866" s="378"/>
    </row>
    <row r="867" spans="3:16" x14ac:dyDescent="0.3">
      <c r="C867" s="373"/>
      <c r="D867" s="374"/>
      <c r="E867" s="375"/>
      <c r="F867" s="376"/>
      <c r="G867" s="377"/>
      <c r="H867" s="377"/>
      <c r="I867" s="377"/>
      <c r="J867" s="376"/>
      <c r="K867" s="378"/>
      <c r="L867" s="378"/>
      <c r="M867" s="378"/>
      <c r="N867" s="378"/>
      <c r="O867" s="378"/>
      <c r="P867" s="378"/>
    </row>
    <row r="868" spans="3:16" x14ac:dyDescent="0.3">
      <c r="C868" s="373"/>
      <c r="D868" s="374"/>
      <c r="E868" s="375"/>
      <c r="F868" s="376"/>
      <c r="G868" s="377"/>
      <c r="H868" s="377"/>
      <c r="I868" s="377"/>
      <c r="J868" s="376"/>
      <c r="K868" s="378"/>
      <c r="L868" s="378"/>
      <c r="M868" s="378"/>
      <c r="N868" s="378"/>
      <c r="O868" s="378"/>
      <c r="P868" s="378"/>
    </row>
    <row r="869" spans="3:16" x14ac:dyDescent="0.3">
      <c r="C869" s="373"/>
      <c r="D869" s="374"/>
      <c r="E869" s="375"/>
      <c r="F869" s="376"/>
      <c r="G869" s="377"/>
      <c r="H869" s="377"/>
      <c r="I869" s="377"/>
      <c r="J869" s="376"/>
      <c r="K869" s="378"/>
      <c r="L869" s="378"/>
      <c r="M869" s="378"/>
      <c r="N869" s="378"/>
      <c r="O869" s="378"/>
      <c r="P869" s="378"/>
    </row>
    <row r="870" spans="3:16" x14ac:dyDescent="0.3">
      <c r="C870" s="373"/>
      <c r="D870" s="374"/>
      <c r="E870" s="375"/>
      <c r="F870" s="376"/>
      <c r="G870" s="377"/>
      <c r="H870" s="377"/>
      <c r="I870" s="377"/>
      <c r="J870" s="376"/>
      <c r="K870" s="378"/>
      <c r="L870" s="378"/>
      <c r="M870" s="378"/>
      <c r="N870" s="378"/>
      <c r="O870" s="378"/>
      <c r="P870" s="378"/>
    </row>
    <row r="871" spans="3:16" x14ac:dyDescent="0.3">
      <c r="C871" s="373"/>
      <c r="D871" s="374"/>
      <c r="E871" s="375"/>
      <c r="F871" s="376"/>
      <c r="G871" s="377"/>
      <c r="H871" s="377"/>
      <c r="I871" s="377"/>
      <c r="J871" s="376"/>
      <c r="K871" s="378"/>
      <c r="L871" s="378"/>
      <c r="M871" s="378"/>
      <c r="N871" s="378"/>
      <c r="O871" s="378"/>
      <c r="P871" s="378"/>
    </row>
    <row r="872" spans="3:16" x14ac:dyDescent="0.3">
      <c r="C872" s="373"/>
      <c r="D872" s="374"/>
      <c r="E872" s="375"/>
      <c r="F872" s="376"/>
      <c r="G872" s="377"/>
      <c r="H872" s="377"/>
      <c r="I872" s="377"/>
      <c r="J872" s="376"/>
      <c r="K872" s="378"/>
      <c r="L872" s="378"/>
      <c r="M872" s="378"/>
      <c r="N872" s="378"/>
      <c r="O872" s="378"/>
      <c r="P872" s="378"/>
    </row>
    <row r="873" spans="3:16" x14ac:dyDescent="0.3">
      <c r="C873" s="373"/>
      <c r="D873" s="374"/>
      <c r="E873" s="375"/>
      <c r="F873" s="376"/>
      <c r="G873" s="377"/>
      <c r="H873" s="377"/>
      <c r="I873" s="377"/>
      <c r="J873" s="376"/>
      <c r="K873" s="378"/>
      <c r="L873" s="378"/>
      <c r="M873" s="378"/>
      <c r="N873" s="378"/>
      <c r="O873" s="378"/>
      <c r="P873" s="378"/>
    </row>
    <row r="874" spans="3:16" x14ac:dyDescent="0.3">
      <c r="C874" s="373"/>
      <c r="D874" s="374"/>
      <c r="E874" s="375"/>
      <c r="F874" s="376"/>
      <c r="G874" s="377"/>
      <c r="H874" s="377"/>
      <c r="I874" s="377"/>
      <c r="J874" s="376"/>
      <c r="K874" s="378"/>
      <c r="L874" s="378"/>
      <c r="M874" s="378"/>
      <c r="N874" s="378"/>
      <c r="O874" s="378"/>
      <c r="P874" s="378"/>
    </row>
    <row r="875" spans="3:16" x14ac:dyDescent="0.3">
      <c r="C875" s="373"/>
      <c r="D875" s="374"/>
      <c r="E875" s="375"/>
      <c r="F875" s="376"/>
      <c r="G875" s="377"/>
      <c r="H875" s="377"/>
      <c r="I875" s="377"/>
      <c r="J875" s="376"/>
      <c r="K875" s="378"/>
      <c r="L875" s="378"/>
      <c r="M875" s="378"/>
      <c r="N875" s="378"/>
      <c r="O875" s="378"/>
      <c r="P875" s="378"/>
    </row>
    <row r="876" spans="3:16" x14ac:dyDescent="0.3">
      <c r="C876" s="373"/>
      <c r="D876" s="374"/>
      <c r="E876" s="375"/>
      <c r="F876" s="376"/>
      <c r="G876" s="377"/>
      <c r="H876" s="377"/>
      <c r="I876" s="377"/>
      <c r="J876" s="376"/>
      <c r="K876" s="378"/>
      <c r="L876" s="378"/>
      <c r="M876" s="378"/>
      <c r="N876" s="378"/>
      <c r="O876" s="378"/>
      <c r="P876" s="378"/>
    </row>
    <row r="877" spans="3:16" x14ac:dyDescent="0.3">
      <c r="C877" s="373"/>
      <c r="D877" s="374"/>
      <c r="E877" s="375"/>
      <c r="F877" s="376"/>
      <c r="G877" s="377"/>
      <c r="H877" s="377"/>
      <c r="I877" s="377"/>
      <c r="J877" s="376"/>
      <c r="K877" s="378"/>
      <c r="L877" s="378"/>
      <c r="M877" s="378"/>
      <c r="N877" s="378"/>
      <c r="O877" s="378"/>
      <c r="P877" s="378"/>
    </row>
    <row r="878" spans="3:16" x14ac:dyDescent="0.3">
      <c r="C878" s="373"/>
      <c r="D878" s="374"/>
      <c r="E878" s="375"/>
      <c r="F878" s="376"/>
      <c r="G878" s="377"/>
      <c r="H878" s="377"/>
      <c r="I878" s="377"/>
      <c r="J878" s="376"/>
      <c r="K878" s="378"/>
      <c r="L878" s="378"/>
      <c r="M878" s="378"/>
      <c r="N878" s="378"/>
      <c r="O878" s="378"/>
      <c r="P878" s="378"/>
    </row>
    <row r="879" spans="3:16" x14ac:dyDescent="0.3">
      <c r="C879" s="373"/>
      <c r="D879" s="374"/>
      <c r="E879" s="375"/>
      <c r="F879" s="376"/>
      <c r="G879" s="377"/>
      <c r="H879" s="377"/>
      <c r="I879" s="377"/>
      <c r="J879" s="376"/>
      <c r="K879" s="378"/>
      <c r="L879" s="378"/>
      <c r="M879" s="378"/>
      <c r="N879" s="378"/>
      <c r="O879" s="378"/>
      <c r="P879" s="378"/>
    </row>
    <row r="880" spans="3:16" x14ac:dyDescent="0.3">
      <c r="C880" s="373"/>
      <c r="D880" s="374"/>
      <c r="E880" s="375"/>
      <c r="F880" s="376"/>
      <c r="G880" s="377"/>
      <c r="H880" s="377"/>
      <c r="I880" s="377"/>
      <c r="J880" s="376"/>
      <c r="K880" s="378"/>
      <c r="L880" s="378"/>
      <c r="M880" s="378"/>
      <c r="N880" s="378"/>
      <c r="O880" s="378"/>
      <c r="P880" s="378"/>
    </row>
    <row r="881" spans="3:16" x14ac:dyDescent="0.3">
      <c r="C881" s="373"/>
      <c r="D881" s="374"/>
      <c r="E881" s="375"/>
      <c r="F881" s="376"/>
      <c r="G881" s="377"/>
      <c r="H881" s="377"/>
      <c r="I881" s="377"/>
      <c r="J881" s="376"/>
      <c r="K881" s="378"/>
      <c r="L881" s="378"/>
      <c r="M881" s="378"/>
      <c r="N881" s="378"/>
      <c r="O881" s="378"/>
      <c r="P881" s="378"/>
    </row>
    <row r="882" spans="3:16" x14ac:dyDescent="0.3">
      <c r="C882" s="373"/>
      <c r="D882" s="374"/>
      <c r="E882" s="375"/>
      <c r="F882" s="376"/>
      <c r="G882" s="377"/>
      <c r="H882" s="377"/>
      <c r="I882" s="377"/>
      <c r="J882" s="376"/>
      <c r="K882" s="378"/>
      <c r="L882" s="378"/>
      <c r="M882" s="378"/>
      <c r="N882" s="378"/>
      <c r="O882" s="378"/>
      <c r="P882" s="378"/>
    </row>
    <row r="883" spans="3:16" x14ac:dyDescent="0.3">
      <c r="C883" s="373"/>
      <c r="D883" s="374"/>
      <c r="E883" s="375"/>
      <c r="F883" s="376"/>
      <c r="G883" s="377"/>
      <c r="H883" s="377"/>
      <c r="I883" s="377"/>
      <c r="J883" s="376"/>
      <c r="K883" s="378"/>
      <c r="L883" s="378"/>
      <c r="M883" s="378"/>
      <c r="N883" s="378"/>
      <c r="O883" s="378"/>
      <c r="P883" s="378"/>
    </row>
    <row r="884" spans="3:16" x14ac:dyDescent="0.3">
      <c r="C884" s="379"/>
      <c r="D884" s="312"/>
      <c r="E884" s="380"/>
      <c r="F884" s="314"/>
      <c r="G884" s="315"/>
      <c r="H884" s="315"/>
      <c r="I884" s="315"/>
      <c r="J884" s="314"/>
      <c r="K884" s="316"/>
      <c r="L884" s="316"/>
      <c r="M884" s="316"/>
      <c r="N884" s="316"/>
      <c r="O884" s="316"/>
      <c r="P884" s="316"/>
    </row>
    <row r="885" spans="3:16" x14ac:dyDescent="0.3">
      <c r="C885" s="373"/>
      <c r="D885" s="374"/>
      <c r="E885" s="375"/>
      <c r="F885" s="376"/>
      <c r="G885" s="377"/>
      <c r="H885" s="377"/>
      <c r="I885" s="377"/>
      <c r="J885" s="376"/>
      <c r="K885" s="378"/>
      <c r="L885" s="378"/>
      <c r="M885" s="378"/>
      <c r="N885" s="378"/>
      <c r="O885" s="378"/>
      <c r="P885" s="378"/>
    </row>
    <row r="886" spans="3:16" x14ac:dyDescent="0.3">
      <c r="C886" s="373"/>
      <c r="D886" s="374"/>
      <c r="E886" s="375"/>
      <c r="F886" s="376"/>
      <c r="G886" s="377"/>
      <c r="H886" s="377"/>
      <c r="I886" s="377"/>
      <c r="J886" s="376"/>
      <c r="K886" s="378"/>
      <c r="L886" s="378"/>
      <c r="M886" s="378"/>
      <c r="N886" s="378"/>
      <c r="O886" s="378"/>
      <c r="P886" s="378"/>
    </row>
    <row r="887" spans="3:16" x14ac:dyDescent="0.3">
      <c r="C887" s="373"/>
      <c r="D887" s="374"/>
      <c r="E887" s="375"/>
      <c r="F887" s="376"/>
      <c r="G887" s="377"/>
      <c r="H887" s="377"/>
      <c r="I887" s="377"/>
      <c r="J887" s="376"/>
      <c r="K887" s="378"/>
      <c r="L887" s="378"/>
      <c r="M887" s="378"/>
      <c r="N887" s="378"/>
      <c r="O887" s="378"/>
      <c r="P887" s="378"/>
    </row>
    <row r="888" spans="3:16" x14ac:dyDescent="0.3">
      <c r="C888" s="373"/>
      <c r="D888" s="374"/>
      <c r="E888" s="375"/>
      <c r="F888" s="376"/>
      <c r="G888" s="377"/>
      <c r="H888" s="377"/>
      <c r="I888" s="377"/>
      <c r="J888" s="376"/>
      <c r="K888" s="378"/>
      <c r="L888" s="378"/>
      <c r="M888" s="378"/>
      <c r="N888" s="378"/>
      <c r="O888" s="378"/>
      <c r="P888" s="378"/>
    </row>
    <row r="889" spans="3:16" x14ac:dyDescent="0.3">
      <c r="C889" s="373"/>
      <c r="D889" s="374"/>
      <c r="E889" s="375"/>
      <c r="F889" s="376"/>
      <c r="G889" s="377"/>
      <c r="H889" s="377"/>
      <c r="I889" s="377"/>
      <c r="J889" s="376"/>
      <c r="K889" s="378"/>
      <c r="L889" s="378"/>
      <c r="M889" s="378"/>
      <c r="N889" s="378"/>
      <c r="O889" s="378"/>
      <c r="P889" s="378"/>
    </row>
    <row r="890" spans="3:16" x14ac:dyDescent="0.3">
      <c r="C890" s="373"/>
      <c r="D890" s="374"/>
      <c r="E890" s="375"/>
      <c r="F890" s="376"/>
      <c r="G890" s="377"/>
      <c r="H890" s="377"/>
      <c r="I890" s="377"/>
      <c r="J890" s="376"/>
      <c r="K890" s="378"/>
      <c r="L890" s="378"/>
      <c r="M890" s="378"/>
      <c r="N890" s="378"/>
      <c r="O890" s="378"/>
      <c r="P890" s="378"/>
    </row>
    <row r="891" spans="3:16" x14ac:dyDescent="0.3">
      <c r="C891" s="373"/>
      <c r="D891" s="374"/>
      <c r="E891" s="375"/>
      <c r="F891" s="376"/>
      <c r="G891" s="377"/>
      <c r="H891" s="377"/>
      <c r="I891" s="377"/>
      <c r="J891" s="376"/>
      <c r="K891" s="378"/>
      <c r="L891" s="378"/>
      <c r="M891" s="378"/>
      <c r="N891" s="378"/>
      <c r="O891" s="378"/>
      <c r="P891" s="378"/>
    </row>
    <row r="892" spans="3:16" x14ac:dyDescent="0.3">
      <c r="C892" s="373"/>
      <c r="D892" s="374"/>
      <c r="E892" s="375"/>
      <c r="F892" s="376"/>
      <c r="G892" s="377"/>
      <c r="H892" s="377"/>
      <c r="I892" s="377"/>
      <c r="J892" s="376"/>
      <c r="K892" s="378"/>
      <c r="L892" s="378"/>
      <c r="M892" s="378"/>
      <c r="N892" s="378"/>
      <c r="O892" s="378"/>
      <c r="P892" s="378"/>
    </row>
    <row r="893" spans="3:16" x14ac:dyDescent="0.3">
      <c r="C893" s="373"/>
      <c r="D893" s="374"/>
      <c r="E893" s="375"/>
      <c r="F893" s="376"/>
      <c r="G893" s="377"/>
      <c r="H893" s="377"/>
      <c r="I893" s="377"/>
      <c r="J893" s="376"/>
      <c r="K893" s="378"/>
      <c r="L893" s="378"/>
      <c r="M893" s="378"/>
      <c r="N893" s="378"/>
      <c r="O893" s="378"/>
      <c r="P893" s="378"/>
    </row>
    <row r="894" spans="3:16" x14ac:dyDescent="0.3">
      <c r="C894" s="373"/>
      <c r="D894" s="374"/>
      <c r="E894" s="375"/>
      <c r="F894" s="376"/>
      <c r="G894" s="377"/>
      <c r="H894" s="377"/>
      <c r="I894" s="377"/>
      <c r="J894" s="376"/>
      <c r="K894" s="378"/>
      <c r="L894" s="378"/>
      <c r="M894" s="378"/>
      <c r="N894" s="378"/>
      <c r="O894" s="378"/>
      <c r="P894" s="378"/>
    </row>
    <row r="895" spans="3:16" x14ac:dyDescent="0.3">
      <c r="C895" s="373"/>
      <c r="D895" s="374"/>
      <c r="E895" s="375"/>
      <c r="F895" s="376"/>
      <c r="G895" s="377"/>
      <c r="H895" s="377"/>
      <c r="I895" s="377"/>
      <c r="J895" s="376"/>
      <c r="K895" s="378"/>
      <c r="L895" s="378"/>
      <c r="M895" s="378"/>
      <c r="N895" s="378"/>
      <c r="O895" s="378"/>
      <c r="P895" s="378"/>
    </row>
    <row r="896" spans="3:16" x14ac:dyDescent="0.3">
      <c r="C896" s="373"/>
      <c r="D896" s="374"/>
      <c r="E896" s="375"/>
      <c r="F896" s="376"/>
      <c r="G896" s="377"/>
      <c r="H896" s="377"/>
      <c r="I896" s="377"/>
      <c r="J896" s="376"/>
      <c r="K896" s="378"/>
      <c r="L896" s="378"/>
      <c r="M896" s="378"/>
      <c r="N896" s="378"/>
      <c r="O896" s="378"/>
      <c r="P896" s="378"/>
    </row>
    <row r="897" spans="3:16" x14ac:dyDescent="0.3">
      <c r="C897" s="373"/>
      <c r="D897" s="374"/>
      <c r="E897" s="375"/>
      <c r="F897" s="376"/>
      <c r="G897" s="377"/>
      <c r="H897" s="377"/>
      <c r="I897" s="377"/>
      <c r="J897" s="376"/>
      <c r="K897" s="378"/>
      <c r="L897" s="378"/>
      <c r="M897" s="378"/>
      <c r="N897" s="378"/>
      <c r="O897" s="378"/>
      <c r="P897" s="378"/>
    </row>
    <row r="898" spans="3:16" x14ac:dyDescent="0.3">
      <c r="C898" s="373"/>
      <c r="D898" s="374"/>
      <c r="E898" s="375"/>
      <c r="F898" s="376"/>
      <c r="G898" s="377"/>
      <c r="H898" s="377"/>
      <c r="I898" s="377"/>
      <c r="J898" s="376"/>
      <c r="K898" s="378"/>
      <c r="L898" s="378"/>
      <c r="M898" s="378"/>
      <c r="N898" s="378"/>
      <c r="O898" s="378"/>
      <c r="P898" s="378"/>
    </row>
    <row r="899" spans="3:16" x14ac:dyDescent="0.3">
      <c r="C899" s="373"/>
      <c r="D899" s="374"/>
      <c r="E899" s="375"/>
      <c r="F899" s="376"/>
      <c r="G899" s="377"/>
      <c r="H899" s="377"/>
      <c r="I899" s="377"/>
      <c r="J899" s="376"/>
      <c r="K899" s="378"/>
      <c r="L899" s="378"/>
      <c r="M899" s="378"/>
      <c r="N899" s="378"/>
      <c r="O899" s="378"/>
      <c r="P899" s="378"/>
    </row>
    <row r="900" spans="3:16" x14ac:dyDescent="0.3">
      <c r="C900" s="373"/>
      <c r="D900" s="374"/>
      <c r="E900" s="375"/>
      <c r="F900" s="376"/>
      <c r="G900" s="377"/>
      <c r="H900" s="377"/>
      <c r="I900" s="377"/>
      <c r="J900" s="376"/>
      <c r="K900" s="378"/>
      <c r="L900" s="378"/>
      <c r="M900" s="378"/>
      <c r="N900" s="378"/>
      <c r="O900" s="378"/>
      <c r="P900" s="378"/>
    </row>
    <row r="901" spans="3:16" x14ac:dyDescent="0.3">
      <c r="C901" s="373"/>
      <c r="D901" s="374"/>
      <c r="E901" s="375"/>
      <c r="F901" s="376"/>
      <c r="G901" s="377"/>
      <c r="H901" s="377"/>
      <c r="I901" s="377"/>
      <c r="J901" s="376"/>
      <c r="K901" s="378"/>
      <c r="L901" s="378"/>
      <c r="M901" s="378"/>
      <c r="N901" s="378"/>
      <c r="O901" s="378"/>
      <c r="P901" s="378"/>
    </row>
    <row r="902" spans="3:16" x14ac:dyDescent="0.3">
      <c r="C902" s="373"/>
      <c r="D902" s="374"/>
      <c r="E902" s="375"/>
      <c r="F902" s="376"/>
      <c r="G902" s="377"/>
      <c r="H902" s="377"/>
      <c r="I902" s="377"/>
      <c r="J902" s="376"/>
      <c r="K902" s="378"/>
      <c r="L902" s="378"/>
      <c r="M902" s="378"/>
      <c r="N902" s="378"/>
      <c r="O902" s="378"/>
      <c r="P902" s="378"/>
    </row>
    <row r="903" spans="3:16" x14ac:dyDescent="0.3">
      <c r="C903" s="373"/>
      <c r="D903" s="374"/>
      <c r="E903" s="375"/>
      <c r="F903" s="376"/>
      <c r="G903" s="377"/>
      <c r="H903" s="377"/>
      <c r="I903" s="377"/>
      <c r="J903" s="376"/>
      <c r="K903" s="378"/>
      <c r="L903" s="378"/>
      <c r="M903" s="378"/>
      <c r="N903" s="378"/>
      <c r="O903" s="378"/>
      <c r="P903" s="378"/>
    </row>
    <row r="904" spans="3:16" x14ac:dyDescent="0.3">
      <c r="C904" s="373"/>
      <c r="D904" s="374"/>
      <c r="E904" s="375"/>
      <c r="F904" s="376"/>
      <c r="G904" s="377"/>
      <c r="H904" s="377"/>
      <c r="I904" s="377"/>
      <c r="J904" s="376"/>
      <c r="K904" s="378"/>
      <c r="L904" s="378"/>
      <c r="M904" s="378"/>
      <c r="N904" s="378"/>
      <c r="O904" s="378"/>
      <c r="P904" s="378"/>
    </row>
    <row r="905" spans="3:16" x14ac:dyDescent="0.3">
      <c r="C905" s="373"/>
      <c r="D905" s="374"/>
      <c r="E905" s="375"/>
      <c r="F905" s="376"/>
      <c r="G905" s="377"/>
      <c r="H905" s="377"/>
      <c r="I905" s="377"/>
      <c r="J905" s="376"/>
      <c r="K905" s="378"/>
      <c r="L905" s="378"/>
      <c r="M905" s="378"/>
      <c r="N905" s="378"/>
      <c r="O905" s="378"/>
      <c r="P905" s="378"/>
    </row>
    <row r="906" spans="3:16" x14ac:dyDescent="0.3">
      <c r="C906" s="373"/>
      <c r="D906" s="374"/>
      <c r="E906" s="375"/>
      <c r="F906" s="376"/>
      <c r="G906" s="377"/>
      <c r="H906" s="377"/>
      <c r="I906" s="377"/>
      <c r="J906" s="376"/>
      <c r="K906" s="378"/>
      <c r="L906" s="378"/>
      <c r="M906" s="378"/>
      <c r="N906" s="378"/>
      <c r="O906" s="378"/>
      <c r="P906" s="378"/>
    </row>
    <row r="907" spans="3:16" x14ac:dyDescent="0.3">
      <c r="C907" s="373"/>
      <c r="D907" s="374"/>
      <c r="E907" s="375"/>
      <c r="F907" s="376"/>
      <c r="G907" s="377"/>
      <c r="H907" s="377"/>
      <c r="I907" s="377"/>
      <c r="J907" s="376"/>
      <c r="K907" s="378"/>
      <c r="L907" s="378"/>
      <c r="M907" s="378"/>
      <c r="N907" s="378"/>
      <c r="O907" s="378"/>
      <c r="P907" s="378"/>
    </row>
    <row r="908" spans="3:16" x14ac:dyDescent="0.3">
      <c r="C908" s="373"/>
      <c r="D908" s="374"/>
      <c r="E908" s="375"/>
      <c r="F908" s="376"/>
      <c r="G908" s="377"/>
      <c r="H908" s="377"/>
      <c r="I908" s="377"/>
      <c r="J908" s="376"/>
      <c r="K908" s="378"/>
      <c r="L908" s="378"/>
      <c r="M908" s="378"/>
      <c r="N908" s="378"/>
      <c r="O908" s="378"/>
      <c r="P908" s="378"/>
    </row>
    <row r="909" spans="3:16" x14ac:dyDescent="0.3">
      <c r="C909" s="373"/>
      <c r="D909" s="374"/>
      <c r="E909" s="375"/>
      <c r="F909" s="376"/>
      <c r="G909" s="377"/>
      <c r="H909" s="377"/>
      <c r="I909" s="377"/>
      <c r="J909" s="376"/>
      <c r="K909" s="378"/>
      <c r="L909" s="378"/>
      <c r="M909" s="378"/>
      <c r="N909" s="378"/>
      <c r="O909" s="378"/>
      <c r="P909" s="378"/>
    </row>
    <row r="910" spans="3:16" x14ac:dyDescent="0.3">
      <c r="C910" s="373"/>
      <c r="D910" s="374"/>
      <c r="E910" s="375"/>
      <c r="F910" s="376"/>
      <c r="G910" s="377"/>
      <c r="H910" s="377"/>
      <c r="I910" s="377"/>
      <c r="J910" s="376"/>
      <c r="K910" s="378"/>
      <c r="L910" s="378"/>
      <c r="M910" s="378"/>
      <c r="N910" s="378"/>
      <c r="O910" s="378"/>
      <c r="P910" s="378"/>
    </row>
    <row r="911" spans="3:16" x14ac:dyDescent="0.3">
      <c r="C911" s="373"/>
      <c r="D911" s="374"/>
      <c r="E911" s="375"/>
      <c r="F911" s="376"/>
      <c r="G911" s="377"/>
      <c r="H911" s="377"/>
      <c r="I911" s="377"/>
      <c r="J911" s="376"/>
      <c r="K911" s="378"/>
      <c r="L911" s="378"/>
      <c r="M911" s="378"/>
      <c r="N911" s="378"/>
      <c r="O911" s="378"/>
      <c r="P911" s="378"/>
    </row>
    <row r="912" spans="3:16" x14ac:dyDescent="0.3">
      <c r="C912" s="373"/>
      <c r="D912" s="374"/>
      <c r="E912" s="375"/>
      <c r="F912" s="376"/>
      <c r="G912" s="377"/>
      <c r="H912" s="377"/>
      <c r="I912" s="377"/>
      <c r="J912" s="376"/>
      <c r="K912" s="378"/>
      <c r="L912" s="378"/>
      <c r="M912" s="378"/>
      <c r="N912" s="378"/>
      <c r="O912" s="378"/>
      <c r="P912" s="378"/>
    </row>
    <row r="913" spans="3:16" x14ac:dyDescent="0.3">
      <c r="C913" s="373"/>
      <c r="D913" s="374"/>
      <c r="E913" s="375"/>
      <c r="F913" s="376"/>
      <c r="G913" s="377"/>
      <c r="H913" s="377"/>
      <c r="I913" s="377"/>
      <c r="J913" s="376"/>
      <c r="K913" s="378"/>
      <c r="L913" s="378"/>
      <c r="M913" s="378"/>
      <c r="N913" s="378"/>
      <c r="O913" s="378"/>
      <c r="P913" s="378"/>
    </row>
    <row r="914" spans="3:16" x14ac:dyDescent="0.3">
      <c r="C914" s="373"/>
      <c r="D914" s="374"/>
      <c r="E914" s="375"/>
      <c r="F914" s="376"/>
      <c r="G914" s="377"/>
      <c r="H914" s="377"/>
      <c r="I914" s="377"/>
      <c r="J914" s="376"/>
      <c r="K914" s="378"/>
      <c r="L914" s="378"/>
      <c r="M914" s="378"/>
      <c r="N914" s="378"/>
      <c r="O914" s="378"/>
      <c r="P914" s="378"/>
    </row>
    <row r="915" spans="3:16" x14ac:dyDescent="0.3">
      <c r="C915" s="373"/>
      <c r="D915" s="374"/>
      <c r="E915" s="375"/>
      <c r="F915" s="376"/>
      <c r="G915" s="377"/>
      <c r="H915" s="377"/>
      <c r="I915" s="377"/>
      <c r="J915" s="376"/>
      <c r="K915" s="378"/>
      <c r="L915" s="378"/>
      <c r="M915" s="378"/>
      <c r="N915" s="378"/>
      <c r="O915" s="378"/>
      <c r="P915" s="378"/>
    </row>
    <row r="916" spans="3:16" x14ac:dyDescent="0.3">
      <c r="C916" s="373"/>
      <c r="D916" s="374"/>
      <c r="E916" s="375"/>
      <c r="F916" s="376"/>
      <c r="G916" s="377"/>
      <c r="H916" s="377"/>
      <c r="I916" s="377"/>
      <c r="J916" s="376"/>
      <c r="K916" s="378"/>
      <c r="L916" s="378"/>
      <c r="M916" s="378"/>
      <c r="N916" s="378"/>
      <c r="O916" s="378"/>
      <c r="P916" s="378"/>
    </row>
    <row r="917" spans="3:16" x14ac:dyDescent="0.3">
      <c r="C917" s="373"/>
      <c r="D917" s="374"/>
      <c r="E917" s="375"/>
      <c r="F917" s="376"/>
      <c r="G917" s="377"/>
      <c r="H917" s="377"/>
      <c r="I917" s="377"/>
      <c r="J917" s="376"/>
      <c r="K917" s="378"/>
      <c r="L917" s="378"/>
      <c r="M917" s="378"/>
      <c r="N917" s="378"/>
      <c r="O917" s="378"/>
      <c r="P917" s="378"/>
    </row>
    <row r="918" spans="3:16" x14ac:dyDescent="0.3">
      <c r="C918" s="373"/>
      <c r="D918" s="374"/>
      <c r="E918" s="375"/>
      <c r="F918" s="376"/>
      <c r="G918" s="377"/>
      <c r="H918" s="377"/>
      <c r="I918" s="377"/>
      <c r="J918" s="376"/>
      <c r="K918" s="378"/>
      <c r="L918" s="378"/>
      <c r="M918" s="378"/>
      <c r="N918" s="378"/>
      <c r="O918" s="378"/>
      <c r="P918" s="378"/>
    </row>
    <row r="919" spans="3:16" x14ac:dyDescent="0.3">
      <c r="C919" s="373"/>
      <c r="D919" s="374"/>
      <c r="E919" s="375"/>
      <c r="F919" s="376"/>
      <c r="G919" s="377"/>
      <c r="H919" s="377"/>
      <c r="I919" s="377"/>
      <c r="J919" s="376"/>
      <c r="K919" s="378"/>
      <c r="L919" s="378"/>
      <c r="M919" s="378"/>
      <c r="N919" s="378"/>
      <c r="O919" s="378"/>
      <c r="P919" s="378"/>
    </row>
    <row r="920" spans="3:16" x14ac:dyDescent="0.3">
      <c r="C920" s="373"/>
      <c r="D920" s="374"/>
      <c r="E920" s="375"/>
      <c r="F920" s="376"/>
      <c r="G920" s="377"/>
      <c r="H920" s="377"/>
      <c r="I920" s="377"/>
      <c r="J920" s="376"/>
      <c r="K920" s="378"/>
      <c r="L920" s="378"/>
      <c r="M920" s="378"/>
      <c r="N920" s="378"/>
      <c r="O920" s="378"/>
      <c r="P920" s="378"/>
    </row>
    <row r="921" spans="3:16" x14ac:dyDescent="0.3">
      <c r="C921" s="373"/>
      <c r="D921" s="374"/>
      <c r="E921" s="375"/>
      <c r="F921" s="376"/>
      <c r="G921" s="377"/>
      <c r="H921" s="377"/>
      <c r="I921" s="377"/>
      <c r="J921" s="376"/>
      <c r="K921" s="378"/>
      <c r="L921" s="378"/>
      <c r="M921" s="378"/>
      <c r="N921" s="378"/>
      <c r="O921" s="378"/>
      <c r="P921" s="378"/>
    </row>
    <row r="922" spans="3:16" x14ac:dyDescent="0.3">
      <c r="C922" s="373"/>
      <c r="D922" s="374"/>
      <c r="E922" s="375"/>
      <c r="F922" s="376"/>
      <c r="G922" s="377"/>
      <c r="H922" s="377"/>
      <c r="I922" s="377"/>
      <c r="J922" s="376"/>
      <c r="K922" s="378"/>
      <c r="L922" s="378"/>
      <c r="M922" s="378"/>
      <c r="N922" s="378"/>
      <c r="O922" s="378"/>
      <c r="P922" s="378"/>
    </row>
    <row r="923" spans="3:16" x14ac:dyDescent="0.3">
      <c r="C923" s="373"/>
      <c r="D923" s="374"/>
      <c r="E923" s="375"/>
      <c r="F923" s="376"/>
      <c r="G923" s="377"/>
      <c r="H923" s="377"/>
      <c r="I923" s="377"/>
      <c r="J923" s="376"/>
      <c r="K923" s="378"/>
      <c r="L923" s="378"/>
      <c r="M923" s="378"/>
      <c r="N923" s="378"/>
      <c r="O923" s="378"/>
      <c r="P923" s="378"/>
    </row>
    <row r="924" spans="3:16" x14ac:dyDescent="0.3">
      <c r="C924" s="373"/>
      <c r="D924" s="374"/>
      <c r="E924" s="375"/>
      <c r="F924" s="376"/>
      <c r="G924" s="377"/>
      <c r="H924" s="377"/>
      <c r="I924" s="377"/>
      <c r="J924" s="376"/>
      <c r="K924" s="378"/>
      <c r="L924" s="378"/>
      <c r="M924" s="378"/>
      <c r="N924" s="378"/>
      <c r="O924" s="378"/>
      <c r="P924" s="378"/>
    </row>
    <row r="925" spans="3:16" x14ac:dyDescent="0.3">
      <c r="C925" s="373"/>
      <c r="D925" s="374"/>
      <c r="E925" s="375"/>
      <c r="F925" s="376"/>
      <c r="G925" s="377"/>
      <c r="H925" s="377"/>
      <c r="I925" s="377"/>
      <c r="J925" s="376"/>
      <c r="K925" s="378"/>
      <c r="L925" s="378"/>
      <c r="M925" s="378"/>
      <c r="N925" s="378"/>
      <c r="O925" s="378"/>
      <c r="P925" s="378"/>
    </row>
    <row r="926" spans="3:16" x14ac:dyDescent="0.3">
      <c r="C926" s="373"/>
      <c r="D926" s="374"/>
      <c r="E926" s="375"/>
      <c r="F926" s="376"/>
      <c r="G926" s="377"/>
      <c r="H926" s="377"/>
      <c r="I926" s="377"/>
      <c r="J926" s="376"/>
      <c r="K926" s="378"/>
      <c r="L926" s="378"/>
      <c r="M926" s="378"/>
      <c r="N926" s="378"/>
      <c r="O926" s="378"/>
      <c r="P926" s="378"/>
    </row>
    <row r="927" spans="3:16" x14ac:dyDescent="0.3">
      <c r="C927" s="373"/>
      <c r="D927" s="374"/>
      <c r="E927" s="375"/>
      <c r="F927" s="376"/>
      <c r="G927" s="377"/>
      <c r="H927" s="377"/>
      <c r="I927" s="377"/>
      <c r="J927" s="376"/>
      <c r="K927" s="378"/>
      <c r="L927" s="378"/>
      <c r="M927" s="378"/>
      <c r="N927" s="378"/>
      <c r="O927" s="378"/>
      <c r="P927" s="378"/>
    </row>
    <row r="928" spans="3:16" x14ac:dyDescent="0.3">
      <c r="C928" s="373"/>
      <c r="D928" s="374"/>
      <c r="E928" s="375"/>
      <c r="F928" s="376"/>
      <c r="G928" s="377"/>
      <c r="H928" s="377"/>
      <c r="I928" s="377"/>
      <c r="J928" s="376"/>
      <c r="K928" s="378"/>
      <c r="L928" s="378"/>
      <c r="M928" s="378"/>
      <c r="N928" s="378"/>
      <c r="O928" s="378"/>
      <c r="P928" s="378"/>
    </row>
    <row r="929" spans="3:16" x14ac:dyDescent="0.3">
      <c r="C929" s="373"/>
      <c r="D929" s="374"/>
      <c r="E929" s="375"/>
      <c r="F929" s="376"/>
      <c r="G929" s="377"/>
      <c r="H929" s="377"/>
      <c r="I929" s="377"/>
      <c r="J929" s="376"/>
      <c r="K929" s="378"/>
      <c r="L929" s="378"/>
      <c r="M929" s="378"/>
      <c r="N929" s="378"/>
      <c r="O929" s="378"/>
      <c r="P929" s="378"/>
    </row>
    <row r="930" spans="3:16" x14ac:dyDescent="0.3">
      <c r="C930" s="373"/>
      <c r="D930" s="374"/>
      <c r="E930" s="375"/>
      <c r="F930" s="376"/>
      <c r="G930" s="377"/>
      <c r="H930" s="377"/>
      <c r="I930" s="377"/>
      <c r="J930" s="376"/>
      <c r="K930" s="378"/>
      <c r="L930" s="378"/>
      <c r="M930" s="378"/>
      <c r="N930" s="378"/>
      <c r="O930" s="378"/>
      <c r="P930" s="378"/>
    </row>
    <row r="931" spans="3:16" x14ac:dyDescent="0.3">
      <c r="C931" s="373"/>
      <c r="D931" s="374"/>
      <c r="E931" s="375"/>
      <c r="F931" s="376"/>
      <c r="G931" s="377"/>
      <c r="H931" s="377"/>
      <c r="I931" s="377"/>
      <c r="J931" s="376"/>
      <c r="K931" s="378"/>
      <c r="L931" s="378"/>
      <c r="M931" s="378"/>
      <c r="N931" s="378"/>
      <c r="O931" s="378"/>
      <c r="P931" s="378"/>
    </row>
    <row r="932" spans="3:16" x14ac:dyDescent="0.3">
      <c r="C932" s="385"/>
      <c r="D932" s="386"/>
      <c r="E932" s="382"/>
      <c r="F932" s="383"/>
      <c r="G932" s="384"/>
      <c r="H932" s="384"/>
      <c r="I932" s="384"/>
      <c r="J932" s="314"/>
      <c r="K932" s="387"/>
      <c r="L932" s="387"/>
      <c r="M932" s="387"/>
      <c r="N932" s="387"/>
      <c r="O932" s="387"/>
      <c r="P932" s="387"/>
    </row>
    <row r="933" spans="3:16" x14ac:dyDescent="0.3">
      <c r="C933" s="379"/>
      <c r="D933" s="312"/>
      <c r="E933" s="380"/>
      <c r="F933" s="314"/>
      <c r="G933" s="315"/>
      <c r="H933" s="315"/>
      <c r="I933" s="315"/>
      <c r="J933" s="314"/>
      <c r="K933" s="316"/>
      <c r="L933" s="316"/>
      <c r="M933" s="316"/>
      <c r="N933" s="316"/>
      <c r="O933" s="316"/>
      <c r="P933" s="316"/>
    </row>
    <row r="934" spans="3:16" x14ac:dyDescent="0.3">
      <c r="C934" s="373"/>
      <c r="D934" s="374"/>
      <c r="E934" s="375"/>
      <c r="F934" s="376"/>
      <c r="G934" s="377"/>
      <c r="H934" s="377"/>
      <c r="I934" s="377"/>
      <c r="J934" s="376"/>
      <c r="K934" s="378"/>
      <c r="L934" s="378"/>
      <c r="M934" s="378"/>
      <c r="N934" s="378"/>
      <c r="O934" s="378"/>
      <c r="P934" s="378"/>
    </row>
    <row r="935" spans="3:16" x14ac:dyDescent="0.3">
      <c r="C935" s="373"/>
      <c r="D935" s="374"/>
      <c r="E935" s="375"/>
      <c r="F935" s="376"/>
      <c r="G935" s="377"/>
      <c r="H935" s="377"/>
      <c r="I935" s="377"/>
      <c r="J935" s="376"/>
      <c r="K935" s="378"/>
      <c r="L935" s="378"/>
      <c r="M935" s="378"/>
      <c r="N935" s="378"/>
      <c r="O935" s="378"/>
      <c r="P935" s="378"/>
    </row>
    <row r="936" spans="3:16" x14ac:dyDescent="0.3">
      <c r="C936" s="373"/>
      <c r="D936" s="374"/>
      <c r="E936" s="375"/>
      <c r="F936" s="376"/>
      <c r="G936" s="377"/>
      <c r="H936" s="377"/>
      <c r="I936" s="377"/>
      <c r="J936" s="376"/>
      <c r="K936" s="378"/>
      <c r="L936" s="378"/>
      <c r="M936" s="378"/>
      <c r="N936" s="378"/>
      <c r="O936" s="378"/>
      <c r="P936" s="378"/>
    </row>
    <row r="937" spans="3:16" x14ac:dyDescent="0.3">
      <c r="C937" s="373"/>
      <c r="D937" s="374"/>
      <c r="E937" s="375"/>
      <c r="F937" s="376"/>
      <c r="G937" s="377"/>
      <c r="H937" s="377"/>
      <c r="I937" s="377"/>
      <c r="J937" s="376"/>
      <c r="K937" s="378"/>
      <c r="L937" s="378"/>
      <c r="M937" s="378"/>
      <c r="N937" s="378"/>
      <c r="O937" s="378"/>
      <c r="P937" s="378"/>
    </row>
    <row r="938" spans="3:16" x14ac:dyDescent="0.3">
      <c r="C938" s="373"/>
      <c r="D938" s="374"/>
      <c r="E938" s="375"/>
      <c r="F938" s="376"/>
      <c r="G938" s="377"/>
      <c r="H938" s="377"/>
      <c r="I938" s="377"/>
      <c r="J938" s="376"/>
      <c r="K938" s="378"/>
      <c r="L938" s="378"/>
      <c r="M938" s="378"/>
      <c r="N938" s="378"/>
      <c r="O938" s="378"/>
      <c r="P938" s="378"/>
    </row>
    <row r="939" spans="3:16" x14ac:dyDescent="0.3">
      <c r="C939" s="373"/>
      <c r="D939" s="374"/>
      <c r="E939" s="375"/>
      <c r="F939" s="376"/>
      <c r="G939" s="377"/>
      <c r="H939" s="377"/>
      <c r="I939" s="377"/>
      <c r="J939" s="376"/>
      <c r="K939" s="378"/>
      <c r="L939" s="378"/>
      <c r="M939" s="378"/>
      <c r="N939" s="378"/>
      <c r="O939" s="378"/>
      <c r="P939" s="378"/>
    </row>
    <row r="940" spans="3:16" x14ac:dyDescent="0.3">
      <c r="C940" s="373"/>
      <c r="D940" s="374"/>
      <c r="E940" s="375"/>
      <c r="F940" s="376"/>
      <c r="G940" s="377"/>
      <c r="H940" s="377"/>
      <c r="I940" s="377"/>
      <c r="J940" s="376"/>
      <c r="K940" s="378"/>
      <c r="L940" s="378"/>
      <c r="M940" s="378"/>
      <c r="N940" s="378"/>
      <c r="O940" s="378"/>
      <c r="P940" s="378"/>
    </row>
    <row r="941" spans="3:16" x14ac:dyDescent="0.3">
      <c r="C941" s="373"/>
      <c r="D941" s="374"/>
      <c r="E941" s="375"/>
      <c r="F941" s="376"/>
      <c r="G941" s="377"/>
      <c r="H941" s="377"/>
      <c r="I941" s="377"/>
      <c r="J941" s="376"/>
      <c r="K941" s="378"/>
      <c r="L941" s="378"/>
      <c r="M941" s="378"/>
      <c r="N941" s="378"/>
      <c r="O941" s="378"/>
      <c r="P941" s="378"/>
    </row>
    <row r="942" spans="3:16" x14ac:dyDescent="0.3">
      <c r="C942" s="373"/>
      <c r="D942" s="374"/>
      <c r="E942" s="375"/>
      <c r="F942" s="376"/>
      <c r="G942" s="377"/>
      <c r="H942" s="377"/>
      <c r="I942" s="377"/>
      <c r="J942" s="376"/>
      <c r="K942" s="378"/>
      <c r="L942" s="378"/>
      <c r="M942" s="378"/>
      <c r="N942" s="378"/>
      <c r="O942" s="378"/>
      <c r="P942" s="378"/>
    </row>
    <row r="943" spans="3:16" x14ac:dyDescent="0.3">
      <c r="C943" s="373"/>
      <c r="D943" s="374"/>
      <c r="E943" s="375"/>
      <c r="F943" s="376"/>
      <c r="G943" s="377"/>
      <c r="H943" s="377"/>
      <c r="I943" s="377"/>
      <c r="J943" s="376"/>
      <c r="K943" s="378"/>
      <c r="L943" s="378"/>
      <c r="M943" s="378"/>
      <c r="N943" s="378"/>
      <c r="O943" s="378"/>
      <c r="P943" s="378"/>
    </row>
    <row r="944" spans="3:16" x14ac:dyDescent="0.3">
      <c r="C944" s="373"/>
      <c r="D944" s="374"/>
      <c r="E944" s="375"/>
      <c r="F944" s="376"/>
      <c r="G944" s="377"/>
      <c r="H944" s="377"/>
      <c r="I944" s="377"/>
      <c r="J944" s="376"/>
      <c r="K944" s="378"/>
      <c r="L944" s="378"/>
      <c r="M944" s="378"/>
      <c r="N944" s="378"/>
      <c r="O944" s="378"/>
      <c r="P944" s="378"/>
    </row>
    <row r="945" spans="3:16" x14ac:dyDescent="0.3">
      <c r="C945" s="373"/>
      <c r="D945" s="374"/>
      <c r="E945" s="375"/>
      <c r="F945" s="376"/>
      <c r="G945" s="377"/>
      <c r="H945" s="377"/>
      <c r="I945" s="377"/>
      <c r="J945" s="376"/>
      <c r="K945" s="378"/>
      <c r="L945" s="378"/>
      <c r="M945" s="378"/>
      <c r="N945" s="378"/>
      <c r="O945" s="378"/>
      <c r="P945" s="378"/>
    </row>
    <row r="946" spans="3:16" x14ac:dyDescent="0.3">
      <c r="C946" s="373"/>
      <c r="D946" s="374"/>
      <c r="E946" s="375"/>
      <c r="F946" s="376"/>
      <c r="G946" s="377"/>
      <c r="H946" s="377"/>
      <c r="I946" s="377"/>
      <c r="J946" s="376"/>
      <c r="K946" s="378"/>
      <c r="L946" s="378"/>
      <c r="M946" s="378"/>
      <c r="N946" s="378"/>
      <c r="O946" s="378"/>
      <c r="P946" s="378"/>
    </row>
    <row r="947" spans="3:16" x14ac:dyDescent="0.3">
      <c r="C947" s="373"/>
      <c r="D947" s="374"/>
      <c r="E947" s="375"/>
      <c r="F947" s="376"/>
      <c r="G947" s="377"/>
      <c r="H947" s="377"/>
      <c r="I947" s="377"/>
      <c r="J947" s="376"/>
      <c r="K947" s="378"/>
      <c r="L947" s="378"/>
      <c r="M947" s="378"/>
      <c r="N947" s="378"/>
      <c r="O947" s="378"/>
      <c r="P947" s="378"/>
    </row>
    <row r="948" spans="3:16" x14ac:dyDescent="0.3">
      <c r="C948" s="379"/>
      <c r="D948" s="312"/>
      <c r="E948" s="380"/>
      <c r="F948" s="314"/>
      <c r="G948" s="315"/>
      <c r="H948" s="315"/>
      <c r="I948" s="315"/>
      <c r="J948" s="314"/>
      <c r="K948" s="316"/>
      <c r="L948" s="316"/>
      <c r="M948" s="316"/>
      <c r="N948" s="316"/>
      <c r="O948" s="316"/>
      <c r="P948" s="316"/>
    </row>
    <row r="949" spans="3:16" x14ac:dyDescent="0.3">
      <c r="C949" s="373"/>
      <c r="D949" s="374"/>
      <c r="E949" s="375"/>
      <c r="F949" s="376"/>
      <c r="G949" s="377"/>
      <c r="H949" s="377"/>
      <c r="I949" s="377"/>
      <c r="J949" s="376"/>
      <c r="K949" s="378"/>
      <c r="L949" s="378"/>
      <c r="M949" s="378"/>
      <c r="N949" s="378"/>
      <c r="O949" s="378"/>
      <c r="P949" s="378"/>
    </row>
    <row r="950" spans="3:16" x14ac:dyDescent="0.3">
      <c r="C950" s="373"/>
      <c r="D950" s="374"/>
      <c r="E950" s="375"/>
      <c r="F950" s="376"/>
      <c r="G950" s="377"/>
      <c r="H950" s="377"/>
      <c r="I950" s="377"/>
      <c r="J950" s="376"/>
      <c r="K950" s="378"/>
      <c r="L950" s="378"/>
      <c r="M950" s="378"/>
      <c r="N950" s="378"/>
      <c r="O950" s="378"/>
      <c r="P950" s="378"/>
    </row>
    <row r="951" spans="3:16" x14ac:dyDescent="0.3">
      <c r="C951" s="373"/>
      <c r="D951" s="374"/>
      <c r="E951" s="375"/>
      <c r="F951" s="376"/>
      <c r="G951" s="377"/>
      <c r="H951" s="377"/>
      <c r="I951" s="377"/>
      <c r="J951" s="376"/>
      <c r="K951" s="378"/>
      <c r="L951" s="378"/>
      <c r="M951" s="378"/>
      <c r="N951" s="378"/>
      <c r="O951" s="378"/>
      <c r="P951" s="378"/>
    </row>
    <row r="952" spans="3:16" x14ac:dyDescent="0.3">
      <c r="C952" s="373"/>
      <c r="D952" s="374"/>
      <c r="E952" s="375"/>
      <c r="F952" s="376"/>
      <c r="G952" s="377"/>
      <c r="H952" s="377"/>
      <c r="I952" s="377"/>
      <c r="J952" s="376"/>
      <c r="K952" s="378"/>
      <c r="L952" s="378"/>
      <c r="M952" s="378"/>
      <c r="N952" s="378"/>
      <c r="O952" s="378"/>
      <c r="P952" s="378"/>
    </row>
    <row r="953" spans="3:16" x14ac:dyDescent="0.3">
      <c r="C953" s="373"/>
      <c r="D953" s="374"/>
      <c r="E953" s="375"/>
      <c r="F953" s="376"/>
      <c r="G953" s="377"/>
      <c r="H953" s="377"/>
      <c r="I953" s="377"/>
      <c r="J953" s="376"/>
      <c r="K953" s="378"/>
      <c r="L953" s="378"/>
      <c r="M953" s="378"/>
      <c r="N953" s="378"/>
      <c r="O953" s="378"/>
      <c r="P953" s="378"/>
    </row>
    <row r="954" spans="3:16" x14ac:dyDescent="0.3">
      <c r="C954" s="373"/>
      <c r="D954" s="374"/>
      <c r="E954" s="375"/>
      <c r="F954" s="376"/>
      <c r="G954" s="377"/>
      <c r="H954" s="377"/>
      <c r="I954" s="377"/>
      <c r="J954" s="376"/>
      <c r="K954" s="378"/>
      <c r="L954" s="378"/>
      <c r="M954" s="378"/>
      <c r="N954" s="378"/>
      <c r="O954" s="378"/>
      <c r="P954" s="378"/>
    </row>
    <row r="955" spans="3:16" x14ac:dyDescent="0.3">
      <c r="C955" s="373"/>
      <c r="D955" s="374"/>
      <c r="E955" s="375"/>
      <c r="F955" s="376"/>
      <c r="G955" s="377"/>
      <c r="H955" s="377"/>
      <c r="I955" s="377"/>
      <c r="J955" s="376"/>
      <c r="K955" s="378"/>
      <c r="L955" s="378"/>
      <c r="M955" s="378"/>
      <c r="N955" s="378"/>
      <c r="O955" s="378"/>
      <c r="P955" s="378"/>
    </row>
    <row r="956" spans="3:16" x14ac:dyDescent="0.3">
      <c r="C956" s="373"/>
      <c r="D956" s="374"/>
      <c r="E956" s="375"/>
      <c r="F956" s="376"/>
      <c r="G956" s="377"/>
      <c r="H956" s="377"/>
      <c r="I956" s="377"/>
      <c r="J956" s="376"/>
      <c r="K956" s="378"/>
      <c r="L956" s="378"/>
      <c r="M956" s="378"/>
      <c r="N956" s="378"/>
      <c r="O956" s="378"/>
      <c r="P956" s="378"/>
    </row>
    <row r="957" spans="3:16" x14ac:dyDescent="0.3">
      <c r="C957" s="373"/>
      <c r="D957" s="374"/>
      <c r="E957" s="375"/>
      <c r="F957" s="376"/>
      <c r="G957" s="377"/>
      <c r="H957" s="377"/>
      <c r="I957" s="377"/>
      <c r="J957" s="376"/>
      <c r="K957" s="378"/>
      <c r="L957" s="378"/>
      <c r="M957" s="378"/>
      <c r="N957" s="378"/>
      <c r="O957" s="378"/>
      <c r="P957" s="378"/>
    </row>
    <row r="958" spans="3:16" x14ac:dyDescent="0.3">
      <c r="C958" s="373"/>
      <c r="D958" s="374"/>
      <c r="E958" s="375"/>
      <c r="F958" s="376"/>
      <c r="G958" s="377"/>
      <c r="H958" s="377"/>
      <c r="I958" s="377"/>
      <c r="J958" s="376"/>
      <c r="K958" s="378"/>
      <c r="L958" s="378"/>
      <c r="M958" s="378"/>
      <c r="N958" s="378"/>
      <c r="O958" s="378"/>
      <c r="P958" s="378"/>
    </row>
    <row r="959" spans="3:16" x14ac:dyDescent="0.3">
      <c r="C959" s="373"/>
      <c r="D959" s="374"/>
      <c r="E959" s="375"/>
      <c r="F959" s="376"/>
      <c r="G959" s="377"/>
      <c r="H959" s="377"/>
      <c r="I959" s="377"/>
      <c r="J959" s="376"/>
      <c r="K959" s="378"/>
      <c r="L959" s="378"/>
      <c r="M959" s="378"/>
      <c r="N959" s="378"/>
      <c r="O959" s="378"/>
      <c r="P959" s="378"/>
    </row>
    <row r="960" spans="3:16" x14ac:dyDescent="0.3">
      <c r="C960" s="373"/>
      <c r="D960" s="374"/>
      <c r="E960" s="375"/>
      <c r="F960" s="376"/>
      <c r="G960" s="377"/>
      <c r="H960" s="377"/>
      <c r="I960" s="377"/>
      <c r="J960" s="376"/>
      <c r="K960" s="378"/>
      <c r="L960" s="378"/>
      <c r="M960" s="378"/>
      <c r="N960" s="378"/>
      <c r="O960" s="378"/>
      <c r="P960" s="378"/>
    </row>
    <row r="961" spans="3:16" x14ac:dyDescent="0.3">
      <c r="C961" s="373"/>
      <c r="D961" s="374"/>
      <c r="E961" s="375"/>
      <c r="F961" s="376"/>
      <c r="G961" s="377"/>
      <c r="H961" s="377"/>
      <c r="I961" s="377"/>
      <c r="J961" s="376"/>
      <c r="K961" s="378"/>
      <c r="L961" s="378"/>
      <c r="M961" s="378"/>
      <c r="N961" s="378"/>
      <c r="O961" s="378"/>
      <c r="P961" s="378"/>
    </row>
    <row r="962" spans="3:16" x14ac:dyDescent="0.3">
      <c r="C962" s="373"/>
      <c r="D962" s="374"/>
      <c r="E962" s="375"/>
      <c r="F962" s="376"/>
      <c r="G962" s="377"/>
      <c r="H962" s="377"/>
      <c r="I962" s="377"/>
      <c r="J962" s="376"/>
      <c r="K962" s="378"/>
      <c r="L962" s="378"/>
      <c r="M962" s="378"/>
      <c r="N962" s="378"/>
      <c r="O962" s="378"/>
      <c r="P962" s="378"/>
    </row>
    <row r="963" spans="3:16" x14ac:dyDescent="0.3">
      <c r="C963" s="373"/>
      <c r="D963" s="374"/>
      <c r="E963" s="375"/>
      <c r="F963" s="376"/>
      <c r="G963" s="377"/>
      <c r="H963" s="377"/>
      <c r="I963" s="377"/>
      <c r="J963" s="376"/>
      <c r="K963" s="378"/>
      <c r="L963" s="378"/>
      <c r="M963" s="378"/>
      <c r="N963" s="378"/>
      <c r="O963" s="378"/>
      <c r="P963" s="378"/>
    </row>
    <row r="964" spans="3:16" x14ac:dyDescent="0.3">
      <c r="C964" s="373"/>
      <c r="D964" s="374"/>
      <c r="E964" s="375"/>
      <c r="F964" s="376"/>
      <c r="G964" s="377"/>
      <c r="H964" s="377"/>
      <c r="I964" s="377"/>
      <c r="J964" s="376"/>
      <c r="K964" s="378"/>
      <c r="L964" s="378"/>
      <c r="M964" s="378"/>
      <c r="N964" s="378"/>
      <c r="O964" s="378"/>
      <c r="P964" s="378"/>
    </row>
    <row r="965" spans="3:16" x14ac:dyDescent="0.3">
      <c r="C965" s="373"/>
      <c r="D965" s="374"/>
      <c r="E965" s="375"/>
      <c r="F965" s="376"/>
      <c r="G965" s="377"/>
      <c r="H965" s="377"/>
      <c r="I965" s="377"/>
      <c r="J965" s="376"/>
      <c r="K965" s="378"/>
      <c r="L965" s="378"/>
      <c r="M965" s="378"/>
      <c r="N965" s="378"/>
      <c r="O965" s="378"/>
      <c r="P965" s="378"/>
    </row>
    <row r="966" spans="3:16" x14ac:dyDescent="0.3">
      <c r="C966" s="373"/>
      <c r="D966" s="374"/>
      <c r="E966" s="375"/>
      <c r="F966" s="376"/>
      <c r="G966" s="377"/>
      <c r="H966" s="377"/>
      <c r="I966" s="377"/>
      <c r="J966" s="376"/>
      <c r="K966" s="378"/>
      <c r="L966" s="378"/>
      <c r="M966" s="378"/>
      <c r="N966" s="378"/>
      <c r="O966" s="378"/>
      <c r="P966" s="378"/>
    </row>
    <row r="967" spans="3:16" x14ac:dyDescent="0.3">
      <c r="C967" s="373"/>
      <c r="D967" s="374"/>
      <c r="E967" s="375"/>
      <c r="F967" s="376"/>
      <c r="G967" s="377"/>
      <c r="H967" s="377"/>
      <c r="I967" s="377"/>
      <c r="J967" s="376"/>
      <c r="K967" s="378"/>
      <c r="L967" s="378"/>
      <c r="M967" s="378"/>
      <c r="N967" s="378"/>
      <c r="O967" s="378"/>
      <c r="P967" s="378"/>
    </row>
    <row r="968" spans="3:16" x14ac:dyDescent="0.3">
      <c r="C968" s="373"/>
      <c r="D968" s="374"/>
      <c r="E968" s="375"/>
      <c r="F968" s="376"/>
      <c r="G968" s="377"/>
      <c r="H968" s="377"/>
      <c r="I968" s="377"/>
      <c r="J968" s="376"/>
      <c r="K968" s="378"/>
      <c r="L968" s="378"/>
      <c r="M968" s="378"/>
      <c r="N968" s="378"/>
      <c r="O968" s="378"/>
      <c r="P968" s="378"/>
    </row>
    <row r="969" spans="3:16" x14ac:dyDescent="0.3">
      <c r="C969" s="373"/>
      <c r="D969" s="374"/>
      <c r="E969" s="375"/>
      <c r="F969" s="376"/>
      <c r="G969" s="377"/>
      <c r="H969" s="377"/>
      <c r="I969" s="377"/>
      <c r="J969" s="376"/>
      <c r="K969" s="378"/>
      <c r="L969" s="378"/>
      <c r="M969" s="378"/>
      <c r="N969" s="378"/>
      <c r="O969" s="378"/>
      <c r="P969" s="378"/>
    </row>
    <row r="970" spans="3:16" x14ac:dyDescent="0.3">
      <c r="C970" s="373"/>
      <c r="D970" s="374"/>
      <c r="E970" s="375"/>
      <c r="F970" s="376"/>
      <c r="G970" s="377"/>
      <c r="H970" s="377"/>
      <c r="I970" s="377"/>
      <c r="J970" s="376"/>
      <c r="K970" s="378"/>
      <c r="L970" s="378"/>
      <c r="M970" s="378"/>
      <c r="N970" s="378"/>
      <c r="O970" s="378"/>
      <c r="P970" s="378"/>
    </row>
    <row r="971" spans="3:16" x14ac:dyDescent="0.3">
      <c r="C971" s="373"/>
      <c r="D971" s="374"/>
      <c r="E971" s="375"/>
      <c r="F971" s="376"/>
      <c r="G971" s="377"/>
      <c r="H971" s="377"/>
      <c r="I971" s="377"/>
      <c r="J971" s="376"/>
      <c r="K971" s="378"/>
      <c r="L971" s="378"/>
      <c r="M971" s="378"/>
      <c r="N971" s="378"/>
      <c r="O971" s="378"/>
      <c r="P971" s="378"/>
    </row>
    <row r="972" spans="3:16" x14ac:dyDescent="0.3">
      <c r="C972" s="373"/>
      <c r="D972" s="374"/>
      <c r="E972" s="375"/>
      <c r="F972" s="376"/>
      <c r="G972" s="377"/>
      <c r="H972" s="377"/>
      <c r="I972" s="377"/>
      <c r="J972" s="376"/>
      <c r="K972" s="378"/>
      <c r="L972" s="378"/>
      <c r="M972" s="378"/>
      <c r="N972" s="378"/>
      <c r="O972" s="378"/>
      <c r="P972" s="378"/>
    </row>
    <row r="973" spans="3:16" x14ac:dyDescent="0.3">
      <c r="C973" s="373"/>
      <c r="D973" s="374"/>
      <c r="E973" s="375"/>
      <c r="F973" s="376"/>
      <c r="G973" s="377"/>
      <c r="H973" s="377"/>
      <c r="I973" s="377"/>
      <c r="J973" s="376"/>
      <c r="K973" s="378"/>
      <c r="L973" s="378"/>
      <c r="M973" s="378"/>
      <c r="N973" s="378"/>
      <c r="O973" s="378"/>
      <c r="P973" s="378"/>
    </row>
    <row r="974" spans="3:16" x14ac:dyDescent="0.3">
      <c r="C974" s="373"/>
      <c r="D974" s="374"/>
      <c r="E974" s="375"/>
      <c r="F974" s="376"/>
      <c r="G974" s="377"/>
      <c r="H974" s="377"/>
      <c r="I974" s="377"/>
      <c r="J974" s="376"/>
      <c r="K974" s="378"/>
      <c r="L974" s="378"/>
      <c r="M974" s="378"/>
      <c r="N974" s="378"/>
      <c r="O974" s="378"/>
      <c r="P974" s="378"/>
    </row>
    <row r="975" spans="3:16" x14ac:dyDescent="0.3">
      <c r="C975" s="373"/>
      <c r="D975" s="374"/>
      <c r="E975" s="375"/>
      <c r="F975" s="376"/>
      <c r="G975" s="377"/>
      <c r="H975" s="377"/>
      <c r="I975" s="377"/>
      <c r="J975" s="376"/>
      <c r="K975" s="378"/>
      <c r="L975" s="378"/>
      <c r="M975" s="378"/>
      <c r="N975" s="378"/>
      <c r="O975" s="378"/>
      <c r="P975" s="378"/>
    </row>
    <row r="976" spans="3:16" x14ac:dyDescent="0.3">
      <c r="C976" s="373"/>
      <c r="D976" s="374"/>
      <c r="E976" s="375"/>
      <c r="F976" s="376"/>
      <c r="G976" s="377"/>
      <c r="H976" s="377"/>
      <c r="I976" s="377"/>
      <c r="J976" s="376"/>
      <c r="K976" s="378"/>
      <c r="L976" s="378"/>
      <c r="M976" s="378"/>
      <c r="N976" s="378"/>
      <c r="O976" s="378"/>
      <c r="P976" s="378"/>
    </row>
    <row r="977" spans="3:16" x14ac:dyDescent="0.3">
      <c r="C977" s="373"/>
      <c r="D977" s="374"/>
      <c r="E977" s="375"/>
      <c r="F977" s="376"/>
      <c r="G977" s="377"/>
      <c r="H977" s="377"/>
      <c r="I977" s="377"/>
      <c r="J977" s="376"/>
      <c r="K977" s="378"/>
      <c r="L977" s="378"/>
      <c r="M977" s="378"/>
      <c r="N977" s="378"/>
      <c r="O977" s="378"/>
      <c r="P977" s="378"/>
    </row>
    <row r="978" spans="3:16" x14ac:dyDescent="0.3">
      <c r="C978" s="373"/>
      <c r="D978" s="374"/>
      <c r="E978" s="375"/>
      <c r="F978" s="376"/>
      <c r="G978" s="377"/>
      <c r="H978" s="377"/>
      <c r="I978" s="377"/>
      <c r="J978" s="376"/>
      <c r="K978" s="378"/>
      <c r="L978" s="378"/>
      <c r="M978" s="378"/>
      <c r="N978" s="378"/>
      <c r="O978" s="378"/>
      <c r="P978" s="378"/>
    </row>
    <row r="979" spans="3:16" x14ac:dyDescent="0.3">
      <c r="C979" s="373"/>
      <c r="D979" s="374"/>
      <c r="E979" s="375"/>
      <c r="F979" s="376"/>
      <c r="G979" s="377"/>
      <c r="H979" s="377"/>
      <c r="I979" s="377"/>
      <c r="J979" s="376"/>
      <c r="K979" s="378"/>
      <c r="L979" s="378"/>
      <c r="M979" s="378"/>
      <c r="N979" s="378"/>
      <c r="O979" s="378"/>
      <c r="P979" s="378"/>
    </row>
    <row r="980" spans="3:16" x14ac:dyDescent="0.3">
      <c r="C980" s="373"/>
      <c r="D980" s="374"/>
      <c r="E980" s="375"/>
      <c r="F980" s="376"/>
      <c r="G980" s="377"/>
      <c r="H980" s="377"/>
      <c r="I980" s="377"/>
      <c r="J980" s="376"/>
      <c r="K980" s="378"/>
      <c r="L980" s="378"/>
      <c r="M980" s="378"/>
      <c r="N980" s="378"/>
      <c r="O980" s="378"/>
      <c r="P980" s="378"/>
    </row>
    <row r="981" spans="3:16" x14ac:dyDescent="0.3">
      <c r="C981" s="373"/>
      <c r="D981" s="374"/>
      <c r="E981" s="375"/>
      <c r="F981" s="376"/>
      <c r="G981" s="377"/>
      <c r="H981" s="377"/>
      <c r="I981" s="377"/>
      <c r="J981" s="376"/>
      <c r="K981" s="378"/>
      <c r="L981" s="378"/>
      <c r="M981" s="378"/>
      <c r="N981" s="378"/>
      <c r="O981" s="378"/>
      <c r="P981" s="378"/>
    </row>
    <row r="982" spans="3:16" x14ac:dyDescent="0.3">
      <c r="C982" s="373"/>
      <c r="D982" s="374"/>
      <c r="E982" s="375"/>
      <c r="F982" s="376"/>
      <c r="G982" s="377"/>
      <c r="H982" s="377"/>
      <c r="I982" s="377"/>
      <c r="J982" s="376"/>
      <c r="K982" s="378"/>
      <c r="L982" s="378"/>
      <c r="M982" s="378"/>
      <c r="N982" s="378"/>
      <c r="O982" s="378"/>
      <c r="P982" s="378"/>
    </row>
    <row r="983" spans="3:16" x14ac:dyDescent="0.3">
      <c r="C983" s="373"/>
      <c r="D983" s="374"/>
      <c r="E983" s="375"/>
      <c r="F983" s="376"/>
      <c r="G983" s="377"/>
      <c r="H983" s="377"/>
      <c r="I983" s="377"/>
      <c r="J983" s="376"/>
      <c r="K983" s="378"/>
      <c r="L983" s="378"/>
      <c r="M983" s="378"/>
      <c r="N983" s="378"/>
      <c r="O983" s="378"/>
      <c r="P983" s="378"/>
    </row>
    <row r="984" spans="3:16" x14ac:dyDescent="0.3">
      <c r="C984" s="373"/>
      <c r="D984" s="374"/>
      <c r="E984" s="375"/>
      <c r="F984" s="376"/>
      <c r="G984" s="377"/>
      <c r="H984" s="377"/>
      <c r="I984" s="377"/>
      <c r="J984" s="376"/>
      <c r="K984" s="378"/>
      <c r="L984" s="378"/>
      <c r="M984" s="378"/>
      <c r="N984" s="378"/>
      <c r="O984" s="378"/>
      <c r="P984" s="378"/>
    </row>
    <row r="985" spans="3:16" x14ac:dyDescent="0.3">
      <c r="C985" s="373"/>
      <c r="D985" s="374"/>
      <c r="E985" s="375"/>
      <c r="F985" s="376"/>
      <c r="G985" s="377"/>
      <c r="H985" s="377"/>
      <c r="I985" s="377"/>
      <c r="J985" s="376"/>
      <c r="K985" s="378"/>
      <c r="L985" s="378"/>
      <c r="M985" s="378"/>
      <c r="N985" s="378"/>
      <c r="O985" s="378"/>
      <c r="P985" s="378"/>
    </row>
    <row r="986" spans="3:16" x14ac:dyDescent="0.3">
      <c r="C986" s="373"/>
      <c r="D986" s="374"/>
      <c r="E986" s="375"/>
      <c r="F986" s="376"/>
      <c r="G986" s="377"/>
      <c r="H986" s="377"/>
      <c r="I986" s="377"/>
      <c r="J986" s="376"/>
      <c r="K986" s="378"/>
      <c r="L986" s="378"/>
      <c r="M986" s="378"/>
      <c r="N986" s="378"/>
      <c r="O986" s="378"/>
      <c r="P986" s="378"/>
    </row>
    <row r="987" spans="3:16" x14ac:dyDescent="0.3">
      <c r="C987" s="373"/>
      <c r="D987" s="374"/>
      <c r="E987" s="375"/>
      <c r="F987" s="376"/>
      <c r="G987" s="377"/>
      <c r="H987" s="377"/>
      <c r="I987" s="377"/>
      <c r="J987" s="376"/>
      <c r="K987" s="378"/>
      <c r="L987" s="378"/>
      <c r="M987" s="378"/>
      <c r="N987" s="378"/>
      <c r="O987" s="378"/>
      <c r="P987" s="378"/>
    </row>
    <row r="988" spans="3:16" x14ac:dyDescent="0.3">
      <c r="C988" s="373"/>
      <c r="D988" s="374"/>
      <c r="E988" s="375"/>
      <c r="F988" s="376"/>
      <c r="G988" s="377"/>
      <c r="H988" s="377"/>
      <c r="I988" s="377"/>
      <c r="J988" s="376"/>
      <c r="K988" s="378"/>
      <c r="L988" s="378"/>
      <c r="M988" s="378"/>
      <c r="N988" s="378"/>
      <c r="O988" s="378"/>
      <c r="P988" s="378"/>
    </row>
    <row r="989" spans="3:16" x14ac:dyDescent="0.3">
      <c r="C989" s="379"/>
      <c r="D989" s="312"/>
      <c r="E989" s="380"/>
      <c r="F989" s="314"/>
      <c r="G989" s="315"/>
      <c r="H989" s="315"/>
      <c r="I989" s="315"/>
      <c r="J989" s="314"/>
      <c r="K989" s="316"/>
      <c r="L989" s="316"/>
      <c r="M989" s="316"/>
      <c r="N989" s="316"/>
      <c r="O989" s="316"/>
      <c r="P989" s="316"/>
    </row>
    <row r="990" spans="3:16" x14ac:dyDescent="0.3">
      <c r="C990" s="373"/>
      <c r="D990" s="374"/>
      <c r="E990" s="375"/>
      <c r="F990" s="376"/>
      <c r="G990" s="377"/>
      <c r="H990" s="377"/>
      <c r="I990" s="377"/>
      <c r="J990" s="376"/>
      <c r="K990" s="378"/>
      <c r="L990" s="378"/>
      <c r="M990" s="378"/>
      <c r="N990" s="378"/>
      <c r="O990" s="378"/>
      <c r="P990" s="378"/>
    </row>
    <row r="991" spans="3:16" x14ac:dyDescent="0.3">
      <c r="C991" s="373"/>
      <c r="D991" s="374"/>
      <c r="E991" s="375"/>
      <c r="F991" s="376"/>
      <c r="G991" s="377"/>
      <c r="H991" s="377"/>
      <c r="I991" s="377"/>
      <c r="J991" s="376"/>
      <c r="K991" s="378"/>
      <c r="L991" s="378"/>
      <c r="M991" s="378"/>
      <c r="N991" s="378"/>
      <c r="O991" s="378"/>
      <c r="P991" s="378"/>
    </row>
    <row r="992" spans="3:16" x14ac:dyDescent="0.3">
      <c r="C992" s="373"/>
      <c r="D992" s="374"/>
      <c r="E992" s="375"/>
      <c r="F992" s="376"/>
      <c r="G992" s="377"/>
      <c r="H992" s="377"/>
      <c r="I992" s="377"/>
      <c r="J992" s="376"/>
      <c r="K992" s="378"/>
      <c r="L992" s="378"/>
      <c r="M992" s="378"/>
      <c r="N992" s="378"/>
      <c r="O992" s="378"/>
      <c r="P992" s="378"/>
    </row>
    <row r="993" spans="3:16" x14ac:dyDescent="0.3">
      <c r="C993" s="373"/>
      <c r="D993" s="374"/>
      <c r="E993" s="375"/>
      <c r="F993" s="376"/>
      <c r="G993" s="377"/>
      <c r="H993" s="377"/>
      <c r="I993" s="377"/>
      <c r="J993" s="376"/>
      <c r="K993" s="378"/>
      <c r="L993" s="378"/>
      <c r="M993" s="378"/>
      <c r="N993" s="378"/>
      <c r="O993" s="378"/>
      <c r="P993" s="378"/>
    </row>
    <row r="994" spans="3:16" x14ac:dyDescent="0.3">
      <c r="C994" s="373"/>
      <c r="D994" s="374"/>
      <c r="E994" s="375"/>
      <c r="F994" s="376"/>
      <c r="G994" s="377"/>
      <c r="H994" s="377"/>
      <c r="I994" s="377"/>
      <c r="J994" s="376"/>
      <c r="K994" s="378"/>
      <c r="L994" s="378"/>
      <c r="M994" s="378"/>
      <c r="N994" s="378"/>
      <c r="O994" s="378"/>
      <c r="P994" s="378"/>
    </row>
    <row r="995" spans="3:16" x14ac:dyDescent="0.3">
      <c r="C995" s="373"/>
      <c r="D995" s="374"/>
      <c r="E995" s="375"/>
      <c r="F995" s="376"/>
      <c r="G995" s="377"/>
      <c r="H995" s="377"/>
      <c r="I995" s="377"/>
      <c r="J995" s="376"/>
      <c r="K995" s="378"/>
      <c r="L995" s="378"/>
      <c r="M995" s="378"/>
      <c r="N995" s="378"/>
      <c r="O995" s="378"/>
      <c r="P995" s="378"/>
    </row>
    <row r="996" spans="3:16" x14ac:dyDescent="0.3">
      <c r="C996" s="373"/>
      <c r="D996" s="374"/>
      <c r="E996" s="375"/>
      <c r="F996" s="376"/>
      <c r="G996" s="377"/>
      <c r="H996" s="377"/>
      <c r="I996" s="377"/>
      <c r="J996" s="376"/>
      <c r="K996" s="378"/>
      <c r="L996" s="378"/>
      <c r="M996" s="378"/>
      <c r="N996" s="378"/>
      <c r="O996" s="378"/>
      <c r="P996" s="378"/>
    </row>
    <row r="997" spans="3:16" x14ac:dyDescent="0.3">
      <c r="C997" s="373"/>
      <c r="D997" s="374"/>
      <c r="E997" s="375"/>
      <c r="F997" s="376"/>
      <c r="G997" s="377"/>
      <c r="H997" s="377"/>
      <c r="I997" s="377"/>
      <c r="J997" s="376"/>
      <c r="K997" s="378"/>
      <c r="L997" s="378"/>
      <c r="M997" s="378"/>
      <c r="N997" s="378"/>
      <c r="O997" s="378"/>
      <c r="P997" s="378"/>
    </row>
    <row r="998" spans="3:16" x14ac:dyDescent="0.3">
      <c r="C998" s="373"/>
      <c r="D998" s="374"/>
      <c r="E998" s="375"/>
      <c r="F998" s="376"/>
      <c r="G998" s="377"/>
      <c r="H998" s="377"/>
      <c r="I998" s="377"/>
      <c r="J998" s="376"/>
      <c r="K998" s="378"/>
      <c r="L998" s="378"/>
      <c r="M998" s="378"/>
      <c r="N998" s="378"/>
      <c r="O998" s="378"/>
      <c r="P998" s="378"/>
    </row>
    <row r="999" spans="3:16" x14ac:dyDescent="0.3">
      <c r="C999" s="373"/>
      <c r="D999" s="374"/>
      <c r="E999" s="375"/>
      <c r="F999" s="376"/>
      <c r="G999" s="377"/>
      <c r="H999" s="377"/>
      <c r="I999" s="377"/>
      <c r="J999" s="376"/>
      <c r="K999" s="378"/>
      <c r="L999" s="378"/>
      <c r="M999" s="378"/>
      <c r="N999" s="378"/>
      <c r="O999" s="378"/>
      <c r="P999" s="378"/>
    </row>
    <row r="1000" spans="3:16" x14ac:dyDescent="0.3">
      <c r="C1000" s="373"/>
      <c r="D1000" s="374"/>
      <c r="E1000" s="375"/>
      <c r="F1000" s="376"/>
      <c r="G1000" s="377"/>
      <c r="H1000" s="377"/>
      <c r="I1000" s="377"/>
      <c r="J1000" s="376"/>
      <c r="K1000" s="378"/>
      <c r="L1000" s="378"/>
      <c r="M1000" s="378"/>
      <c r="N1000" s="378"/>
      <c r="O1000" s="378"/>
      <c r="P1000" s="378"/>
    </row>
    <row r="1001" spans="3:16" x14ac:dyDescent="0.3">
      <c r="C1001" s="373"/>
      <c r="D1001" s="374"/>
      <c r="E1001" s="375"/>
      <c r="F1001" s="376"/>
      <c r="G1001" s="377"/>
      <c r="H1001" s="377"/>
      <c r="I1001" s="377"/>
      <c r="J1001" s="376"/>
      <c r="K1001" s="378"/>
      <c r="L1001" s="378"/>
      <c r="M1001" s="378"/>
      <c r="N1001" s="378"/>
      <c r="O1001" s="378"/>
      <c r="P1001" s="378"/>
    </row>
    <row r="1002" spans="3:16" x14ac:dyDescent="0.3">
      <c r="C1002" s="373"/>
      <c r="D1002" s="374"/>
      <c r="E1002" s="375"/>
      <c r="F1002" s="376"/>
      <c r="G1002" s="377"/>
      <c r="H1002" s="377"/>
      <c r="I1002" s="377"/>
      <c r="J1002" s="376"/>
      <c r="K1002" s="378"/>
      <c r="L1002" s="378"/>
      <c r="M1002" s="378"/>
      <c r="N1002" s="378"/>
      <c r="O1002" s="378"/>
      <c r="P1002" s="378"/>
    </row>
    <row r="1003" spans="3:16" x14ac:dyDescent="0.3">
      <c r="C1003" s="373"/>
      <c r="D1003" s="374"/>
      <c r="E1003" s="375"/>
      <c r="F1003" s="376"/>
      <c r="G1003" s="377"/>
      <c r="H1003" s="377"/>
      <c r="I1003" s="377"/>
      <c r="J1003" s="376"/>
      <c r="K1003" s="378"/>
      <c r="L1003" s="378"/>
      <c r="M1003" s="378"/>
      <c r="N1003" s="378"/>
      <c r="O1003" s="378"/>
      <c r="P1003" s="378"/>
    </row>
    <row r="1004" spans="3:16" x14ac:dyDescent="0.3">
      <c r="C1004" s="373"/>
      <c r="D1004" s="374"/>
      <c r="E1004" s="375"/>
      <c r="F1004" s="376"/>
      <c r="G1004" s="377"/>
      <c r="H1004" s="377"/>
      <c r="I1004" s="377"/>
      <c r="J1004" s="376"/>
      <c r="K1004" s="378"/>
      <c r="L1004" s="378"/>
      <c r="M1004" s="378"/>
      <c r="N1004" s="378"/>
      <c r="O1004" s="378"/>
      <c r="P1004" s="378"/>
    </row>
    <row r="1005" spans="3:16" x14ac:dyDescent="0.3">
      <c r="C1005" s="373"/>
      <c r="D1005" s="374"/>
      <c r="E1005" s="375"/>
      <c r="F1005" s="376"/>
      <c r="G1005" s="377"/>
      <c r="H1005" s="377"/>
      <c r="I1005" s="377"/>
      <c r="J1005" s="376"/>
      <c r="K1005" s="378"/>
      <c r="L1005" s="378"/>
      <c r="M1005" s="378"/>
      <c r="N1005" s="378"/>
      <c r="O1005" s="378"/>
      <c r="P1005" s="378"/>
    </row>
    <row r="1006" spans="3:16" x14ac:dyDescent="0.3">
      <c r="C1006" s="373"/>
      <c r="D1006" s="374"/>
      <c r="E1006" s="375"/>
      <c r="F1006" s="376"/>
      <c r="G1006" s="377"/>
      <c r="H1006" s="377"/>
      <c r="I1006" s="377"/>
      <c r="J1006" s="376"/>
      <c r="K1006" s="378"/>
      <c r="L1006" s="378"/>
      <c r="M1006" s="378"/>
      <c r="N1006" s="378"/>
      <c r="O1006" s="378"/>
      <c r="P1006" s="378"/>
    </row>
    <row r="1007" spans="3:16" x14ac:dyDescent="0.3">
      <c r="C1007" s="373"/>
      <c r="D1007" s="374"/>
      <c r="E1007" s="375"/>
      <c r="F1007" s="376"/>
      <c r="G1007" s="377"/>
      <c r="H1007" s="377"/>
      <c r="I1007" s="377"/>
      <c r="J1007" s="376"/>
      <c r="K1007" s="378"/>
      <c r="L1007" s="378"/>
      <c r="M1007" s="378"/>
      <c r="N1007" s="378"/>
      <c r="O1007" s="378"/>
      <c r="P1007" s="378"/>
    </row>
    <row r="1008" spans="3:16" x14ac:dyDescent="0.3">
      <c r="C1008" s="373"/>
      <c r="D1008" s="374"/>
      <c r="E1008" s="375"/>
      <c r="F1008" s="376"/>
      <c r="G1008" s="377"/>
      <c r="H1008" s="377"/>
      <c r="I1008" s="377"/>
      <c r="J1008" s="376"/>
      <c r="K1008" s="378"/>
      <c r="L1008" s="378"/>
      <c r="M1008" s="378"/>
      <c r="N1008" s="378"/>
      <c r="O1008" s="378"/>
      <c r="P1008" s="378"/>
    </row>
    <row r="1009" spans="3:16" x14ac:dyDescent="0.3">
      <c r="C1009" s="373"/>
      <c r="D1009" s="374"/>
      <c r="E1009" s="375"/>
      <c r="F1009" s="376"/>
      <c r="G1009" s="377"/>
      <c r="H1009" s="377"/>
      <c r="I1009" s="377"/>
      <c r="J1009" s="376"/>
      <c r="K1009" s="378"/>
      <c r="L1009" s="378"/>
      <c r="M1009" s="378"/>
      <c r="N1009" s="378"/>
      <c r="O1009" s="378"/>
      <c r="P1009" s="378"/>
    </row>
    <row r="1010" spans="3:16" x14ac:dyDescent="0.3">
      <c r="C1010" s="373"/>
      <c r="D1010" s="374"/>
      <c r="E1010" s="375"/>
      <c r="F1010" s="376"/>
      <c r="G1010" s="377"/>
      <c r="H1010" s="377"/>
      <c r="I1010" s="377"/>
      <c r="J1010" s="376"/>
      <c r="K1010" s="378"/>
      <c r="L1010" s="378"/>
      <c r="M1010" s="378"/>
      <c r="N1010" s="378"/>
      <c r="O1010" s="378"/>
      <c r="P1010" s="378"/>
    </row>
    <row r="1011" spans="3:16" x14ac:dyDescent="0.3">
      <c r="C1011" s="373"/>
      <c r="D1011" s="374"/>
      <c r="E1011" s="375"/>
      <c r="F1011" s="376"/>
      <c r="G1011" s="377"/>
      <c r="H1011" s="377"/>
      <c r="I1011" s="377"/>
      <c r="J1011" s="376"/>
      <c r="K1011" s="378"/>
      <c r="L1011" s="378"/>
      <c r="M1011" s="378"/>
      <c r="N1011" s="378"/>
      <c r="O1011" s="378"/>
      <c r="P1011" s="378"/>
    </row>
    <row r="1012" spans="3:16" x14ac:dyDescent="0.3">
      <c r="C1012" s="373"/>
      <c r="D1012" s="374"/>
      <c r="E1012" s="375"/>
      <c r="F1012" s="376"/>
      <c r="G1012" s="377"/>
      <c r="H1012" s="377"/>
      <c r="I1012" s="377"/>
      <c r="J1012" s="376"/>
      <c r="K1012" s="378"/>
      <c r="L1012" s="378"/>
      <c r="M1012" s="378"/>
      <c r="N1012" s="378"/>
      <c r="O1012" s="378"/>
      <c r="P1012" s="378"/>
    </row>
    <row r="1013" spans="3:16" x14ac:dyDescent="0.3">
      <c r="C1013" s="373"/>
      <c r="D1013" s="374"/>
      <c r="E1013" s="375"/>
      <c r="F1013" s="376"/>
      <c r="G1013" s="377"/>
      <c r="H1013" s="377"/>
      <c r="I1013" s="377"/>
      <c r="J1013" s="376"/>
      <c r="K1013" s="378"/>
      <c r="L1013" s="378"/>
      <c r="M1013" s="378"/>
      <c r="N1013" s="378"/>
      <c r="O1013" s="378"/>
      <c r="P1013" s="378"/>
    </row>
    <row r="1014" spans="3:16" x14ac:dyDescent="0.3">
      <c r="C1014" s="373"/>
      <c r="D1014" s="374"/>
      <c r="E1014" s="375"/>
      <c r="F1014" s="376"/>
      <c r="G1014" s="377"/>
      <c r="H1014" s="377"/>
      <c r="I1014" s="377"/>
      <c r="J1014" s="376"/>
      <c r="K1014" s="378"/>
      <c r="L1014" s="378"/>
      <c r="M1014" s="378"/>
      <c r="N1014" s="378"/>
      <c r="O1014" s="378"/>
      <c r="P1014" s="378"/>
    </row>
    <row r="1015" spans="3:16" x14ac:dyDescent="0.3">
      <c r="C1015" s="373"/>
      <c r="D1015" s="374"/>
      <c r="E1015" s="375"/>
      <c r="F1015" s="376"/>
      <c r="G1015" s="377"/>
      <c r="H1015" s="377"/>
      <c r="I1015" s="377"/>
      <c r="J1015" s="376"/>
      <c r="K1015" s="378"/>
      <c r="L1015" s="378"/>
      <c r="M1015" s="378"/>
      <c r="N1015" s="378"/>
      <c r="O1015" s="378"/>
      <c r="P1015" s="378"/>
    </row>
    <row r="1016" spans="3:16" x14ac:dyDescent="0.3">
      <c r="C1016" s="373"/>
      <c r="D1016" s="374"/>
      <c r="E1016" s="375"/>
      <c r="F1016" s="376"/>
      <c r="G1016" s="377"/>
      <c r="H1016" s="377"/>
      <c r="I1016" s="377"/>
      <c r="J1016" s="376"/>
      <c r="K1016" s="378"/>
      <c r="L1016" s="378"/>
      <c r="M1016" s="378"/>
      <c r="N1016" s="378"/>
      <c r="O1016" s="378"/>
      <c r="P1016" s="378"/>
    </row>
    <row r="1017" spans="3:16" x14ac:dyDescent="0.3">
      <c r="C1017" s="373"/>
      <c r="D1017" s="374"/>
      <c r="E1017" s="375"/>
      <c r="F1017" s="376"/>
      <c r="G1017" s="377"/>
      <c r="H1017" s="377"/>
      <c r="I1017" s="377"/>
      <c r="J1017" s="376"/>
      <c r="K1017" s="378"/>
      <c r="L1017" s="378"/>
      <c r="M1017" s="378"/>
      <c r="N1017" s="378"/>
      <c r="O1017" s="378"/>
      <c r="P1017" s="378"/>
    </row>
    <row r="1018" spans="3:16" x14ac:dyDescent="0.3">
      <c r="C1018" s="373"/>
      <c r="D1018" s="374"/>
      <c r="E1018" s="375"/>
      <c r="F1018" s="376"/>
      <c r="G1018" s="377"/>
      <c r="H1018" s="377"/>
      <c r="I1018" s="377"/>
      <c r="J1018" s="376"/>
      <c r="K1018" s="378"/>
      <c r="L1018" s="378"/>
      <c r="M1018" s="378"/>
      <c r="N1018" s="378"/>
      <c r="O1018" s="378"/>
      <c r="P1018" s="378"/>
    </row>
    <row r="1019" spans="3:16" x14ac:dyDescent="0.3">
      <c r="C1019" s="373"/>
      <c r="D1019" s="374"/>
      <c r="E1019" s="375"/>
      <c r="F1019" s="376"/>
      <c r="G1019" s="377"/>
      <c r="H1019" s="377"/>
      <c r="I1019" s="377"/>
      <c r="J1019" s="376"/>
      <c r="K1019" s="378"/>
      <c r="L1019" s="378"/>
      <c r="M1019" s="378"/>
      <c r="N1019" s="378"/>
      <c r="O1019" s="378"/>
      <c r="P1019" s="378"/>
    </row>
    <row r="1020" spans="3:16" x14ac:dyDescent="0.3">
      <c r="C1020" s="373"/>
      <c r="D1020" s="374"/>
      <c r="E1020" s="375"/>
      <c r="F1020" s="376"/>
      <c r="G1020" s="377"/>
      <c r="H1020" s="377"/>
      <c r="I1020" s="377"/>
      <c r="J1020" s="376"/>
      <c r="K1020" s="378"/>
      <c r="L1020" s="378"/>
      <c r="M1020" s="378"/>
      <c r="N1020" s="378"/>
      <c r="O1020" s="378"/>
      <c r="P1020" s="378"/>
    </row>
    <row r="1021" spans="3:16" x14ac:dyDescent="0.3">
      <c r="C1021" s="373"/>
      <c r="D1021" s="374"/>
      <c r="E1021" s="375"/>
      <c r="F1021" s="376"/>
      <c r="G1021" s="377"/>
      <c r="H1021" s="377"/>
      <c r="I1021" s="377"/>
      <c r="J1021" s="376"/>
      <c r="K1021" s="378"/>
      <c r="L1021" s="378"/>
      <c r="M1021" s="378"/>
      <c r="N1021" s="378"/>
      <c r="O1021" s="378"/>
      <c r="P1021" s="378"/>
    </row>
    <row r="1022" spans="3:16" x14ac:dyDescent="0.3">
      <c r="C1022" s="373"/>
      <c r="D1022" s="374"/>
      <c r="E1022" s="375"/>
      <c r="F1022" s="376"/>
      <c r="G1022" s="377"/>
      <c r="H1022" s="377"/>
      <c r="I1022" s="377"/>
      <c r="J1022" s="376"/>
      <c r="K1022" s="378"/>
      <c r="L1022" s="378"/>
      <c r="M1022" s="378"/>
      <c r="N1022" s="378"/>
      <c r="O1022" s="378"/>
      <c r="P1022" s="378"/>
    </row>
    <row r="1023" spans="3:16" x14ac:dyDescent="0.3">
      <c r="C1023" s="373"/>
      <c r="D1023" s="374"/>
      <c r="E1023" s="375"/>
      <c r="F1023" s="376"/>
      <c r="G1023" s="377"/>
      <c r="H1023" s="377"/>
      <c r="I1023" s="377"/>
      <c r="J1023" s="376"/>
      <c r="K1023" s="378"/>
      <c r="L1023" s="378"/>
      <c r="M1023" s="378"/>
      <c r="N1023" s="378"/>
      <c r="O1023" s="378"/>
      <c r="P1023" s="378"/>
    </row>
    <row r="1024" spans="3:16" x14ac:dyDescent="0.3">
      <c r="C1024" s="373"/>
      <c r="D1024" s="374"/>
      <c r="E1024" s="375"/>
      <c r="F1024" s="376"/>
      <c r="G1024" s="377"/>
      <c r="H1024" s="377"/>
      <c r="I1024" s="377"/>
      <c r="J1024" s="376"/>
      <c r="K1024" s="378"/>
      <c r="L1024" s="378"/>
      <c r="M1024" s="378"/>
      <c r="N1024" s="378"/>
      <c r="O1024" s="378"/>
      <c r="P1024" s="378"/>
    </row>
    <row r="1025" spans="3:16" x14ac:dyDescent="0.3">
      <c r="C1025" s="373"/>
      <c r="D1025" s="374"/>
      <c r="E1025" s="375"/>
      <c r="F1025" s="376"/>
      <c r="G1025" s="377"/>
      <c r="H1025" s="377"/>
      <c r="I1025" s="377"/>
      <c r="J1025" s="376"/>
      <c r="K1025" s="378"/>
      <c r="L1025" s="378"/>
      <c r="M1025" s="378"/>
      <c r="N1025" s="378"/>
      <c r="O1025" s="378"/>
      <c r="P1025" s="378"/>
    </row>
    <row r="1026" spans="3:16" x14ac:dyDescent="0.3">
      <c r="C1026" s="373"/>
      <c r="D1026" s="374"/>
      <c r="E1026" s="375"/>
      <c r="F1026" s="376"/>
      <c r="G1026" s="377"/>
      <c r="H1026" s="377"/>
      <c r="I1026" s="377"/>
      <c r="J1026" s="376"/>
      <c r="K1026" s="378"/>
      <c r="L1026" s="378"/>
      <c r="M1026" s="378"/>
      <c r="N1026" s="378"/>
      <c r="O1026" s="378"/>
      <c r="P1026" s="378"/>
    </row>
    <row r="1027" spans="3:16" x14ac:dyDescent="0.3">
      <c r="C1027" s="373"/>
      <c r="D1027" s="374"/>
      <c r="E1027" s="375"/>
      <c r="F1027" s="376"/>
      <c r="G1027" s="377"/>
      <c r="H1027" s="377"/>
      <c r="I1027" s="377"/>
      <c r="J1027" s="376"/>
      <c r="K1027" s="378"/>
      <c r="L1027" s="378"/>
      <c r="M1027" s="378"/>
      <c r="N1027" s="378"/>
      <c r="O1027" s="378"/>
      <c r="P1027" s="378"/>
    </row>
    <row r="1028" spans="3:16" x14ac:dyDescent="0.3">
      <c r="C1028" s="373"/>
      <c r="D1028" s="374"/>
      <c r="E1028" s="375"/>
      <c r="F1028" s="376"/>
      <c r="G1028" s="377"/>
      <c r="H1028" s="377"/>
      <c r="I1028" s="377"/>
      <c r="J1028" s="376"/>
      <c r="K1028" s="378"/>
      <c r="L1028" s="378"/>
      <c r="M1028" s="378"/>
      <c r="N1028" s="378"/>
      <c r="O1028" s="378"/>
      <c r="P1028" s="378"/>
    </row>
    <row r="1029" spans="3:16" x14ac:dyDescent="0.3">
      <c r="C1029" s="373"/>
      <c r="D1029" s="374"/>
      <c r="E1029" s="375"/>
      <c r="F1029" s="376"/>
      <c r="G1029" s="377"/>
      <c r="H1029" s="377"/>
      <c r="I1029" s="377"/>
      <c r="J1029" s="376"/>
      <c r="K1029" s="378"/>
      <c r="L1029" s="378"/>
      <c r="M1029" s="378"/>
      <c r="N1029" s="378"/>
      <c r="O1029" s="378"/>
      <c r="P1029" s="378"/>
    </row>
    <row r="1030" spans="3:16" x14ac:dyDescent="0.3">
      <c r="C1030" s="373"/>
      <c r="D1030" s="374"/>
      <c r="E1030" s="375"/>
      <c r="F1030" s="376"/>
      <c r="G1030" s="377"/>
      <c r="H1030" s="377"/>
      <c r="I1030" s="377"/>
      <c r="J1030" s="376"/>
      <c r="K1030" s="378"/>
      <c r="L1030" s="378"/>
      <c r="M1030" s="378"/>
      <c r="N1030" s="378"/>
      <c r="O1030" s="378"/>
      <c r="P1030" s="378"/>
    </row>
    <row r="1031" spans="3:16" x14ac:dyDescent="0.3">
      <c r="C1031" s="379"/>
      <c r="D1031" s="312"/>
      <c r="E1031" s="380"/>
      <c r="F1031" s="314"/>
      <c r="G1031" s="315"/>
      <c r="H1031" s="315"/>
      <c r="I1031" s="315"/>
      <c r="J1031" s="314"/>
      <c r="K1031" s="316"/>
      <c r="L1031" s="316"/>
      <c r="M1031" s="316"/>
      <c r="N1031" s="316"/>
      <c r="O1031" s="316"/>
      <c r="P1031" s="316"/>
    </row>
    <row r="1032" spans="3:16" x14ac:dyDescent="0.3">
      <c r="C1032" s="373"/>
      <c r="D1032" s="374"/>
      <c r="E1032" s="375"/>
      <c r="F1032" s="376"/>
      <c r="G1032" s="377"/>
      <c r="H1032" s="377"/>
      <c r="I1032" s="377"/>
      <c r="J1032" s="376"/>
      <c r="K1032" s="378"/>
      <c r="L1032" s="378"/>
      <c r="M1032" s="378"/>
      <c r="N1032" s="378"/>
      <c r="O1032" s="378"/>
      <c r="P1032" s="378"/>
    </row>
    <row r="1033" spans="3:16" x14ac:dyDescent="0.3">
      <c r="C1033" s="373"/>
      <c r="D1033" s="374"/>
      <c r="E1033" s="375"/>
      <c r="F1033" s="376"/>
      <c r="G1033" s="377"/>
      <c r="H1033" s="377"/>
      <c r="I1033" s="377"/>
      <c r="J1033" s="376"/>
      <c r="K1033" s="378"/>
      <c r="L1033" s="378"/>
      <c r="M1033" s="378"/>
      <c r="N1033" s="378"/>
      <c r="O1033" s="378"/>
      <c r="P1033" s="378"/>
    </row>
    <row r="1034" spans="3:16" x14ac:dyDescent="0.3">
      <c r="C1034" s="373"/>
      <c r="D1034" s="374"/>
      <c r="E1034" s="375"/>
      <c r="F1034" s="376"/>
      <c r="G1034" s="377"/>
      <c r="H1034" s="377"/>
      <c r="I1034" s="377"/>
      <c r="J1034" s="376"/>
      <c r="K1034" s="378"/>
      <c r="L1034" s="378"/>
      <c r="M1034" s="378"/>
      <c r="N1034" s="378"/>
      <c r="O1034" s="378"/>
      <c r="P1034" s="378"/>
    </row>
    <row r="1035" spans="3:16" x14ac:dyDescent="0.3">
      <c r="C1035" s="373"/>
      <c r="D1035" s="374"/>
      <c r="E1035" s="375"/>
      <c r="F1035" s="376"/>
      <c r="G1035" s="377"/>
      <c r="H1035" s="377"/>
      <c r="I1035" s="377"/>
      <c r="J1035" s="376"/>
      <c r="K1035" s="378"/>
      <c r="L1035" s="378"/>
      <c r="M1035" s="378"/>
      <c r="N1035" s="378"/>
      <c r="O1035" s="378"/>
      <c r="P1035" s="378"/>
    </row>
    <row r="1036" spans="3:16" x14ac:dyDescent="0.3">
      <c r="C1036" s="373"/>
      <c r="D1036" s="374"/>
      <c r="E1036" s="375"/>
      <c r="F1036" s="376"/>
      <c r="G1036" s="377"/>
      <c r="H1036" s="377"/>
      <c r="I1036" s="377"/>
      <c r="J1036" s="376"/>
      <c r="K1036" s="378"/>
      <c r="L1036" s="378"/>
      <c r="M1036" s="378"/>
      <c r="N1036" s="378"/>
      <c r="O1036" s="378"/>
      <c r="P1036" s="378"/>
    </row>
    <row r="1037" spans="3:16" x14ac:dyDescent="0.3">
      <c r="C1037" s="373"/>
      <c r="D1037" s="374"/>
      <c r="E1037" s="375"/>
      <c r="F1037" s="376"/>
      <c r="G1037" s="377"/>
      <c r="H1037" s="377"/>
      <c r="I1037" s="377"/>
      <c r="J1037" s="376"/>
      <c r="K1037" s="378"/>
      <c r="L1037" s="378"/>
      <c r="M1037" s="378"/>
      <c r="N1037" s="378"/>
      <c r="O1037" s="378"/>
      <c r="P1037" s="378"/>
    </row>
    <row r="1038" spans="3:16" x14ac:dyDescent="0.3">
      <c r="C1038" s="373"/>
      <c r="D1038" s="374"/>
      <c r="E1038" s="375"/>
      <c r="F1038" s="376"/>
      <c r="G1038" s="377"/>
      <c r="H1038" s="377"/>
      <c r="I1038" s="377"/>
      <c r="J1038" s="376"/>
      <c r="K1038" s="378"/>
      <c r="L1038" s="378"/>
      <c r="M1038" s="378"/>
      <c r="N1038" s="378"/>
      <c r="O1038" s="378"/>
      <c r="P1038" s="378"/>
    </row>
    <row r="1039" spans="3:16" x14ac:dyDescent="0.3">
      <c r="C1039" s="373"/>
      <c r="D1039" s="374"/>
      <c r="E1039" s="375"/>
      <c r="F1039" s="376"/>
      <c r="G1039" s="377"/>
      <c r="H1039" s="377"/>
      <c r="I1039" s="377"/>
      <c r="J1039" s="376"/>
      <c r="K1039" s="378"/>
      <c r="L1039" s="378"/>
      <c r="M1039" s="378"/>
      <c r="N1039" s="378"/>
      <c r="O1039" s="378"/>
      <c r="P1039" s="378"/>
    </row>
    <row r="1040" spans="3:16" x14ac:dyDescent="0.3">
      <c r="C1040" s="373"/>
      <c r="D1040" s="374"/>
      <c r="E1040" s="375"/>
      <c r="F1040" s="376"/>
      <c r="G1040" s="377"/>
      <c r="H1040" s="377"/>
      <c r="I1040" s="377"/>
      <c r="J1040" s="376"/>
      <c r="K1040" s="378"/>
      <c r="L1040" s="378"/>
      <c r="M1040" s="378"/>
      <c r="N1040" s="378"/>
      <c r="O1040" s="378"/>
      <c r="P1040" s="378"/>
    </row>
    <row r="1041" spans="3:16" x14ac:dyDescent="0.3">
      <c r="C1041" s="373"/>
      <c r="D1041" s="374"/>
      <c r="E1041" s="375"/>
      <c r="F1041" s="376"/>
      <c r="G1041" s="377"/>
      <c r="H1041" s="377"/>
      <c r="I1041" s="377"/>
      <c r="J1041" s="376"/>
      <c r="K1041" s="378"/>
      <c r="L1041" s="378"/>
      <c r="M1041" s="378"/>
      <c r="N1041" s="378"/>
      <c r="O1041" s="378"/>
      <c r="P1041" s="378"/>
    </row>
    <row r="1042" spans="3:16" x14ac:dyDescent="0.3">
      <c r="C1042" s="373"/>
      <c r="D1042" s="374"/>
      <c r="E1042" s="375"/>
      <c r="F1042" s="376"/>
      <c r="G1042" s="377"/>
      <c r="H1042" s="377"/>
      <c r="I1042" s="377"/>
      <c r="J1042" s="376"/>
      <c r="K1042" s="378"/>
      <c r="L1042" s="378"/>
      <c r="M1042" s="378"/>
      <c r="N1042" s="378"/>
      <c r="O1042" s="378"/>
      <c r="P1042" s="378"/>
    </row>
    <row r="1043" spans="3:16" x14ac:dyDescent="0.3">
      <c r="C1043" s="373"/>
      <c r="D1043" s="374"/>
      <c r="E1043" s="375"/>
      <c r="F1043" s="376"/>
      <c r="G1043" s="377"/>
      <c r="H1043" s="377"/>
      <c r="I1043" s="377"/>
      <c r="J1043" s="376"/>
      <c r="K1043" s="378"/>
      <c r="L1043" s="378"/>
      <c r="M1043" s="378"/>
      <c r="N1043" s="378"/>
      <c r="O1043" s="378"/>
      <c r="P1043" s="378"/>
    </row>
    <row r="1044" spans="3:16" x14ac:dyDescent="0.3">
      <c r="C1044" s="373"/>
      <c r="D1044" s="374"/>
      <c r="E1044" s="375"/>
      <c r="F1044" s="376"/>
      <c r="G1044" s="377"/>
      <c r="H1044" s="377"/>
      <c r="I1044" s="377"/>
      <c r="J1044" s="376"/>
      <c r="K1044" s="378"/>
      <c r="L1044" s="378"/>
      <c r="M1044" s="378"/>
      <c r="N1044" s="378"/>
      <c r="O1044" s="378"/>
      <c r="P1044" s="378"/>
    </row>
    <row r="1045" spans="3:16" x14ac:dyDescent="0.3">
      <c r="C1045" s="373"/>
      <c r="D1045" s="374"/>
      <c r="E1045" s="375"/>
      <c r="F1045" s="376"/>
      <c r="G1045" s="377"/>
      <c r="H1045" s="377"/>
      <c r="I1045" s="377"/>
      <c r="J1045" s="376"/>
      <c r="K1045" s="378"/>
      <c r="L1045" s="378"/>
      <c r="M1045" s="378"/>
      <c r="N1045" s="378"/>
      <c r="O1045" s="378"/>
      <c r="P1045" s="378"/>
    </row>
    <row r="1046" spans="3:16" x14ac:dyDescent="0.3">
      <c r="C1046" s="373"/>
      <c r="D1046" s="374"/>
      <c r="E1046" s="375"/>
      <c r="F1046" s="376"/>
      <c r="G1046" s="377"/>
      <c r="H1046" s="377"/>
      <c r="I1046" s="377"/>
      <c r="J1046" s="376"/>
      <c r="K1046" s="378"/>
      <c r="L1046" s="378"/>
      <c r="M1046" s="378"/>
      <c r="N1046" s="378"/>
      <c r="O1046" s="378"/>
      <c r="P1046" s="378"/>
    </row>
    <row r="1047" spans="3:16" x14ac:dyDescent="0.3">
      <c r="C1047" s="373"/>
      <c r="D1047" s="374"/>
      <c r="E1047" s="375"/>
      <c r="F1047" s="376"/>
      <c r="G1047" s="377"/>
      <c r="H1047" s="377"/>
      <c r="I1047" s="377"/>
      <c r="J1047" s="376"/>
      <c r="K1047" s="378"/>
      <c r="L1047" s="378"/>
      <c r="M1047" s="378"/>
      <c r="N1047" s="378"/>
      <c r="O1047" s="378"/>
      <c r="P1047" s="378"/>
    </row>
    <row r="1048" spans="3:16" x14ac:dyDescent="0.3">
      <c r="C1048" s="373"/>
      <c r="D1048" s="374"/>
      <c r="E1048" s="375"/>
      <c r="F1048" s="376"/>
      <c r="G1048" s="377"/>
      <c r="H1048" s="377"/>
      <c r="I1048" s="377"/>
      <c r="J1048" s="376"/>
      <c r="K1048" s="378"/>
      <c r="L1048" s="378"/>
      <c r="M1048" s="378"/>
      <c r="N1048" s="378"/>
      <c r="O1048" s="378"/>
      <c r="P1048" s="378"/>
    </row>
    <row r="1049" spans="3:16" x14ac:dyDescent="0.3">
      <c r="C1049" s="373"/>
      <c r="D1049" s="374"/>
      <c r="E1049" s="375"/>
      <c r="F1049" s="376"/>
      <c r="G1049" s="377"/>
      <c r="H1049" s="377"/>
      <c r="I1049" s="377"/>
      <c r="J1049" s="376"/>
      <c r="K1049" s="378"/>
      <c r="L1049" s="378"/>
      <c r="M1049" s="378"/>
      <c r="N1049" s="378"/>
      <c r="O1049" s="378"/>
      <c r="P1049" s="378"/>
    </row>
    <row r="1050" spans="3:16" x14ac:dyDescent="0.3">
      <c r="C1050" s="373"/>
      <c r="D1050" s="374"/>
      <c r="E1050" s="375"/>
      <c r="F1050" s="376"/>
      <c r="G1050" s="377"/>
      <c r="H1050" s="377"/>
      <c r="I1050" s="377"/>
      <c r="J1050" s="376"/>
      <c r="K1050" s="378"/>
      <c r="L1050" s="378"/>
      <c r="M1050" s="378"/>
      <c r="N1050" s="378"/>
      <c r="O1050" s="378"/>
      <c r="P1050" s="378"/>
    </row>
    <row r="1051" spans="3:16" x14ac:dyDescent="0.3">
      <c r="C1051" s="373"/>
      <c r="D1051" s="374"/>
      <c r="E1051" s="375"/>
      <c r="F1051" s="376"/>
      <c r="G1051" s="377"/>
      <c r="H1051" s="377"/>
      <c r="I1051" s="377"/>
      <c r="J1051" s="376"/>
      <c r="K1051" s="378"/>
      <c r="L1051" s="378"/>
      <c r="M1051" s="378"/>
      <c r="N1051" s="378"/>
      <c r="O1051" s="378"/>
      <c r="P1051" s="378"/>
    </row>
    <row r="1052" spans="3:16" x14ac:dyDescent="0.3">
      <c r="C1052" s="373"/>
      <c r="D1052" s="374"/>
      <c r="E1052" s="375"/>
      <c r="F1052" s="376"/>
      <c r="G1052" s="377"/>
      <c r="H1052" s="377"/>
      <c r="I1052" s="377"/>
      <c r="J1052" s="376"/>
      <c r="K1052" s="378"/>
      <c r="L1052" s="378"/>
      <c r="M1052" s="378"/>
      <c r="N1052" s="378"/>
      <c r="O1052" s="378"/>
      <c r="P1052" s="378"/>
    </row>
    <row r="1053" spans="3:16" x14ac:dyDescent="0.3">
      <c r="C1053" s="373"/>
      <c r="D1053" s="374"/>
      <c r="E1053" s="375"/>
      <c r="F1053" s="376"/>
      <c r="G1053" s="377"/>
      <c r="H1053" s="377"/>
      <c r="I1053" s="377"/>
      <c r="J1053" s="376"/>
      <c r="K1053" s="378"/>
      <c r="L1053" s="378"/>
      <c r="M1053" s="378"/>
      <c r="N1053" s="378"/>
      <c r="O1053" s="378"/>
      <c r="P1053" s="378"/>
    </row>
    <row r="1054" spans="3:16" x14ac:dyDescent="0.3">
      <c r="C1054" s="373"/>
      <c r="D1054" s="374"/>
      <c r="E1054" s="375"/>
      <c r="F1054" s="376"/>
      <c r="G1054" s="377"/>
      <c r="H1054" s="377"/>
      <c r="I1054" s="377"/>
      <c r="J1054" s="376"/>
      <c r="K1054" s="378"/>
      <c r="L1054" s="378"/>
      <c r="M1054" s="378"/>
      <c r="N1054" s="378"/>
      <c r="O1054" s="378"/>
      <c r="P1054" s="378"/>
    </row>
    <row r="1055" spans="3:16" x14ac:dyDescent="0.3">
      <c r="C1055" s="373"/>
      <c r="D1055" s="374"/>
      <c r="E1055" s="375"/>
      <c r="F1055" s="376"/>
      <c r="G1055" s="377"/>
      <c r="H1055" s="377"/>
      <c r="I1055" s="377"/>
      <c r="J1055" s="376"/>
      <c r="K1055" s="378"/>
      <c r="L1055" s="378"/>
      <c r="M1055" s="378"/>
      <c r="N1055" s="378"/>
      <c r="O1055" s="378"/>
      <c r="P1055" s="378"/>
    </row>
    <row r="1056" spans="3:16" x14ac:dyDescent="0.3">
      <c r="C1056" s="373"/>
      <c r="D1056" s="374"/>
      <c r="E1056" s="375"/>
      <c r="F1056" s="376"/>
      <c r="G1056" s="377"/>
      <c r="H1056" s="377"/>
      <c r="I1056" s="377"/>
      <c r="J1056" s="376"/>
      <c r="K1056" s="378"/>
      <c r="L1056" s="378"/>
      <c r="M1056" s="378"/>
      <c r="N1056" s="378"/>
      <c r="O1056" s="378"/>
      <c r="P1056" s="378"/>
    </row>
    <row r="1057" spans="3:16" x14ac:dyDescent="0.3">
      <c r="C1057" s="373"/>
      <c r="D1057" s="374"/>
      <c r="E1057" s="375"/>
      <c r="F1057" s="376"/>
      <c r="G1057" s="377"/>
      <c r="H1057" s="377"/>
      <c r="I1057" s="377"/>
      <c r="J1057" s="376"/>
      <c r="K1057" s="378"/>
      <c r="L1057" s="378"/>
      <c r="M1057" s="378"/>
      <c r="N1057" s="378"/>
      <c r="O1057" s="378"/>
      <c r="P1057" s="378"/>
    </row>
    <row r="1058" spans="3:16" x14ac:dyDescent="0.3">
      <c r="C1058" s="373"/>
      <c r="D1058" s="374"/>
      <c r="E1058" s="375"/>
      <c r="F1058" s="376"/>
      <c r="G1058" s="377"/>
      <c r="H1058" s="377"/>
      <c r="I1058" s="377"/>
      <c r="J1058" s="376"/>
      <c r="K1058" s="378"/>
      <c r="L1058" s="378"/>
      <c r="M1058" s="378"/>
      <c r="N1058" s="378"/>
      <c r="O1058" s="378"/>
      <c r="P1058" s="378"/>
    </row>
    <row r="1059" spans="3:16" x14ac:dyDescent="0.3">
      <c r="C1059" s="373"/>
      <c r="D1059" s="374"/>
      <c r="E1059" s="375"/>
      <c r="F1059" s="376"/>
      <c r="G1059" s="377"/>
      <c r="H1059" s="377"/>
      <c r="I1059" s="377"/>
      <c r="J1059" s="376"/>
      <c r="K1059" s="378"/>
      <c r="L1059" s="378"/>
      <c r="M1059" s="378"/>
      <c r="N1059" s="378"/>
      <c r="O1059" s="378"/>
      <c r="P1059" s="378"/>
    </row>
    <row r="1060" spans="3:16" x14ac:dyDescent="0.3">
      <c r="C1060" s="373"/>
      <c r="D1060" s="374"/>
      <c r="E1060" s="375"/>
      <c r="F1060" s="376"/>
      <c r="G1060" s="377"/>
      <c r="H1060" s="377"/>
      <c r="I1060" s="377"/>
      <c r="J1060" s="376"/>
      <c r="K1060" s="378"/>
      <c r="L1060" s="378"/>
      <c r="M1060" s="378"/>
      <c r="N1060" s="378"/>
      <c r="O1060" s="378"/>
      <c r="P1060" s="378"/>
    </row>
    <row r="1061" spans="3:16" x14ac:dyDescent="0.3">
      <c r="C1061" s="373"/>
      <c r="D1061" s="374"/>
      <c r="E1061" s="375"/>
      <c r="F1061" s="376"/>
      <c r="G1061" s="377"/>
      <c r="H1061" s="377"/>
      <c r="I1061" s="377"/>
      <c r="J1061" s="376"/>
      <c r="K1061" s="378"/>
      <c r="L1061" s="378"/>
      <c r="M1061" s="378"/>
      <c r="N1061" s="378"/>
      <c r="O1061" s="378"/>
      <c r="P1061" s="378"/>
    </row>
    <row r="1062" spans="3:16" x14ac:dyDescent="0.3">
      <c r="C1062" s="373"/>
      <c r="D1062" s="374"/>
      <c r="E1062" s="375"/>
      <c r="F1062" s="376"/>
      <c r="G1062" s="377"/>
      <c r="H1062" s="377"/>
      <c r="I1062" s="377"/>
      <c r="J1062" s="376"/>
      <c r="K1062" s="378"/>
      <c r="L1062" s="378"/>
      <c r="M1062" s="378"/>
      <c r="N1062" s="378"/>
      <c r="O1062" s="378"/>
      <c r="P1062" s="378"/>
    </row>
    <row r="1063" spans="3:16" x14ac:dyDescent="0.3">
      <c r="C1063" s="373"/>
      <c r="D1063" s="374"/>
      <c r="E1063" s="375"/>
      <c r="F1063" s="376"/>
      <c r="G1063" s="377"/>
      <c r="H1063" s="377"/>
      <c r="I1063" s="377"/>
      <c r="J1063" s="376"/>
      <c r="K1063" s="378"/>
      <c r="L1063" s="378"/>
      <c r="M1063" s="378"/>
      <c r="N1063" s="378"/>
      <c r="O1063" s="378"/>
      <c r="P1063" s="378"/>
    </row>
    <row r="1064" spans="3:16" x14ac:dyDescent="0.3">
      <c r="C1064" s="373"/>
      <c r="D1064" s="374"/>
      <c r="E1064" s="375"/>
      <c r="F1064" s="376"/>
      <c r="G1064" s="377"/>
      <c r="H1064" s="377"/>
      <c r="I1064" s="377"/>
      <c r="J1064" s="376"/>
      <c r="K1064" s="378"/>
      <c r="L1064" s="378"/>
      <c r="M1064" s="378"/>
      <c r="N1064" s="378"/>
      <c r="O1064" s="378"/>
      <c r="P1064" s="378"/>
    </row>
    <row r="1065" spans="3:16" x14ac:dyDescent="0.3">
      <c r="C1065" s="373"/>
      <c r="D1065" s="374"/>
      <c r="E1065" s="375"/>
      <c r="F1065" s="376"/>
      <c r="G1065" s="377"/>
      <c r="H1065" s="377"/>
      <c r="I1065" s="377"/>
      <c r="J1065" s="376"/>
      <c r="K1065" s="378"/>
      <c r="L1065" s="378"/>
      <c r="M1065" s="378"/>
      <c r="N1065" s="378"/>
      <c r="O1065" s="378"/>
      <c r="P1065" s="378"/>
    </row>
    <row r="1066" spans="3:16" x14ac:dyDescent="0.3">
      <c r="C1066" s="373"/>
      <c r="D1066" s="374"/>
      <c r="E1066" s="375"/>
      <c r="F1066" s="376"/>
      <c r="G1066" s="377"/>
      <c r="H1066" s="377"/>
      <c r="I1066" s="377"/>
      <c r="J1066" s="376"/>
      <c r="K1066" s="378"/>
      <c r="L1066" s="378"/>
      <c r="M1066" s="378"/>
      <c r="N1066" s="378"/>
      <c r="O1066" s="378"/>
      <c r="P1066" s="378"/>
    </row>
    <row r="1067" spans="3:16" x14ac:dyDescent="0.3">
      <c r="C1067" s="373"/>
      <c r="D1067" s="374"/>
      <c r="E1067" s="375"/>
      <c r="F1067" s="376"/>
      <c r="G1067" s="377"/>
      <c r="H1067" s="377"/>
      <c r="I1067" s="377"/>
      <c r="J1067" s="376"/>
      <c r="K1067" s="378"/>
      <c r="L1067" s="378"/>
      <c r="M1067" s="378"/>
      <c r="N1067" s="378"/>
      <c r="O1067" s="378"/>
      <c r="P1067" s="378"/>
    </row>
    <row r="1068" spans="3:16" x14ac:dyDescent="0.3">
      <c r="C1068" s="373"/>
      <c r="D1068" s="374"/>
      <c r="E1068" s="375"/>
      <c r="F1068" s="376"/>
      <c r="G1068" s="377"/>
      <c r="H1068" s="377"/>
      <c r="I1068" s="377"/>
      <c r="J1068" s="376"/>
      <c r="K1068" s="378"/>
      <c r="L1068" s="378"/>
      <c r="M1068" s="378"/>
      <c r="N1068" s="378"/>
      <c r="O1068" s="378"/>
      <c r="P1068" s="378"/>
    </row>
    <row r="1069" spans="3:16" x14ac:dyDescent="0.3">
      <c r="C1069" s="373"/>
      <c r="D1069" s="374"/>
      <c r="E1069" s="375"/>
      <c r="F1069" s="376"/>
      <c r="G1069" s="377"/>
      <c r="H1069" s="377"/>
      <c r="I1069" s="377"/>
      <c r="J1069" s="376"/>
      <c r="K1069" s="378"/>
      <c r="L1069" s="378"/>
      <c r="M1069" s="378"/>
      <c r="N1069" s="378"/>
      <c r="O1069" s="378"/>
      <c r="P1069" s="378"/>
    </row>
    <row r="1070" spans="3:16" x14ac:dyDescent="0.3">
      <c r="C1070" s="373"/>
      <c r="D1070" s="374"/>
      <c r="E1070" s="375"/>
      <c r="F1070" s="376"/>
      <c r="G1070" s="377"/>
      <c r="H1070" s="377"/>
      <c r="I1070" s="377"/>
      <c r="J1070" s="376"/>
      <c r="K1070" s="378"/>
      <c r="L1070" s="378"/>
      <c r="M1070" s="378"/>
      <c r="N1070" s="378"/>
      <c r="O1070" s="378"/>
      <c r="P1070" s="378"/>
    </row>
    <row r="1071" spans="3:16" x14ac:dyDescent="0.3">
      <c r="C1071" s="373"/>
      <c r="D1071" s="374"/>
      <c r="E1071" s="375"/>
      <c r="F1071" s="376"/>
      <c r="G1071" s="377"/>
      <c r="H1071" s="377"/>
      <c r="I1071" s="377"/>
      <c r="J1071" s="376"/>
      <c r="K1071" s="378"/>
      <c r="L1071" s="378"/>
      <c r="M1071" s="378"/>
      <c r="N1071" s="378"/>
      <c r="O1071" s="378"/>
      <c r="P1071" s="378"/>
    </row>
    <row r="1072" spans="3:16" x14ac:dyDescent="0.3">
      <c r="C1072" s="373"/>
      <c r="D1072" s="374"/>
      <c r="E1072" s="375"/>
      <c r="F1072" s="376"/>
      <c r="G1072" s="377"/>
      <c r="H1072" s="377"/>
      <c r="I1072" s="377"/>
      <c r="J1072" s="376"/>
      <c r="K1072" s="378"/>
      <c r="L1072" s="378"/>
      <c r="M1072" s="378"/>
      <c r="N1072" s="378"/>
      <c r="O1072" s="378"/>
      <c r="P1072" s="378"/>
    </row>
    <row r="1073" spans="3:16" x14ac:dyDescent="0.3">
      <c r="C1073" s="379"/>
      <c r="D1073" s="312"/>
      <c r="E1073" s="380"/>
      <c r="F1073" s="314"/>
      <c r="G1073" s="315"/>
      <c r="H1073" s="315"/>
      <c r="I1073" s="315"/>
      <c r="J1073" s="314"/>
      <c r="K1073" s="316"/>
      <c r="L1073" s="316"/>
      <c r="M1073" s="316"/>
      <c r="N1073" s="316"/>
      <c r="O1073" s="316"/>
      <c r="P1073" s="316"/>
    </row>
    <row r="1074" spans="3:16" x14ac:dyDescent="0.3">
      <c r="C1074" s="373"/>
      <c r="D1074" s="374"/>
      <c r="E1074" s="375"/>
      <c r="F1074" s="376"/>
      <c r="G1074" s="377"/>
      <c r="H1074" s="377"/>
      <c r="I1074" s="377"/>
      <c r="J1074" s="376"/>
      <c r="K1074" s="378"/>
      <c r="L1074" s="378"/>
      <c r="M1074" s="378"/>
      <c r="N1074" s="378"/>
      <c r="O1074" s="378"/>
      <c r="P1074" s="378"/>
    </row>
    <row r="1075" spans="3:16" x14ac:dyDescent="0.3">
      <c r="C1075" s="373"/>
      <c r="D1075" s="374"/>
      <c r="E1075" s="375"/>
      <c r="F1075" s="376"/>
      <c r="G1075" s="377"/>
      <c r="H1075" s="377"/>
      <c r="I1075" s="377"/>
      <c r="J1075" s="376"/>
      <c r="K1075" s="378"/>
      <c r="L1075" s="378"/>
      <c r="M1075" s="378"/>
      <c r="N1075" s="378"/>
      <c r="O1075" s="378"/>
      <c r="P1075" s="378"/>
    </row>
    <row r="1076" spans="3:16" x14ac:dyDescent="0.3">
      <c r="C1076" s="373"/>
      <c r="D1076" s="374"/>
      <c r="E1076" s="375"/>
      <c r="F1076" s="376"/>
      <c r="G1076" s="377"/>
      <c r="H1076" s="377"/>
      <c r="I1076" s="377"/>
      <c r="J1076" s="376"/>
      <c r="K1076" s="378"/>
      <c r="L1076" s="378"/>
      <c r="M1076" s="378"/>
      <c r="N1076" s="378"/>
      <c r="O1076" s="378"/>
      <c r="P1076" s="378"/>
    </row>
    <row r="1077" spans="3:16" x14ac:dyDescent="0.3">
      <c r="C1077" s="373"/>
      <c r="D1077" s="374"/>
      <c r="E1077" s="375"/>
      <c r="F1077" s="376"/>
      <c r="G1077" s="377"/>
      <c r="H1077" s="377"/>
      <c r="I1077" s="377"/>
      <c r="J1077" s="376"/>
      <c r="K1077" s="378"/>
      <c r="L1077" s="378"/>
      <c r="M1077" s="378"/>
      <c r="N1077" s="378"/>
      <c r="O1077" s="378"/>
      <c r="P1077" s="378"/>
    </row>
    <row r="1078" spans="3:16" x14ac:dyDescent="0.3">
      <c r="C1078" s="373"/>
      <c r="D1078" s="374"/>
      <c r="E1078" s="375"/>
      <c r="F1078" s="376"/>
      <c r="G1078" s="377"/>
      <c r="H1078" s="377"/>
      <c r="I1078" s="377"/>
      <c r="J1078" s="376"/>
      <c r="K1078" s="378"/>
      <c r="L1078" s="378"/>
      <c r="M1078" s="378"/>
      <c r="N1078" s="378"/>
      <c r="O1078" s="378"/>
      <c r="P1078" s="378"/>
    </row>
    <row r="1079" spans="3:16" x14ac:dyDescent="0.3">
      <c r="C1079" s="373"/>
      <c r="D1079" s="374"/>
      <c r="E1079" s="375"/>
      <c r="F1079" s="376"/>
      <c r="G1079" s="377"/>
      <c r="H1079" s="377"/>
      <c r="I1079" s="377"/>
      <c r="J1079" s="376"/>
      <c r="K1079" s="378"/>
      <c r="L1079" s="378"/>
      <c r="M1079" s="378"/>
      <c r="N1079" s="378"/>
      <c r="O1079" s="378"/>
      <c r="P1079" s="378"/>
    </row>
    <row r="1080" spans="3:16" x14ac:dyDescent="0.3">
      <c r="C1080" s="373"/>
      <c r="D1080" s="374"/>
      <c r="E1080" s="375"/>
      <c r="F1080" s="376"/>
      <c r="G1080" s="377"/>
      <c r="H1080" s="377"/>
      <c r="I1080" s="377"/>
      <c r="J1080" s="376"/>
      <c r="K1080" s="378"/>
      <c r="L1080" s="378"/>
      <c r="M1080" s="378"/>
      <c r="N1080" s="378"/>
      <c r="O1080" s="378"/>
      <c r="P1080" s="378"/>
    </row>
    <row r="1081" spans="3:16" x14ac:dyDescent="0.3">
      <c r="C1081" s="373"/>
      <c r="D1081" s="374"/>
      <c r="E1081" s="375"/>
      <c r="F1081" s="376"/>
      <c r="G1081" s="377"/>
      <c r="H1081" s="377"/>
      <c r="I1081" s="377"/>
      <c r="J1081" s="376"/>
      <c r="K1081" s="378"/>
      <c r="L1081" s="378"/>
      <c r="M1081" s="378"/>
      <c r="N1081" s="378"/>
      <c r="O1081" s="378"/>
      <c r="P1081" s="378"/>
    </row>
    <row r="1082" spans="3:16" x14ac:dyDescent="0.3">
      <c r="C1082" s="373"/>
      <c r="D1082" s="374"/>
      <c r="E1082" s="375"/>
      <c r="F1082" s="376"/>
      <c r="G1082" s="377"/>
      <c r="H1082" s="377"/>
      <c r="I1082" s="377"/>
      <c r="J1082" s="376"/>
      <c r="K1082" s="378"/>
      <c r="L1082" s="378"/>
      <c r="M1082" s="378"/>
      <c r="N1082" s="378"/>
      <c r="O1082" s="378"/>
      <c r="P1082" s="378"/>
    </row>
    <row r="1083" spans="3:16" x14ac:dyDescent="0.3">
      <c r="C1083" s="373"/>
      <c r="D1083" s="374"/>
      <c r="E1083" s="375"/>
      <c r="F1083" s="376"/>
      <c r="G1083" s="377"/>
      <c r="H1083" s="377"/>
      <c r="I1083" s="377"/>
      <c r="J1083" s="376"/>
      <c r="K1083" s="378"/>
      <c r="L1083" s="378"/>
      <c r="M1083" s="378"/>
      <c r="N1083" s="378"/>
      <c r="O1083" s="378"/>
      <c r="P1083" s="378"/>
    </row>
    <row r="1084" spans="3:16" x14ac:dyDescent="0.3">
      <c r="C1084" s="373"/>
      <c r="D1084" s="374"/>
      <c r="E1084" s="375"/>
      <c r="F1084" s="376"/>
      <c r="G1084" s="377"/>
      <c r="H1084" s="377"/>
      <c r="I1084" s="377"/>
      <c r="J1084" s="376"/>
      <c r="K1084" s="378"/>
      <c r="L1084" s="378"/>
      <c r="M1084" s="378"/>
      <c r="N1084" s="378"/>
      <c r="O1084" s="378"/>
      <c r="P1084" s="378"/>
    </row>
    <row r="1085" spans="3:16" x14ac:dyDescent="0.3">
      <c r="C1085" s="373"/>
      <c r="D1085" s="374"/>
      <c r="E1085" s="375"/>
      <c r="F1085" s="376"/>
      <c r="G1085" s="377"/>
      <c r="H1085" s="377"/>
      <c r="I1085" s="377"/>
      <c r="J1085" s="376"/>
      <c r="K1085" s="378"/>
      <c r="L1085" s="378"/>
      <c r="M1085" s="378"/>
      <c r="N1085" s="378"/>
      <c r="O1085" s="378"/>
      <c r="P1085" s="378"/>
    </row>
    <row r="1086" spans="3:16" x14ac:dyDescent="0.3">
      <c r="C1086" s="373"/>
      <c r="D1086" s="374"/>
      <c r="E1086" s="375"/>
      <c r="F1086" s="376"/>
      <c r="G1086" s="377"/>
      <c r="H1086" s="377"/>
      <c r="I1086" s="377"/>
      <c r="J1086" s="376"/>
      <c r="K1086" s="378"/>
      <c r="L1086" s="378"/>
      <c r="M1086" s="378"/>
      <c r="N1086" s="378"/>
      <c r="O1086" s="378"/>
      <c r="P1086" s="378"/>
    </row>
    <row r="1087" spans="3:16" x14ac:dyDescent="0.3">
      <c r="C1087" s="373"/>
      <c r="D1087" s="374"/>
      <c r="E1087" s="375"/>
      <c r="F1087" s="376"/>
      <c r="G1087" s="377"/>
      <c r="H1087" s="377"/>
      <c r="I1087" s="377"/>
      <c r="J1087" s="376"/>
      <c r="K1087" s="378"/>
      <c r="L1087" s="378"/>
      <c r="M1087" s="378"/>
      <c r="N1087" s="378"/>
      <c r="O1087" s="378"/>
      <c r="P1087" s="378"/>
    </row>
    <row r="1088" spans="3:16" x14ac:dyDescent="0.3">
      <c r="C1088" s="373"/>
      <c r="D1088" s="374"/>
      <c r="E1088" s="375"/>
      <c r="F1088" s="376"/>
      <c r="G1088" s="377"/>
      <c r="H1088" s="377"/>
      <c r="I1088" s="377"/>
      <c r="J1088" s="376"/>
      <c r="K1088" s="378"/>
      <c r="L1088" s="378"/>
      <c r="M1088" s="378"/>
      <c r="N1088" s="378"/>
      <c r="O1088" s="378"/>
      <c r="P1088" s="378"/>
    </row>
    <row r="1089" spans="3:16" x14ac:dyDescent="0.3">
      <c r="C1089" s="373"/>
      <c r="D1089" s="374"/>
      <c r="E1089" s="375"/>
      <c r="F1089" s="376"/>
      <c r="G1089" s="377"/>
      <c r="H1089" s="377"/>
      <c r="I1089" s="377"/>
      <c r="J1089" s="376"/>
      <c r="K1089" s="378"/>
      <c r="L1089" s="378"/>
      <c r="M1089" s="378"/>
      <c r="N1089" s="378"/>
      <c r="O1089" s="378"/>
      <c r="P1089" s="378"/>
    </row>
    <row r="1090" spans="3:16" x14ac:dyDescent="0.3">
      <c r="C1090" s="373"/>
      <c r="D1090" s="374"/>
      <c r="E1090" s="375"/>
      <c r="F1090" s="376"/>
      <c r="G1090" s="377"/>
      <c r="H1090" s="377"/>
      <c r="I1090" s="377"/>
      <c r="J1090" s="376"/>
      <c r="K1090" s="378"/>
      <c r="L1090" s="378"/>
      <c r="M1090" s="378"/>
      <c r="N1090" s="378"/>
      <c r="O1090" s="378"/>
      <c r="P1090" s="378"/>
    </row>
    <row r="1091" spans="3:16" x14ac:dyDescent="0.3">
      <c r="C1091" s="373"/>
      <c r="D1091" s="374"/>
      <c r="E1091" s="375"/>
      <c r="F1091" s="376"/>
      <c r="G1091" s="377"/>
      <c r="H1091" s="377"/>
      <c r="I1091" s="377"/>
      <c r="J1091" s="376"/>
      <c r="K1091" s="378"/>
      <c r="L1091" s="378"/>
      <c r="M1091" s="378"/>
      <c r="N1091" s="378"/>
      <c r="O1091" s="378"/>
      <c r="P1091" s="378"/>
    </row>
    <row r="1092" spans="3:16" x14ac:dyDescent="0.3">
      <c r="C1092" s="373"/>
      <c r="D1092" s="374"/>
      <c r="E1092" s="375"/>
      <c r="F1092" s="376"/>
      <c r="G1092" s="377"/>
      <c r="H1092" s="377"/>
      <c r="I1092" s="377"/>
      <c r="J1092" s="376"/>
      <c r="K1092" s="378"/>
      <c r="L1092" s="378"/>
      <c r="M1092" s="378"/>
      <c r="N1092" s="378"/>
      <c r="O1092" s="378"/>
      <c r="P1092" s="378"/>
    </row>
    <row r="1093" spans="3:16" x14ac:dyDescent="0.3">
      <c r="C1093" s="373"/>
      <c r="D1093" s="374"/>
      <c r="E1093" s="375"/>
      <c r="F1093" s="376"/>
      <c r="G1093" s="377"/>
      <c r="H1093" s="377"/>
      <c r="I1093" s="377"/>
      <c r="J1093" s="376"/>
      <c r="K1093" s="378"/>
      <c r="L1093" s="378"/>
      <c r="M1093" s="378"/>
      <c r="N1093" s="378"/>
      <c r="O1093" s="378"/>
      <c r="P1093" s="378"/>
    </row>
    <row r="1094" spans="3:16" x14ac:dyDescent="0.3">
      <c r="C1094" s="373"/>
      <c r="D1094" s="374"/>
      <c r="E1094" s="375"/>
      <c r="F1094" s="376"/>
      <c r="G1094" s="377"/>
      <c r="H1094" s="377"/>
      <c r="I1094" s="377"/>
      <c r="J1094" s="376"/>
      <c r="K1094" s="378"/>
      <c r="L1094" s="378"/>
      <c r="M1094" s="378"/>
      <c r="N1094" s="378"/>
      <c r="O1094" s="378"/>
      <c r="P1094" s="378"/>
    </row>
    <row r="1095" spans="3:16" x14ac:dyDescent="0.3">
      <c r="C1095" s="373"/>
      <c r="D1095" s="374"/>
      <c r="E1095" s="375"/>
      <c r="F1095" s="376"/>
      <c r="G1095" s="377"/>
      <c r="H1095" s="377"/>
      <c r="I1095" s="377"/>
      <c r="J1095" s="376"/>
      <c r="K1095" s="378"/>
      <c r="L1095" s="378"/>
      <c r="M1095" s="378"/>
      <c r="N1095" s="378"/>
      <c r="O1095" s="378"/>
      <c r="P1095" s="378"/>
    </row>
    <row r="1096" spans="3:16" x14ac:dyDescent="0.3">
      <c r="C1096" s="385"/>
      <c r="D1096" s="386"/>
      <c r="E1096" s="382"/>
      <c r="F1096" s="383"/>
      <c r="G1096" s="384"/>
      <c r="H1096" s="384"/>
      <c r="I1096" s="384"/>
      <c r="J1096" s="314"/>
      <c r="K1096" s="387"/>
      <c r="L1096" s="387"/>
      <c r="M1096" s="387"/>
      <c r="N1096" s="387"/>
      <c r="O1096" s="387"/>
      <c r="P1096" s="387"/>
    </row>
    <row r="1097" spans="3:16" x14ac:dyDescent="0.3">
      <c r="C1097" s="395"/>
      <c r="D1097" s="312"/>
      <c r="E1097" s="380"/>
      <c r="F1097" s="314"/>
      <c r="G1097" s="315"/>
      <c r="H1097" s="315"/>
      <c r="I1097" s="315"/>
      <c r="J1097" s="314"/>
      <c r="K1097" s="316"/>
      <c r="L1097" s="316"/>
      <c r="M1097" s="316"/>
      <c r="N1097" s="316"/>
      <c r="O1097" s="316"/>
      <c r="P1097" s="316"/>
    </row>
    <row r="1098" spans="3:16" x14ac:dyDescent="0.3">
      <c r="C1098" s="373"/>
      <c r="D1098" s="374"/>
      <c r="E1098" s="375"/>
      <c r="F1098" s="376"/>
      <c r="G1098" s="377"/>
      <c r="H1098" s="377"/>
      <c r="I1098" s="377"/>
      <c r="J1098" s="376"/>
      <c r="K1098" s="378"/>
      <c r="L1098" s="378"/>
      <c r="M1098" s="378"/>
      <c r="N1098" s="378"/>
      <c r="O1098" s="378"/>
      <c r="P1098" s="378"/>
    </row>
    <row r="1099" spans="3:16" x14ac:dyDescent="0.3">
      <c r="C1099" s="373"/>
      <c r="D1099" s="374"/>
      <c r="E1099" s="375"/>
      <c r="F1099" s="376"/>
      <c r="G1099" s="377"/>
      <c r="H1099" s="377"/>
      <c r="I1099" s="377"/>
      <c r="J1099" s="376"/>
      <c r="K1099" s="378"/>
      <c r="L1099" s="378"/>
      <c r="M1099" s="378"/>
      <c r="N1099" s="378"/>
      <c r="O1099" s="378"/>
      <c r="P1099" s="378"/>
    </row>
    <row r="1100" spans="3:16" x14ac:dyDescent="0.3">
      <c r="C1100" s="373"/>
      <c r="D1100" s="374"/>
      <c r="E1100" s="375"/>
      <c r="F1100" s="376"/>
      <c r="G1100" s="377"/>
      <c r="H1100" s="377"/>
      <c r="I1100" s="377"/>
      <c r="J1100" s="376"/>
      <c r="K1100" s="378"/>
      <c r="L1100" s="378"/>
      <c r="M1100" s="378"/>
      <c r="N1100" s="378"/>
      <c r="O1100" s="378"/>
      <c r="P1100" s="378"/>
    </row>
    <row r="1101" spans="3:16" x14ac:dyDescent="0.3">
      <c r="C1101" s="373"/>
      <c r="D1101" s="374"/>
      <c r="E1101" s="375"/>
      <c r="F1101" s="376"/>
      <c r="G1101" s="377"/>
      <c r="H1101" s="377"/>
      <c r="I1101" s="377"/>
      <c r="J1101" s="376"/>
      <c r="K1101" s="378"/>
      <c r="L1101" s="378"/>
      <c r="M1101" s="378"/>
      <c r="N1101" s="378"/>
      <c r="O1101" s="378"/>
      <c r="P1101" s="378"/>
    </row>
    <row r="1102" spans="3:16" x14ac:dyDescent="0.3">
      <c r="C1102" s="373"/>
      <c r="D1102" s="374"/>
      <c r="E1102" s="375"/>
      <c r="F1102" s="376"/>
      <c r="G1102" s="377"/>
      <c r="H1102" s="377"/>
      <c r="I1102" s="377"/>
      <c r="J1102" s="376"/>
      <c r="K1102" s="378"/>
      <c r="L1102" s="378"/>
      <c r="M1102" s="378"/>
      <c r="N1102" s="378"/>
      <c r="O1102" s="378"/>
      <c r="P1102" s="378"/>
    </row>
    <row r="1103" spans="3:16" x14ac:dyDescent="0.3">
      <c r="C1103" s="373"/>
      <c r="D1103" s="374"/>
      <c r="E1103" s="375"/>
      <c r="F1103" s="376"/>
      <c r="G1103" s="377"/>
      <c r="H1103" s="377"/>
      <c r="I1103" s="377"/>
      <c r="J1103" s="376"/>
      <c r="K1103" s="378"/>
      <c r="L1103" s="378"/>
      <c r="M1103" s="378"/>
      <c r="N1103" s="378"/>
      <c r="O1103" s="378"/>
      <c r="P1103" s="378"/>
    </row>
    <row r="1104" spans="3:16" x14ac:dyDescent="0.3">
      <c r="C1104" s="395"/>
      <c r="D1104" s="312"/>
      <c r="E1104" s="380"/>
      <c r="F1104" s="314"/>
      <c r="G1104" s="315"/>
      <c r="H1104" s="315"/>
      <c r="I1104" s="315"/>
      <c r="J1104" s="314"/>
      <c r="K1104" s="316"/>
      <c r="L1104" s="316"/>
      <c r="M1104" s="316"/>
      <c r="N1104" s="316"/>
      <c r="O1104" s="316"/>
      <c r="P1104" s="316"/>
    </row>
    <row r="1105" spans="3:16" x14ac:dyDescent="0.3">
      <c r="C1105" s="373"/>
      <c r="D1105" s="374"/>
      <c r="E1105" s="375"/>
      <c r="F1105" s="376"/>
      <c r="G1105" s="377"/>
      <c r="H1105" s="377"/>
      <c r="I1105" s="377"/>
      <c r="J1105" s="376"/>
      <c r="K1105" s="378"/>
      <c r="L1105" s="378"/>
      <c r="M1105" s="378"/>
      <c r="N1105" s="378"/>
      <c r="O1105" s="378"/>
      <c r="P1105" s="378"/>
    </row>
    <row r="1106" spans="3:16" x14ac:dyDescent="0.3">
      <c r="C1106" s="373"/>
      <c r="D1106" s="374"/>
      <c r="E1106" s="375"/>
      <c r="F1106" s="376"/>
      <c r="G1106" s="377"/>
      <c r="H1106" s="377"/>
      <c r="I1106" s="377"/>
      <c r="J1106" s="376"/>
      <c r="K1106" s="378"/>
      <c r="L1106" s="378"/>
      <c r="M1106" s="378"/>
      <c r="N1106" s="378"/>
      <c r="O1106" s="378"/>
      <c r="P1106" s="378"/>
    </row>
    <row r="1107" spans="3:16" x14ac:dyDescent="0.3">
      <c r="C1107" s="373"/>
      <c r="D1107" s="374"/>
      <c r="E1107" s="375"/>
      <c r="F1107" s="376"/>
      <c r="G1107" s="377"/>
      <c r="H1107" s="377"/>
      <c r="I1107" s="377"/>
      <c r="J1107" s="376"/>
      <c r="K1107" s="378"/>
      <c r="L1107" s="378"/>
      <c r="M1107" s="378"/>
      <c r="N1107" s="378"/>
      <c r="O1107" s="378"/>
      <c r="P1107" s="378"/>
    </row>
    <row r="1108" spans="3:16" x14ac:dyDescent="0.3">
      <c r="C1108" s="373"/>
      <c r="D1108" s="374"/>
      <c r="E1108" s="375"/>
      <c r="F1108" s="376"/>
      <c r="G1108" s="377"/>
      <c r="H1108" s="377"/>
      <c r="I1108" s="377"/>
      <c r="J1108" s="376"/>
      <c r="K1108" s="378"/>
      <c r="L1108" s="378"/>
      <c r="M1108" s="378"/>
      <c r="N1108" s="378"/>
      <c r="O1108" s="378"/>
      <c r="P1108" s="378"/>
    </row>
    <row r="1109" spans="3:16" x14ac:dyDescent="0.3">
      <c r="C1109" s="373"/>
      <c r="D1109" s="374"/>
      <c r="E1109" s="375"/>
      <c r="F1109" s="376"/>
      <c r="G1109" s="377"/>
      <c r="H1109" s="377"/>
      <c r="I1109" s="377"/>
      <c r="J1109" s="376"/>
      <c r="K1109" s="378"/>
      <c r="L1109" s="378"/>
      <c r="M1109" s="378"/>
      <c r="N1109" s="378"/>
      <c r="O1109" s="378"/>
      <c r="P1109" s="378"/>
    </row>
    <row r="1110" spans="3:16" x14ac:dyDescent="0.3">
      <c r="C1110" s="373"/>
      <c r="D1110" s="374"/>
      <c r="E1110" s="375"/>
      <c r="F1110" s="376"/>
      <c r="G1110" s="377"/>
      <c r="H1110" s="377"/>
      <c r="I1110" s="377"/>
      <c r="J1110" s="376"/>
      <c r="K1110" s="378"/>
      <c r="L1110" s="378"/>
      <c r="M1110" s="378"/>
      <c r="N1110" s="378"/>
      <c r="O1110" s="378"/>
      <c r="P1110" s="378"/>
    </row>
    <row r="1111" spans="3:16" x14ac:dyDescent="0.3">
      <c r="C1111" s="373"/>
      <c r="D1111" s="374"/>
      <c r="E1111" s="375"/>
      <c r="F1111" s="376"/>
      <c r="G1111" s="377"/>
      <c r="H1111" s="377"/>
      <c r="I1111" s="377"/>
      <c r="J1111" s="376"/>
      <c r="K1111" s="378"/>
      <c r="L1111" s="378"/>
      <c r="M1111" s="378"/>
      <c r="N1111" s="378"/>
      <c r="O1111" s="378"/>
      <c r="P1111" s="378"/>
    </row>
    <row r="1112" spans="3:16" x14ac:dyDescent="0.3">
      <c r="C1112" s="373"/>
      <c r="D1112" s="374"/>
      <c r="E1112" s="375"/>
      <c r="F1112" s="376"/>
      <c r="G1112" s="377"/>
      <c r="H1112" s="377"/>
      <c r="I1112" s="377"/>
      <c r="J1112" s="376"/>
      <c r="K1112" s="378"/>
      <c r="L1112" s="378"/>
      <c r="M1112" s="378"/>
      <c r="N1112" s="378"/>
      <c r="O1112" s="378"/>
      <c r="P1112" s="378"/>
    </row>
    <row r="1113" spans="3:16" x14ac:dyDescent="0.3">
      <c r="C1113" s="395"/>
      <c r="D1113" s="312"/>
      <c r="E1113" s="380"/>
      <c r="F1113" s="314"/>
      <c r="G1113" s="315"/>
      <c r="H1113" s="315"/>
      <c r="I1113" s="315"/>
      <c r="J1113" s="314"/>
      <c r="K1113" s="316"/>
      <c r="L1113" s="316"/>
      <c r="M1113" s="316"/>
      <c r="N1113" s="316"/>
      <c r="O1113" s="316"/>
      <c r="P1113" s="316"/>
    </row>
    <row r="1114" spans="3:16" x14ac:dyDescent="0.3">
      <c r="C1114" s="373"/>
      <c r="D1114" s="374"/>
      <c r="E1114" s="375"/>
      <c r="F1114" s="376"/>
      <c r="G1114" s="377"/>
      <c r="H1114" s="377"/>
      <c r="I1114" s="377"/>
      <c r="J1114" s="376"/>
      <c r="K1114" s="378"/>
      <c r="L1114" s="378"/>
      <c r="M1114" s="378"/>
      <c r="N1114" s="378"/>
      <c r="O1114" s="378"/>
      <c r="P1114" s="378"/>
    </row>
    <row r="1115" spans="3:16" x14ac:dyDescent="0.3">
      <c r="C1115" s="373"/>
      <c r="D1115" s="374"/>
      <c r="E1115" s="375"/>
      <c r="F1115" s="376"/>
      <c r="G1115" s="377"/>
      <c r="H1115" s="377"/>
      <c r="I1115" s="377"/>
      <c r="J1115" s="376"/>
      <c r="K1115" s="378"/>
      <c r="L1115" s="378"/>
      <c r="M1115" s="378"/>
      <c r="N1115" s="378"/>
      <c r="O1115" s="378"/>
      <c r="P1115" s="378"/>
    </row>
    <row r="1116" spans="3:16" x14ac:dyDescent="0.3">
      <c r="C1116" s="373"/>
      <c r="D1116" s="374"/>
      <c r="E1116" s="375"/>
      <c r="F1116" s="376"/>
      <c r="G1116" s="377"/>
      <c r="H1116" s="377"/>
      <c r="I1116" s="377"/>
      <c r="J1116" s="376"/>
      <c r="K1116" s="378"/>
      <c r="L1116" s="378"/>
      <c r="M1116" s="378"/>
      <c r="N1116" s="378"/>
      <c r="O1116" s="378"/>
      <c r="P1116" s="378"/>
    </row>
    <row r="1117" spans="3:16" x14ac:dyDescent="0.3">
      <c r="C1117" s="373"/>
      <c r="D1117" s="374"/>
      <c r="E1117" s="375"/>
      <c r="F1117" s="376"/>
      <c r="G1117" s="377"/>
      <c r="H1117" s="377"/>
      <c r="I1117" s="377"/>
      <c r="J1117" s="376"/>
      <c r="K1117" s="378"/>
      <c r="L1117" s="378"/>
      <c r="M1117" s="378"/>
      <c r="N1117" s="378"/>
      <c r="O1117" s="378"/>
      <c r="P1117" s="378"/>
    </row>
    <row r="1118" spans="3:16" x14ac:dyDescent="0.3">
      <c r="C1118" s="379"/>
      <c r="D1118" s="312"/>
      <c r="E1118" s="380"/>
      <c r="F1118" s="314"/>
      <c r="G1118" s="315"/>
      <c r="H1118" s="315"/>
      <c r="I1118" s="315"/>
      <c r="J1118" s="314"/>
      <c r="K1118" s="316"/>
      <c r="L1118" s="316"/>
      <c r="M1118" s="316"/>
      <c r="N1118" s="316"/>
      <c r="O1118" s="316"/>
      <c r="P1118" s="316"/>
    </row>
    <row r="1119" spans="3:16" x14ac:dyDescent="0.3">
      <c r="C1119" s="385"/>
      <c r="D1119" s="386"/>
      <c r="E1119" s="382"/>
      <c r="F1119" s="383"/>
      <c r="G1119" s="384"/>
      <c r="H1119" s="384"/>
      <c r="I1119" s="384"/>
      <c r="J1119" s="314"/>
      <c r="K1119" s="387"/>
      <c r="L1119" s="387"/>
      <c r="M1119" s="387"/>
      <c r="N1119" s="387"/>
      <c r="O1119" s="387"/>
      <c r="P1119" s="387"/>
    </row>
    <row r="1120" spans="3:16" x14ac:dyDescent="0.3">
      <c r="C1120" s="379"/>
      <c r="D1120" s="312"/>
      <c r="E1120" s="380"/>
      <c r="F1120" s="314"/>
      <c r="G1120" s="315"/>
      <c r="H1120" s="315"/>
      <c r="I1120" s="315"/>
      <c r="J1120" s="314"/>
      <c r="K1120" s="316"/>
      <c r="L1120" s="316"/>
      <c r="M1120" s="316"/>
      <c r="N1120" s="316"/>
      <c r="O1120" s="316"/>
      <c r="P1120" s="316"/>
    </row>
    <row r="1121" spans="3:16" x14ac:dyDescent="0.3">
      <c r="C1121" s="373"/>
      <c r="D1121" s="374"/>
      <c r="E1121" s="375"/>
      <c r="F1121" s="376"/>
      <c r="G1121" s="377"/>
      <c r="H1121" s="377"/>
      <c r="I1121" s="377"/>
      <c r="J1121" s="376"/>
      <c r="K1121" s="378"/>
      <c r="L1121" s="378"/>
      <c r="M1121" s="378"/>
      <c r="N1121" s="378"/>
      <c r="O1121" s="378"/>
      <c r="P1121" s="378"/>
    </row>
    <row r="1122" spans="3:16" x14ac:dyDescent="0.3">
      <c r="C1122" s="379"/>
      <c r="D1122" s="312"/>
      <c r="E1122" s="380"/>
      <c r="F1122" s="314"/>
      <c r="G1122" s="315"/>
      <c r="H1122" s="315"/>
      <c r="I1122" s="315"/>
      <c r="J1122" s="314"/>
      <c r="K1122" s="316"/>
      <c r="L1122" s="316"/>
      <c r="M1122" s="316"/>
      <c r="N1122" s="316"/>
      <c r="O1122" s="316"/>
      <c r="P1122" s="316"/>
    </row>
    <row r="1123" spans="3:16" x14ac:dyDescent="0.3">
      <c r="C1123" s="385"/>
      <c r="D1123" s="386"/>
      <c r="E1123" s="382"/>
      <c r="F1123" s="383"/>
      <c r="G1123" s="384"/>
      <c r="H1123" s="384"/>
      <c r="I1123" s="384"/>
      <c r="J1123" s="314"/>
      <c r="K1123" s="387"/>
      <c r="L1123" s="387"/>
      <c r="M1123" s="387"/>
      <c r="N1123" s="387"/>
      <c r="O1123" s="387"/>
      <c r="P1123" s="387"/>
    </row>
    <row r="1124" spans="3:16" x14ac:dyDescent="0.3">
      <c r="C1124" s="381"/>
      <c r="D1124" s="390"/>
      <c r="E1124" s="382"/>
      <c r="F1124" s="383"/>
      <c r="G1124" s="384"/>
      <c r="H1124" s="384"/>
      <c r="I1124" s="384"/>
      <c r="J1124" s="314"/>
      <c r="K1124" s="316"/>
      <c r="L1124" s="316"/>
      <c r="M1124" s="316"/>
      <c r="N1124" s="316"/>
      <c r="O1124" s="316"/>
      <c r="P1124" s="316"/>
    </row>
    <row r="1125" spans="3:16" x14ac:dyDescent="0.3">
      <c r="C1125" s="381"/>
      <c r="D1125" s="397"/>
      <c r="E1125" s="382"/>
      <c r="F1125" s="383"/>
      <c r="G1125" s="384"/>
      <c r="H1125" s="384"/>
      <c r="I1125" s="384"/>
      <c r="J1125" s="314"/>
      <c r="K1125" s="316"/>
      <c r="L1125" s="316"/>
      <c r="M1125" s="316"/>
      <c r="N1125" s="316"/>
      <c r="O1125" s="316"/>
      <c r="P1125" s="316"/>
    </row>
    <row r="1126" spans="3:16" x14ac:dyDescent="0.3">
      <c r="C1126" s="373"/>
      <c r="D1126" s="374"/>
      <c r="E1126" s="375"/>
      <c r="F1126" s="376"/>
      <c r="G1126" s="377"/>
      <c r="H1126" s="377"/>
      <c r="I1126" s="377"/>
      <c r="J1126" s="376"/>
      <c r="K1126" s="378"/>
      <c r="L1126" s="378"/>
      <c r="M1126" s="378"/>
      <c r="N1126" s="378"/>
      <c r="O1126" s="378"/>
      <c r="P1126" s="378"/>
    </row>
    <row r="1127" spans="3:16" x14ac:dyDescent="0.3">
      <c r="C1127" s="381"/>
      <c r="D1127" s="397"/>
      <c r="E1127" s="382"/>
      <c r="F1127" s="383"/>
      <c r="G1127" s="384"/>
      <c r="H1127" s="384"/>
      <c r="I1127" s="384"/>
      <c r="J1127" s="314"/>
      <c r="K1127" s="316"/>
      <c r="L1127" s="316"/>
      <c r="M1127" s="316"/>
      <c r="N1127" s="316"/>
      <c r="O1127" s="316"/>
      <c r="P1127" s="316"/>
    </row>
    <row r="1128" spans="3:16" x14ac:dyDescent="0.3">
      <c r="C1128" s="373"/>
      <c r="D1128" s="374"/>
      <c r="E1128" s="375"/>
      <c r="F1128" s="376"/>
      <c r="G1128" s="377"/>
      <c r="H1128" s="377"/>
      <c r="I1128" s="377"/>
      <c r="J1128" s="376"/>
      <c r="K1128" s="378"/>
      <c r="L1128" s="378"/>
      <c r="M1128" s="378"/>
      <c r="N1128" s="378"/>
      <c r="O1128" s="378"/>
      <c r="P1128" s="378"/>
    </row>
    <row r="1129" spans="3:16" x14ac:dyDescent="0.3">
      <c r="C1129" s="381"/>
      <c r="D1129" s="390"/>
      <c r="E1129" s="382"/>
      <c r="F1129" s="383"/>
      <c r="G1129" s="384"/>
      <c r="H1129" s="384"/>
      <c r="I1129" s="384"/>
      <c r="J1129" s="314"/>
      <c r="K1129" s="316"/>
      <c r="L1129" s="316"/>
      <c r="M1129" s="316"/>
      <c r="N1129" s="316"/>
      <c r="O1129" s="316"/>
      <c r="P1129" s="316"/>
    </row>
    <row r="1130" spans="3:16" x14ac:dyDescent="0.3">
      <c r="C1130" s="381"/>
      <c r="D1130" s="397"/>
      <c r="E1130" s="382"/>
      <c r="F1130" s="383"/>
      <c r="G1130" s="384"/>
      <c r="H1130" s="384"/>
      <c r="I1130" s="384"/>
      <c r="J1130" s="314"/>
      <c r="K1130" s="316"/>
      <c r="L1130" s="316"/>
      <c r="M1130" s="316"/>
      <c r="N1130" s="316"/>
      <c r="O1130" s="316"/>
      <c r="P1130" s="316"/>
    </row>
    <row r="1131" spans="3:16" x14ac:dyDescent="0.3">
      <c r="C1131" s="373"/>
      <c r="D1131" s="374"/>
      <c r="E1131" s="375"/>
      <c r="F1131" s="376"/>
      <c r="G1131" s="377"/>
      <c r="H1131" s="377"/>
      <c r="I1131" s="377"/>
      <c r="J1131" s="376"/>
      <c r="K1131" s="378"/>
      <c r="L1131" s="378"/>
      <c r="M1131" s="378"/>
      <c r="N1131" s="378"/>
      <c r="O1131" s="378"/>
      <c r="P1131" s="378"/>
    </row>
    <row r="1132" spans="3:16" x14ac:dyDescent="0.3">
      <c r="C1132" s="381"/>
      <c r="D1132" s="397"/>
      <c r="E1132" s="382"/>
      <c r="F1132" s="383"/>
      <c r="G1132" s="384"/>
      <c r="H1132" s="384"/>
      <c r="I1132" s="384"/>
      <c r="J1132" s="314"/>
      <c r="K1132" s="316"/>
      <c r="L1132" s="316"/>
      <c r="M1132" s="316"/>
      <c r="N1132" s="316"/>
      <c r="O1132" s="316"/>
      <c r="P1132" s="316"/>
    </row>
    <row r="1133" spans="3:16" x14ac:dyDescent="0.3">
      <c r="C1133" s="373"/>
      <c r="D1133" s="374"/>
      <c r="E1133" s="375"/>
      <c r="F1133" s="376"/>
      <c r="G1133" s="377"/>
      <c r="H1133" s="377"/>
      <c r="I1133" s="377"/>
      <c r="J1133" s="376"/>
      <c r="K1133" s="378"/>
      <c r="L1133" s="378"/>
      <c r="M1133" s="378"/>
      <c r="N1133" s="378"/>
      <c r="O1133" s="378"/>
      <c r="P1133" s="378"/>
    </row>
    <row r="1134" spans="3:16" x14ac:dyDescent="0.3">
      <c r="C1134" s="373"/>
      <c r="D1134" s="374"/>
      <c r="E1134" s="375"/>
      <c r="F1134" s="376"/>
      <c r="G1134" s="377"/>
      <c r="H1134" s="377"/>
      <c r="I1134" s="377"/>
      <c r="J1134" s="376"/>
      <c r="K1134" s="378"/>
      <c r="L1134" s="378"/>
      <c r="M1134" s="378"/>
      <c r="N1134" s="378"/>
      <c r="O1134" s="378"/>
      <c r="P1134" s="378"/>
    </row>
    <row r="1135" spans="3:16" x14ac:dyDescent="0.3">
      <c r="C1135" s="381"/>
      <c r="D1135" s="390"/>
      <c r="E1135" s="382"/>
      <c r="F1135" s="383"/>
      <c r="G1135" s="384"/>
      <c r="H1135" s="384"/>
      <c r="I1135" s="384"/>
      <c r="J1135" s="314"/>
      <c r="K1135" s="316"/>
      <c r="L1135" s="316"/>
      <c r="M1135" s="316"/>
      <c r="N1135" s="316"/>
      <c r="O1135" s="316"/>
      <c r="P1135" s="316"/>
    </row>
    <row r="1136" spans="3:16" x14ac:dyDescent="0.3">
      <c r="C1136" s="381"/>
      <c r="D1136" s="397"/>
      <c r="E1136" s="382"/>
      <c r="F1136" s="383"/>
      <c r="G1136" s="384"/>
      <c r="H1136" s="384"/>
      <c r="I1136" s="384"/>
      <c r="J1136" s="314"/>
      <c r="K1136" s="316"/>
      <c r="L1136" s="316"/>
      <c r="M1136" s="316"/>
      <c r="N1136" s="316"/>
      <c r="O1136" s="316"/>
      <c r="P1136" s="316"/>
    </row>
    <row r="1137" spans="3:16" x14ac:dyDescent="0.3">
      <c r="C1137" s="373"/>
      <c r="D1137" s="374"/>
      <c r="E1137" s="375"/>
      <c r="F1137" s="376"/>
      <c r="G1137" s="377"/>
      <c r="H1137" s="377"/>
      <c r="I1137" s="377"/>
      <c r="J1137" s="376"/>
      <c r="K1137" s="378"/>
      <c r="L1137" s="378"/>
      <c r="M1137" s="378"/>
      <c r="N1137" s="378"/>
      <c r="O1137" s="378"/>
      <c r="P1137" s="378"/>
    </row>
    <row r="1138" spans="3:16" x14ac:dyDescent="0.3">
      <c r="C1138" s="381"/>
      <c r="D1138" s="390"/>
      <c r="E1138" s="382"/>
      <c r="F1138" s="383"/>
      <c r="G1138" s="384"/>
      <c r="H1138" s="384"/>
      <c r="I1138" s="384"/>
      <c r="J1138" s="314"/>
      <c r="K1138" s="316"/>
      <c r="L1138" s="316"/>
      <c r="M1138" s="316"/>
      <c r="N1138" s="316"/>
      <c r="O1138" s="316"/>
      <c r="P1138" s="316"/>
    </row>
    <row r="1139" spans="3:16" x14ac:dyDescent="0.3">
      <c r="C1139" s="381"/>
      <c r="D1139" s="397"/>
      <c r="E1139" s="382"/>
      <c r="F1139" s="383"/>
      <c r="G1139" s="384"/>
      <c r="H1139" s="384"/>
      <c r="I1139" s="384"/>
      <c r="J1139" s="314"/>
      <c r="K1139" s="316"/>
      <c r="L1139" s="316"/>
      <c r="M1139" s="316"/>
      <c r="N1139" s="316"/>
      <c r="O1139" s="316"/>
      <c r="P1139" s="316"/>
    </row>
    <row r="1140" spans="3:16" x14ac:dyDescent="0.3">
      <c r="C1140" s="373"/>
      <c r="D1140" s="374"/>
      <c r="E1140" s="375"/>
      <c r="F1140" s="376"/>
      <c r="G1140" s="377"/>
      <c r="H1140" s="377"/>
      <c r="I1140" s="377"/>
      <c r="J1140" s="376"/>
      <c r="K1140" s="378"/>
      <c r="L1140" s="378"/>
      <c r="M1140" s="378"/>
      <c r="N1140" s="378"/>
      <c r="O1140" s="378"/>
      <c r="P1140" s="378"/>
    </row>
    <row r="1141" spans="3:16" x14ac:dyDescent="0.3">
      <c r="C1141" s="373"/>
      <c r="D1141" s="374"/>
      <c r="E1141" s="375"/>
      <c r="F1141" s="376"/>
      <c r="G1141" s="377"/>
      <c r="H1141" s="377"/>
      <c r="I1141" s="377"/>
      <c r="J1141" s="376"/>
      <c r="K1141" s="378"/>
      <c r="L1141" s="378"/>
      <c r="M1141" s="378"/>
      <c r="N1141" s="378"/>
      <c r="O1141" s="378"/>
      <c r="P1141" s="378"/>
    </row>
    <row r="1142" spans="3:16" x14ac:dyDescent="0.3">
      <c r="C1142" s="373"/>
      <c r="D1142" s="374"/>
      <c r="E1142" s="375"/>
      <c r="F1142" s="376"/>
      <c r="G1142" s="377"/>
      <c r="H1142" s="377"/>
      <c r="I1142" s="377"/>
      <c r="J1142" s="376"/>
      <c r="K1142" s="378"/>
      <c r="L1142" s="378"/>
      <c r="M1142" s="378"/>
      <c r="N1142" s="378"/>
      <c r="O1142" s="378"/>
      <c r="P1142" s="378"/>
    </row>
    <row r="1143" spans="3:16" x14ac:dyDescent="0.3">
      <c r="C1143" s="381"/>
      <c r="D1143" s="390"/>
      <c r="E1143" s="382"/>
      <c r="F1143" s="383"/>
      <c r="G1143" s="384"/>
      <c r="H1143" s="384"/>
      <c r="I1143" s="384"/>
      <c r="J1143" s="314"/>
      <c r="K1143" s="316"/>
      <c r="L1143" s="316"/>
      <c r="M1143" s="316"/>
      <c r="N1143" s="316"/>
      <c r="O1143" s="316"/>
      <c r="P1143" s="316"/>
    </row>
    <row r="1144" spans="3:16" x14ac:dyDescent="0.3">
      <c r="C1144" s="381"/>
      <c r="D1144" s="397"/>
      <c r="E1144" s="382"/>
      <c r="F1144" s="383"/>
      <c r="G1144" s="384"/>
      <c r="H1144" s="384"/>
      <c r="I1144" s="384"/>
      <c r="J1144" s="314"/>
      <c r="K1144" s="316"/>
      <c r="L1144" s="316"/>
      <c r="M1144" s="316"/>
      <c r="N1144" s="316"/>
      <c r="O1144" s="316"/>
      <c r="P1144" s="316"/>
    </row>
    <row r="1145" spans="3:16" x14ac:dyDescent="0.3">
      <c r="C1145" s="373"/>
      <c r="D1145" s="374"/>
      <c r="E1145" s="375"/>
      <c r="F1145" s="376"/>
      <c r="G1145" s="377"/>
      <c r="H1145" s="377"/>
      <c r="I1145" s="377"/>
      <c r="J1145" s="376"/>
      <c r="K1145" s="378"/>
      <c r="L1145" s="378"/>
      <c r="M1145" s="378"/>
      <c r="N1145" s="378"/>
      <c r="O1145" s="378"/>
      <c r="P1145" s="378"/>
    </row>
    <row r="1146" spans="3:16" x14ac:dyDescent="0.3">
      <c r="C1146" s="373"/>
      <c r="D1146" s="374"/>
      <c r="E1146" s="375"/>
      <c r="F1146" s="376"/>
      <c r="G1146" s="377"/>
      <c r="H1146" s="377"/>
      <c r="I1146" s="377"/>
      <c r="J1146" s="376"/>
      <c r="K1146" s="378"/>
      <c r="L1146" s="378"/>
      <c r="M1146" s="378"/>
      <c r="N1146" s="378"/>
      <c r="O1146" s="378"/>
      <c r="P1146" s="378"/>
    </row>
    <row r="1147" spans="3:16" x14ac:dyDescent="0.3">
      <c r="C1147" s="381"/>
      <c r="D1147" s="397"/>
      <c r="E1147" s="382"/>
      <c r="F1147" s="383"/>
      <c r="G1147" s="384"/>
      <c r="H1147" s="384"/>
      <c r="I1147" s="384"/>
      <c r="J1147" s="314"/>
      <c r="K1147" s="316"/>
      <c r="L1147" s="316"/>
      <c r="M1147" s="316"/>
      <c r="N1147" s="316"/>
      <c r="O1147" s="316"/>
      <c r="P1147" s="316"/>
    </row>
    <row r="1148" spans="3:16" x14ac:dyDescent="0.3">
      <c r="C1148" s="373"/>
      <c r="D1148" s="374"/>
      <c r="E1148" s="375"/>
      <c r="F1148" s="376"/>
      <c r="G1148" s="377"/>
      <c r="H1148" s="377"/>
      <c r="I1148" s="377"/>
      <c r="J1148" s="376"/>
      <c r="K1148" s="378"/>
      <c r="L1148" s="378"/>
      <c r="M1148" s="378"/>
      <c r="N1148" s="378"/>
      <c r="O1148" s="378"/>
      <c r="P1148" s="378"/>
    </row>
    <row r="1149" spans="3:16" x14ac:dyDescent="0.3">
      <c r="C1149" s="379"/>
      <c r="D1149" s="312"/>
      <c r="E1149" s="380"/>
      <c r="F1149" s="314"/>
      <c r="G1149" s="315"/>
      <c r="H1149" s="315"/>
      <c r="I1149" s="315"/>
      <c r="J1149" s="314"/>
      <c r="K1149" s="316"/>
      <c r="L1149" s="316"/>
      <c r="M1149" s="316"/>
      <c r="N1149" s="316"/>
      <c r="O1149" s="316"/>
      <c r="P1149" s="316"/>
    </row>
    <row r="1150" spans="3:16" x14ac:dyDescent="0.3">
      <c r="C1150" s="391"/>
      <c r="D1150" s="386"/>
      <c r="E1150" s="382"/>
      <c r="F1150" s="383"/>
      <c r="G1150" s="384"/>
      <c r="H1150" s="384"/>
      <c r="I1150" s="384"/>
      <c r="J1150" s="314"/>
      <c r="K1150" s="392"/>
      <c r="L1150" s="392"/>
      <c r="M1150" s="392"/>
      <c r="N1150" s="392"/>
      <c r="O1150" s="392"/>
      <c r="P1150" s="392"/>
    </row>
    <row r="1151" spans="3:16" x14ac:dyDescent="0.3">
      <c r="C1151" s="385"/>
      <c r="D1151" s="386"/>
      <c r="E1151" s="382"/>
      <c r="F1151" s="383"/>
      <c r="G1151" s="384"/>
      <c r="H1151" s="384"/>
      <c r="I1151" s="384"/>
      <c r="J1151" s="314"/>
      <c r="K1151" s="387"/>
      <c r="L1151" s="387"/>
      <c r="M1151" s="387"/>
      <c r="N1151" s="387"/>
      <c r="O1151" s="387"/>
      <c r="P1151" s="387"/>
    </row>
    <row r="1152" spans="3:16" x14ac:dyDescent="0.3">
      <c r="C1152" s="379"/>
      <c r="D1152" s="312"/>
      <c r="E1152" s="380"/>
      <c r="F1152" s="314"/>
      <c r="G1152" s="315"/>
      <c r="H1152" s="315"/>
      <c r="I1152" s="315"/>
      <c r="J1152" s="314"/>
      <c r="K1152" s="316"/>
      <c r="L1152" s="316"/>
      <c r="M1152" s="316"/>
      <c r="N1152" s="316"/>
      <c r="O1152" s="316"/>
      <c r="P1152" s="316"/>
    </row>
    <row r="1153" spans="3:16" x14ac:dyDescent="0.3">
      <c r="C1153" s="373"/>
      <c r="D1153" s="374"/>
      <c r="E1153" s="375"/>
      <c r="F1153" s="376"/>
      <c r="G1153" s="377"/>
      <c r="H1153" s="377"/>
      <c r="I1153" s="377"/>
      <c r="J1153" s="376"/>
      <c r="K1153" s="378"/>
      <c r="L1153" s="378"/>
      <c r="M1153" s="378"/>
      <c r="N1153" s="378"/>
      <c r="O1153" s="378"/>
      <c r="P1153" s="378"/>
    </row>
    <row r="1154" spans="3:16" x14ac:dyDescent="0.3">
      <c r="C1154" s="379"/>
      <c r="D1154" s="312"/>
      <c r="E1154" s="380"/>
      <c r="F1154" s="314"/>
      <c r="G1154" s="315"/>
      <c r="H1154" s="315"/>
      <c r="I1154" s="315"/>
      <c r="J1154" s="314"/>
      <c r="K1154" s="316"/>
      <c r="L1154" s="316"/>
      <c r="M1154" s="316"/>
      <c r="N1154" s="316"/>
      <c r="O1154" s="316"/>
      <c r="P1154" s="316"/>
    </row>
    <row r="1155" spans="3:16" x14ac:dyDescent="0.3">
      <c r="C1155" s="373"/>
      <c r="D1155" s="374"/>
      <c r="E1155" s="375"/>
      <c r="F1155" s="376"/>
      <c r="G1155" s="377"/>
      <c r="H1155" s="377"/>
      <c r="I1155" s="377"/>
      <c r="J1155" s="376"/>
      <c r="K1155" s="378"/>
      <c r="L1155" s="378"/>
      <c r="M1155" s="378"/>
      <c r="N1155" s="378"/>
      <c r="O1155" s="378"/>
      <c r="P1155" s="378"/>
    </row>
    <row r="1156" spans="3:16" x14ac:dyDescent="0.3">
      <c r="C1156" s="379"/>
      <c r="D1156" s="312"/>
      <c r="E1156" s="380"/>
      <c r="F1156" s="314"/>
      <c r="G1156" s="315"/>
      <c r="H1156" s="315"/>
      <c r="I1156" s="315"/>
      <c r="J1156" s="314"/>
      <c r="K1156" s="316"/>
      <c r="L1156" s="316"/>
      <c r="M1156" s="316"/>
      <c r="N1156" s="316"/>
      <c r="O1156" s="316"/>
      <c r="P1156" s="316"/>
    </row>
    <row r="1157" spans="3:16" x14ac:dyDescent="0.3">
      <c r="C1157" s="391"/>
      <c r="D1157" s="386"/>
      <c r="E1157" s="382"/>
      <c r="F1157" s="383"/>
      <c r="G1157" s="384"/>
      <c r="H1157" s="384"/>
      <c r="I1157" s="384"/>
      <c r="J1157" s="314"/>
      <c r="K1157" s="392"/>
      <c r="L1157" s="392"/>
      <c r="M1157" s="392"/>
      <c r="N1157" s="392"/>
      <c r="O1157" s="392"/>
      <c r="P1157" s="392"/>
    </row>
    <row r="1158" spans="3:16" x14ac:dyDescent="0.3">
      <c r="C1158" s="385"/>
      <c r="D1158" s="386"/>
      <c r="E1158" s="382"/>
      <c r="F1158" s="383"/>
      <c r="G1158" s="384"/>
      <c r="H1158" s="384"/>
      <c r="I1158" s="384"/>
      <c r="J1158" s="314"/>
      <c r="K1158" s="387"/>
      <c r="L1158" s="387"/>
      <c r="M1158" s="387"/>
      <c r="N1158" s="387"/>
      <c r="O1158" s="387"/>
      <c r="P1158" s="387"/>
    </row>
    <row r="1159" spans="3:16" x14ac:dyDescent="0.3">
      <c r="C1159" s="379"/>
      <c r="D1159" s="312"/>
      <c r="E1159" s="380"/>
      <c r="F1159" s="314"/>
      <c r="G1159" s="315"/>
      <c r="H1159" s="315"/>
      <c r="I1159" s="315"/>
      <c r="J1159" s="314"/>
      <c r="K1159" s="316"/>
      <c r="L1159" s="316"/>
      <c r="M1159" s="316"/>
      <c r="N1159" s="316"/>
      <c r="O1159" s="316"/>
      <c r="P1159" s="316"/>
    </row>
    <row r="1160" spans="3:16" x14ac:dyDescent="0.3">
      <c r="C1160" s="373"/>
      <c r="D1160" s="374"/>
      <c r="E1160" s="375"/>
      <c r="F1160" s="376"/>
      <c r="G1160" s="377"/>
      <c r="H1160" s="377"/>
      <c r="I1160" s="377"/>
      <c r="J1160" s="376"/>
      <c r="K1160" s="378"/>
      <c r="L1160" s="378"/>
      <c r="M1160" s="378"/>
      <c r="N1160" s="378"/>
      <c r="O1160" s="378"/>
      <c r="P1160" s="378"/>
    </row>
    <row r="1161" spans="3:16" x14ac:dyDescent="0.3">
      <c r="C1161" s="379"/>
      <c r="D1161" s="312"/>
      <c r="E1161" s="380"/>
      <c r="F1161" s="314"/>
      <c r="G1161" s="315"/>
      <c r="H1161" s="315"/>
      <c r="I1161" s="315"/>
      <c r="J1161" s="314"/>
      <c r="K1161" s="316"/>
      <c r="L1161" s="316"/>
      <c r="M1161" s="316"/>
      <c r="N1161" s="316"/>
      <c r="O1161" s="316"/>
      <c r="P1161" s="316"/>
    </row>
    <row r="1162" spans="3:16" x14ac:dyDescent="0.3">
      <c r="C1162" s="385"/>
      <c r="D1162" s="386"/>
      <c r="E1162" s="382"/>
      <c r="F1162" s="383"/>
      <c r="G1162" s="384"/>
      <c r="H1162" s="384"/>
      <c r="I1162" s="384"/>
      <c r="J1162" s="314"/>
      <c r="K1162" s="387"/>
      <c r="L1162" s="387"/>
      <c r="M1162" s="387"/>
      <c r="N1162" s="387"/>
      <c r="O1162" s="387"/>
      <c r="P1162" s="387"/>
    </row>
    <row r="1163" spans="3:16" x14ac:dyDescent="0.3">
      <c r="C1163" s="395"/>
      <c r="D1163" s="389"/>
      <c r="E1163" s="380"/>
      <c r="F1163" s="314"/>
      <c r="G1163" s="315"/>
      <c r="H1163" s="315"/>
      <c r="I1163" s="315"/>
      <c r="J1163" s="314"/>
      <c r="K1163" s="316"/>
      <c r="L1163" s="316"/>
      <c r="M1163" s="316"/>
      <c r="N1163" s="316"/>
      <c r="O1163" s="316"/>
      <c r="P1163" s="316"/>
    </row>
    <row r="1164" spans="3:16" x14ac:dyDescent="0.3">
      <c r="C1164" s="396"/>
      <c r="D1164" s="374"/>
      <c r="E1164" s="375"/>
      <c r="F1164" s="376"/>
      <c r="G1164" s="377"/>
      <c r="H1164" s="377"/>
      <c r="I1164" s="377"/>
      <c r="J1164" s="376"/>
      <c r="K1164" s="378"/>
      <c r="L1164" s="378"/>
      <c r="M1164" s="378"/>
      <c r="N1164" s="378"/>
      <c r="O1164" s="378"/>
      <c r="P1164" s="378"/>
    </row>
    <row r="1165" spans="3:16" x14ac:dyDescent="0.3">
      <c r="C1165" s="379"/>
      <c r="D1165" s="312"/>
      <c r="E1165" s="380"/>
      <c r="F1165" s="314"/>
      <c r="G1165" s="315"/>
      <c r="H1165" s="315"/>
      <c r="I1165" s="315"/>
      <c r="J1165" s="314"/>
      <c r="K1165" s="316"/>
      <c r="L1165" s="316"/>
      <c r="M1165" s="316"/>
      <c r="N1165" s="316"/>
      <c r="O1165" s="316"/>
      <c r="P1165" s="316"/>
    </row>
    <row r="1166" spans="3:16" x14ac:dyDescent="0.3">
      <c r="C1166" s="385"/>
      <c r="D1166" s="386"/>
      <c r="E1166" s="382"/>
      <c r="F1166" s="383"/>
      <c r="G1166" s="384"/>
      <c r="H1166" s="384"/>
      <c r="I1166" s="384"/>
      <c r="J1166" s="314"/>
      <c r="K1166" s="387"/>
      <c r="L1166" s="387"/>
      <c r="M1166" s="387"/>
      <c r="N1166" s="387"/>
      <c r="O1166" s="387"/>
      <c r="P1166" s="387"/>
    </row>
    <row r="1167" spans="3:16" x14ac:dyDescent="0.3">
      <c r="C1167" s="379"/>
      <c r="D1167" s="312"/>
      <c r="E1167" s="380"/>
      <c r="F1167" s="314"/>
      <c r="G1167" s="315"/>
      <c r="H1167" s="315"/>
      <c r="I1167" s="315"/>
      <c r="J1167" s="314"/>
      <c r="K1167" s="316"/>
      <c r="L1167" s="316"/>
      <c r="M1167" s="316"/>
      <c r="N1167" s="316"/>
      <c r="O1167" s="316"/>
      <c r="P1167" s="316"/>
    </row>
    <row r="1168" spans="3:16" x14ac:dyDescent="0.3">
      <c r="C1168" s="373"/>
      <c r="D1168" s="374"/>
      <c r="E1168" s="375"/>
      <c r="F1168" s="376"/>
      <c r="G1168" s="377"/>
      <c r="H1168" s="377"/>
      <c r="I1168" s="377"/>
      <c r="J1168" s="376"/>
      <c r="K1168" s="378"/>
      <c r="L1168" s="378"/>
      <c r="M1168" s="378"/>
      <c r="N1168" s="378"/>
      <c r="O1168" s="378"/>
      <c r="P1168" s="378"/>
    </row>
    <row r="1169" spans="3:16" x14ac:dyDescent="0.3">
      <c r="C1169" s="373"/>
      <c r="D1169" s="374"/>
      <c r="E1169" s="375"/>
      <c r="F1169" s="376"/>
      <c r="G1169" s="377"/>
      <c r="H1169" s="377"/>
      <c r="I1169" s="377"/>
      <c r="J1169" s="376"/>
      <c r="K1169" s="378"/>
      <c r="L1169" s="378"/>
      <c r="M1169" s="378"/>
      <c r="N1169" s="378"/>
      <c r="O1169" s="378"/>
      <c r="P1169" s="378"/>
    </row>
    <row r="1170" spans="3:16" x14ac:dyDescent="0.3">
      <c r="C1170" s="373"/>
      <c r="D1170" s="374"/>
      <c r="E1170" s="375"/>
      <c r="F1170" s="376"/>
      <c r="G1170" s="377"/>
      <c r="H1170" s="377"/>
      <c r="I1170" s="377"/>
      <c r="J1170" s="376"/>
      <c r="K1170" s="378"/>
      <c r="L1170" s="378"/>
      <c r="M1170" s="378"/>
      <c r="N1170" s="378"/>
      <c r="O1170" s="378"/>
      <c r="P1170" s="378"/>
    </row>
    <row r="1171" spans="3:16" x14ac:dyDescent="0.3">
      <c r="C1171" s="373"/>
      <c r="D1171" s="374"/>
      <c r="E1171" s="375"/>
      <c r="F1171" s="376"/>
      <c r="G1171" s="377"/>
      <c r="H1171" s="377"/>
      <c r="I1171" s="377"/>
      <c r="J1171" s="376"/>
      <c r="K1171" s="378"/>
      <c r="L1171" s="378"/>
      <c r="M1171" s="378"/>
      <c r="N1171" s="378"/>
      <c r="O1171" s="378"/>
      <c r="P1171" s="378"/>
    </row>
    <row r="1172" spans="3:16" x14ac:dyDescent="0.3">
      <c r="C1172" s="379"/>
      <c r="D1172" s="312"/>
      <c r="E1172" s="380"/>
      <c r="F1172" s="314"/>
      <c r="G1172" s="315"/>
      <c r="H1172" s="315"/>
      <c r="I1172" s="315"/>
      <c r="J1172" s="314"/>
      <c r="K1172" s="316"/>
      <c r="L1172" s="316"/>
      <c r="M1172" s="316"/>
      <c r="N1172" s="316"/>
      <c r="O1172" s="316"/>
      <c r="P1172" s="316"/>
    </row>
    <row r="1173" spans="3:16" x14ac:dyDescent="0.3">
      <c r="C1173" s="373"/>
      <c r="D1173" s="374"/>
      <c r="E1173" s="375"/>
      <c r="F1173" s="376"/>
      <c r="G1173" s="377"/>
      <c r="H1173" s="377"/>
      <c r="I1173" s="377"/>
      <c r="J1173" s="376"/>
      <c r="K1173" s="378"/>
      <c r="L1173" s="378"/>
      <c r="M1173" s="378"/>
      <c r="N1173" s="378"/>
      <c r="O1173" s="378"/>
      <c r="P1173" s="378"/>
    </row>
    <row r="1174" spans="3:16" x14ac:dyDescent="0.3">
      <c r="C1174" s="373"/>
      <c r="D1174" s="374"/>
      <c r="E1174" s="375"/>
      <c r="F1174" s="376"/>
      <c r="G1174" s="377"/>
      <c r="H1174" s="377"/>
      <c r="I1174" s="377"/>
      <c r="J1174" s="376"/>
      <c r="K1174" s="378"/>
      <c r="L1174" s="378"/>
      <c r="M1174" s="378"/>
      <c r="N1174" s="378"/>
      <c r="O1174" s="378"/>
      <c r="P1174" s="378"/>
    </row>
    <row r="1175" spans="3:16" x14ac:dyDescent="0.3">
      <c r="C1175" s="373"/>
      <c r="D1175" s="374"/>
      <c r="E1175" s="375"/>
      <c r="F1175" s="376"/>
      <c r="G1175" s="377"/>
      <c r="H1175" s="377"/>
      <c r="I1175" s="377"/>
      <c r="J1175" s="376"/>
      <c r="K1175" s="378"/>
      <c r="L1175" s="378"/>
      <c r="M1175" s="378"/>
      <c r="N1175" s="378"/>
      <c r="O1175" s="378"/>
      <c r="P1175" s="378"/>
    </row>
    <row r="1176" spans="3:16" x14ac:dyDescent="0.3">
      <c r="C1176" s="373"/>
      <c r="D1176" s="374"/>
      <c r="E1176" s="375"/>
      <c r="F1176" s="376"/>
      <c r="G1176" s="377"/>
      <c r="H1176" s="377"/>
      <c r="I1176" s="377"/>
      <c r="J1176" s="376"/>
      <c r="K1176" s="378"/>
      <c r="L1176" s="378"/>
      <c r="M1176" s="378"/>
      <c r="N1176" s="378"/>
      <c r="O1176" s="378"/>
      <c r="P1176" s="378"/>
    </row>
    <row r="1177" spans="3:16" x14ac:dyDescent="0.3">
      <c r="C1177" s="373"/>
      <c r="D1177" s="374"/>
      <c r="E1177" s="375"/>
      <c r="F1177" s="376"/>
      <c r="G1177" s="377"/>
      <c r="H1177" s="377"/>
      <c r="I1177" s="377"/>
      <c r="J1177" s="376"/>
      <c r="K1177" s="378"/>
      <c r="L1177" s="378"/>
      <c r="M1177" s="378"/>
      <c r="N1177" s="378"/>
      <c r="O1177" s="378"/>
      <c r="P1177" s="378"/>
    </row>
    <row r="1178" spans="3:16" x14ac:dyDescent="0.3">
      <c r="C1178" s="373"/>
      <c r="D1178" s="374"/>
      <c r="E1178" s="375"/>
      <c r="F1178" s="376"/>
      <c r="G1178" s="377"/>
      <c r="H1178" s="377"/>
      <c r="I1178" s="377"/>
      <c r="J1178" s="376"/>
      <c r="K1178" s="378"/>
      <c r="L1178" s="378"/>
      <c r="M1178" s="378"/>
      <c r="N1178" s="378"/>
      <c r="O1178" s="378"/>
      <c r="P1178" s="378"/>
    </row>
    <row r="1179" spans="3:16" x14ac:dyDescent="0.3">
      <c r="C1179" s="379"/>
      <c r="D1179" s="312"/>
      <c r="E1179" s="380"/>
      <c r="F1179" s="314"/>
      <c r="G1179" s="315"/>
      <c r="H1179" s="315"/>
      <c r="I1179" s="315"/>
      <c r="J1179" s="314"/>
      <c r="K1179" s="316"/>
      <c r="L1179" s="316"/>
      <c r="M1179" s="316"/>
      <c r="N1179" s="316"/>
      <c r="O1179" s="316"/>
      <c r="P1179" s="316"/>
    </row>
    <row r="1180" spans="3:16" x14ac:dyDescent="0.3">
      <c r="C1180" s="373"/>
      <c r="D1180" s="374"/>
      <c r="E1180" s="375"/>
      <c r="F1180" s="376"/>
      <c r="G1180" s="377"/>
      <c r="H1180" s="377"/>
      <c r="I1180" s="377"/>
      <c r="J1180" s="376"/>
      <c r="K1180" s="378"/>
      <c r="L1180" s="378"/>
      <c r="M1180" s="378"/>
      <c r="N1180" s="378"/>
      <c r="O1180" s="378"/>
      <c r="P1180" s="378"/>
    </row>
    <row r="1181" spans="3:16" x14ac:dyDescent="0.3">
      <c r="C1181" s="379"/>
      <c r="D1181" s="312"/>
      <c r="E1181" s="380"/>
      <c r="F1181" s="314"/>
      <c r="G1181" s="315"/>
      <c r="H1181" s="315"/>
      <c r="I1181" s="315"/>
      <c r="J1181" s="314"/>
      <c r="K1181" s="316"/>
      <c r="L1181" s="316"/>
      <c r="M1181" s="316"/>
      <c r="N1181" s="316"/>
      <c r="O1181" s="316"/>
      <c r="P1181" s="316"/>
    </row>
    <row r="1182" spans="3:16" x14ac:dyDescent="0.3">
      <c r="C1182" s="373"/>
      <c r="D1182" s="374"/>
      <c r="E1182" s="375"/>
      <c r="F1182" s="376"/>
      <c r="G1182" s="377"/>
      <c r="H1182" s="377"/>
      <c r="I1182" s="377"/>
      <c r="J1182" s="376"/>
      <c r="K1182" s="378"/>
      <c r="L1182" s="378"/>
      <c r="M1182" s="378"/>
      <c r="N1182" s="378"/>
      <c r="O1182" s="378"/>
      <c r="P1182" s="378"/>
    </row>
    <row r="1183" spans="3:16" x14ac:dyDescent="0.3">
      <c r="C1183" s="373"/>
      <c r="D1183" s="374"/>
      <c r="E1183" s="375"/>
      <c r="F1183" s="376"/>
      <c r="G1183" s="377"/>
      <c r="H1183" s="377"/>
      <c r="I1183" s="377"/>
      <c r="J1183" s="376"/>
      <c r="K1183" s="378"/>
      <c r="L1183" s="378"/>
      <c r="M1183" s="378"/>
      <c r="N1183" s="378"/>
      <c r="O1183" s="378"/>
      <c r="P1183" s="378"/>
    </row>
    <row r="1184" spans="3:16" x14ac:dyDescent="0.3">
      <c r="C1184" s="373"/>
      <c r="D1184" s="374"/>
      <c r="E1184" s="375"/>
      <c r="F1184" s="376"/>
      <c r="G1184" s="377"/>
      <c r="H1184" s="377"/>
      <c r="I1184" s="377"/>
      <c r="J1184" s="376"/>
      <c r="K1184" s="378"/>
      <c r="L1184" s="378"/>
      <c r="M1184" s="378"/>
      <c r="N1184" s="378"/>
      <c r="O1184" s="378"/>
      <c r="P1184" s="378"/>
    </row>
    <row r="1185" spans="3:16" x14ac:dyDescent="0.3">
      <c r="C1185" s="373"/>
      <c r="D1185" s="374"/>
      <c r="E1185" s="375"/>
      <c r="F1185" s="376"/>
      <c r="G1185" s="377"/>
      <c r="H1185" s="377"/>
      <c r="I1185" s="377"/>
      <c r="J1185" s="376"/>
      <c r="K1185" s="378"/>
      <c r="L1185" s="378"/>
      <c r="M1185" s="378"/>
      <c r="N1185" s="378"/>
      <c r="O1185" s="378"/>
      <c r="P1185" s="378"/>
    </row>
    <row r="1186" spans="3:16" x14ac:dyDescent="0.3">
      <c r="C1186" s="373"/>
      <c r="D1186" s="374"/>
      <c r="E1186" s="375"/>
      <c r="F1186" s="376"/>
      <c r="G1186" s="377"/>
      <c r="H1186" s="377"/>
      <c r="I1186" s="377"/>
      <c r="J1186" s="376"/>
      <c r="K1186" s="378"/>
      <c r="L1186" s="378"/>
      <c r="M1186" s="378"/>
      <c r="N1186" s="378"/>
      <c r="O1186" s="378"/>
      <c r="P1186" s="378"/>
    </row>
    <row r="1187" spans="3:16" x14ac:dyDescent="0.3">
      <c r="C1187" s="379"/>
      <c r="D1187" s="402"/>
      <c r="E1187" s="313"/>
      <c r="F1187" s="314"/>
      <c r="G1187" s="315"/>
      <c r="H1187" s="315"/>
      <c r="I1187" s="315"/>
      <c r="J1187" s="314"/>
      <c r="K1187" s="316"/>
      <c r="L1187" s="316"/>
      <c r="M1187" s="316"/>
      <c r="N1187" s="316"/>
      <c r="O1187" s="316"/>
      <c r="P1187" s="316"/>
    </row>
    <row r="1188" spans="3:16" x14ac:dyDescent="0.3">
      <c r="C1188" s="379"/>
      <c r="D1188" s="402"/>
      <c r="E1188" s="313"/>
      <c r="F1188" s="314"/>
      <c r="G1188" s="315"/>
      <c r="H1188" s="315"/>
      <c r="I1188" s="315"/>
      <c r="J1188" s="314"/>
      <c r="K1188" s="316"/>
      <c r="L1188" s="316"/>
      <c r="M1188" s="316"/>
      <c r="N1188" s="316"/>
      <c r="O1188" s="316"/>
      <c r="P1188" s="316"/>
    </row>
    <row r="1189" spans="3:16" x14ac:dyDescent="0.3">
      <c r="C1189" s="379"/>
      <c r="D1189" s="402"/>
      <c r="E1189" s="313"/>
      <c r="F1189" s="314"/>
      <c r="G1189" s="315"/>
      <c r="H1189" s="315"/>
      <c r="I1189" s="315"/>
      <c r="J1189" s="314"/>
      <c r="K1189" s="316"/>
      <c r="L1189" s="316"/>
      <c r="M1189" s="316"/>
      <c r="N1189" s="316"/>
      <c r="O1189" s="316"/>
      <c r="P1189" s="316"/>
    </row>
  </sheetData>
  <autoFilter ref="C16:P32" xr:uid="{00000000-0009-0000-0000-00000B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65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etrado5"/>
  <dimension ref="A1:W207"/>
  <sheetViews>
    <sheetView view="pageBreakPreview" zoomScaleNormal="85" zoomScaleSheetLayoutView="100" workbookViewId="0">
      <selection activeCell="C47" sqref="C47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9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319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9.6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185">
        <v>1</v>
      </c>
      <c r="D18" s="366" t="s">
        <v>340</v>
      </c>
      <c r="E18" s="367"/>
      <c r="F18" s="280"/>
      <c r="G18" s="281"/>
      <c r="H18" s="281"/>
      <c r="I18" s="281"/>
      <c r="J18" s="282"/>
      <c r="K18" s="186"/>
      <c r="L18" s="186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59"/>
      <c r="K19" s="60"/>
      <c r="L19" s="60"/>
      <c r="M19" s="129"/>
      <c r="N19" s="129"/>
      <c r="O19" s="129"/>
      <c r="P19" s="129"/>
    </row>
    <row r="20" spans="1:16" s="110" customFormat="1" x14ac:dyDescent="0.2">
      <c r="A20" s="107">
        <v>2</v>
      </c>
      <c r="B20" s="108"/>
      <c r="C20" s="97" t="s">
        <v>416</v>
      </c>
      <c r="D20" s="98" t="s">
        <v>154</v>
      </c>
      <c r="E20" s="88"/>
      <c r="F20" s="51"/>
      <c r="G20" s="52"/>
      <c r="H20" s="52"/>
      <c r="I20" s="52"/>
      <c r="J20" s="59"/>
      <c r="K20" s="60"/>
      <c r="L20" s="60"/>
      <c r="M20" s="100"/>
      <c r="N20" s="100"/>
      <c r="O20" s="100"/>
      <c r="P20" s="100"/>
    </row>
    <row r="21" spans="1:16" s="150" customFormat="1" ht="12.75" customHeight="1" x14ac:dyDescent="0.2">
      <c r="A21" s="148">
        <v>3</v>
      </c>
      <c r="B21" s="149"/>
      <c r="C21" s="48" t="s">
        <v>417</v>
      </c>
      <c r="D21" s="49" t="s">
        <v>155</v>
      </c>
      <c r="E21" s="88" t="s">
        <v>12</v>
      </c>
      <c r="F21" s="51"/>
      <c r="G21" s="52"/>
      <c r="H21" s="52"/>
      <c r="I21" s="52"/>
      <c r="J21" s="59"/>
      <c r="K21" s="60"/>
      <c r="L21" s="60"/>
      <c r="M21" s="55"/>
      <c r="N21" s="55"/>
      <c r="O21" s="55"/>
      <c r="P21" s="55">
        <f>SUM(L21:L31)</f>
        <v>37.065999999999995</v>
      </c>
    </row>
    <row r="22" spans="1:16" s="153" customFormat="1" ht="12.75" customHeight="1" x14ac:dyDescent="0.2">
      <c r="A22" s="151"/>
      <c r="B22" s="152"/>
      <c r="C22" s="56"/>
      <c r="D22" s="94" t="s">
        <v>320</v>
      </c>
      <c r="E22" s="65"/>
      <c r="F22" s="69"/>
      <c r="G22" s="67"/>
      <c r="H22" s="67"/>
      <c r="I22" s="67"/>
      <c r="J22" s="66"/>
      <c r="K22" s="68"/>
      <c r="L22" s="68"/>
      <c r="M22" s="61"/>
      <c r="N22" s="61"/>
      <c r="O22" s="61"/>
      <c r="P22" s="61"/>
    </row>
    <row r="23" spans="1:16" s="153" customFormat="1" ht="12.75" customHeight="1" x14ac:dyDescent="0.2">
      <c r="A23" s="151"/>
      <c r="B23" s="152"/>
      <c r="C23" s="56"/>
      <c r="D23" s="79" t="s">
        <v>111</v>
      </c>
      <c r="E23" s="89"/>
      <c r="F23" s="59"/>
      <c r="G23" s="60"/>
      <c r="H23" s="60"/>
      <c r="I23" s="60"/>
      <c r="J23" s="62"/>
      <c r="K23" s="61"/>
      <c r="L23" s="61"/>
      <c r="M23" s="61"/>
      <c r="N23" s="61"/>
      <c r="O23" s="61"/>
      <c r="P23" s="61"/>
    </row>
    <row r="24" spans="1:16" x14ac:dyDescent="0.3">
      <c r="C24" s="63"/>
      <c r="D24" s="64" t="s">
        <v>154</v>
      </c>
      <c r="E24" s="65" t="s">
        <v>12</v>
      </c>
      <c r="F24" s="66">
        <v>1</v>
      </c>
      <c r="G24" s="67">
        <v>1.52</v>
      </c>
      <c r="H24" s="67">
        <v>4.3099999999999996</v>
      </c>
      <c r="I24" s="68"/>
      <c r="J24" s="69">
        <v>1</v>
      </c>
      <c r="K24" s="68"/>
      <c r="L24" s="68">
        <f>IF(F24="","",PRODUCT(F24:J24))</f>
        <v>6.5511999999999997</v>
      </c>
      <c r="M24" s="68"/>
      <c r="N24" s="68"/>
      <c r="O24" s="68"/>
      <c r="P24" s="68"/>
    </row>
    <row r="25" spans="1:16" x14ac:dyDescent="0.3">
      <c r="C25" s="63"/>
      <c r="D25" s="64"/>
      <c r="E25" s="65" t="s">
        <v>12</v>
      </c>
      <c r="F25" s="66">
        <v>1</v>
      </c>
      <c r="G25" s="67">
        <v>2.78</v>
      </c>
      <c r="H25" s="67">
        <v>4.3099999999999996</v>
      </c>
      <c r="I25" s="68"/>
      <c r="J25" s="69">
        <v>1</v>
      </c>
      <c r="K25" s="68"/>
      <c r="L25" s="68">
        <f>IF(F25="","",PRODUCT(F25:J25))</f>
        <v>11.981799999999998</v>
      </c>
      <c r="M25" s="68"/>
      <c r="N25" s="68"/>
      <c r="O25" s="68"/>
      <c r="P25" s="68"/>
    </row>
    <row r="26" spans="1:16" s="153" customFormat="1" ht="12.75" customHeight="1" x14ac:dyDescent="0.2">
      <c r="A26" s="151"/>
      <c r="B26" s="152"/>
      <c r="C26" s="56"/>
      <c r="D26" s="160"/>
      <c r="E26" s="65"/>
      <c r="F26" s="69"/>
      <c r="G26" s="67"/>
      <c r="H26" s="67"/>
      <c r="I26" s="67"/>
      <c r="J26" s="66"/>
      <c r="K26" s="68"/>
      <c r="L26" s="68"/>
      <c r="M26" s="61"/>
      <c r="N26" s="61"/>
      <c r="O26" s="61"/>
      <c r="P26" s="61"/>
    </row>
    <row r="27" spans="1:16" s="153" customFormat="1" ht="12.75" customHeight="1" x14ac:dyDescent="0.2">
      <c r="A27" s="151"/>
      <c r="B27" s="152"/>
      <c r="C27" s="56"/>
      <c r="D27" s="94" t="s">
        <v>321</v>
      </c>
      <c r="E27" s="65"/>
      <c r="F27" s="69"/>
      <c r="G27" s="67"/>
      <c r="H27" s="67"/>
      <c r="I27" s="67"/>
      <c r="J27" s="66"/>
      <c r="K27" s="68"/>
      <c r="L27" s="68"/>
      <c r="M27" s="61"/>
      <c r="N27" s="61"/>
      <c r="O27" s="61"/>
      <c r="P27" s="61"/>
    </row>
    <row r="28" spans="1:16" s="153" customFormat="1" ht="12.75" customHeight="1" x14ac:dyDescent="0.2">
      <c r="A28" s="151"/>
      <c r="B28" s="152"/>
      <c r="C28" s="56"/>
      <c r="D28" s="79" t="s">
        <v>111</v>
      </c>
      <c r="E28" s="89"/>
      <c r="F28" s="59"/>
      <c r="G28" s="60"/>
      <c r="H28" s="60"/>
      <c r="I28" s="60"/>
      <c r="J28" s="62"/>
      <c r="K28" s="61"/>
      <c r="L28" s="61"/>
      <c r="M28" s="61"/>
      <c r="N28" s="61"/>
      <c r="O28" s="61"/>
      <c r="P28" s="61"/>
    </row>
    <row r="29" spans="1:16" x14ac:dyDescent="0.3">
      <c r="C29" s="63"/>
      <c r="D29" s="64" t="s">
        <v>154</v>
      </c>
      <c r="E29" s="65" t="s">
        <v>12</v>
      </c>
      <c r="F29" s="66">
        <v>1</v>
      </c>
      <c r="G29" s="67">
        <v>1.52</v>
      </c>
      <c r="H29" s="67">
        <v>4.3099999999999996</v>
      </c>
      <c r="I29" s="68"/>
      <c r="J29" s="69">
        <v>1</v>
      </c>
      <c r="K29" s="68"/>
      <c r="L29" s="68">
        <f>IF(F29="","",PRODUCT(F29:J29))</f>
        <v>6.5511999999999997</v>
      </c>
      <c r="M29" s="68"/>
      <c r="N29" s="68"/>
      <c r="O29" s="68"/>
      <c r="P29" s="68"/>
    </row>
    <row r="30" spans="1:16" x14ac:dyDescent="0.3">
      <c r="C30" s="63"/>
      <c r="D30" s="64"/>
      <c r="E30" s="65" t="s">
        <v>12</v>
      </c>
      <c r="F30" s="66">
        <v>1</v>
      </c>
      <c r="G30" s="67">
        <v>2.78</v>
      </c>
      <c r="H30" s="67">
        <v>4.3099999999999996</v>
      </c>
      <c r="I30" s="68"/>
      <c r="J30" s="69">
        <v>1</v>
      </c>
      <c r="K30" s="68"/>
      <c r="L30" s="68">
        <f>IF(F30="","",PRODUCT(F30:J30))</f>
        <v>11.981799999999998</v>
      </c>
      <c r="M30" s="68"/>
      <c r="N30" s="68"/>
      <c r="O30" s="68"/>
      <c r="P30" s="68"/>
    </row>
    <row r="31" spans="1:16" x14ac:dyDescent="0.3">
      <c r="C31" s="63"/>
      <c r="D31" s="161"/>
      <c r="E31" s="90"/>
      <c r="F31" s="92"/>
      <c r="G31" s="86"/>
      <c r="H31" s="86"/>
      <c r="I31" s="86"/>
      <c r="J31" s="66"/>
      <c r="K31" s="67"/>
      <c r="L31" s="67"/>
      <c r="M31" s="68"/>
      <c r="N31" s="68"/>
      <c r="O31" s="68"/>
      <c r="P31" s="68"/>
    </row>
    <row r="32" spans="1:16" x14ac:dyDescent="0.3">
      <c r="C32" s="97" t="s">
        <v>426</v>
      </c>
      <c r="D32" s="97" t="s">
        <v>29</v>
      </c>
      <c r="E32" s="101"/>
      <c r="F32" s="51"/>
      <c r="G32" s="52"/>
      <c r="H32" s="52"/>
      <c r="I32" s="109"/>
      <c r="J32" s="99"/>
      <c r="K32" s="100"/>
      <c r="L32" s="100"/>
      <c r="M32" s="100"/>
      <c r="N32" s="100"/>
      <c r="O32" s="100"/>
      <c r="P32" s="100"/>
    </row>
    <row r="33" spans="1:16" x14ac:dyDescent="0.3">
      <c r="C33" s="48" t="s">
        <v>427</v>
      </c>
      <c r="D33" s="49" t="s">
        <v>160</v>
      </c>
      <c r="E33" s="50" t="s">
        <v>13</v>
      </c>
      <c r="F33" s="51"/>
      <c r="G33" s="52"/>
      <c r="H33" s="52"/>
      <c r="I33" s="53"/>
      <c r="J33" s="54"/>
      <c r="K33" s="55"/>
      <c r="L33" s="55"/>
      <c r="M33" s="55"/>
      <c r="N33" s="55"/>
      <c r="O33" s="55"/>
      <c r="P33" s="55">
        <f>SUM(K33:K44)</f>
        <v>155.1</v>
      </c>
    </row>
    <row r="34" spans="1:16" s="150" customFormat="1" x14ac:dyDescent="0.2">
      <c r="A34" s="184"/>
      <c r="B34" s="149"/>
      <c r="C34" s="63"/>
      <c r="D34" s="94" t="s">
        <v>365</v>
      </c>
      <c r="E34" s="65"/>
      <c r="F34" s="69"/>
      <c r="G34" s="67"/>
      <c r="H34" s="67"/>
      <c r="I34" s="67"/>
      <c r="J34" s="66"/>
      <c r="K34" s="68"/>
      <c r="L34" s="68"/>
      <c r="M34" s="68"/>
      <c r="N34" s="68"/>
      <c r="O34" s="68"/>
      <c r="P34" s="68"/>
    </row>
    <row r="35" spans="1:16" s="150" customFormat="1" x14ac:dyDescent="0.2">
      <c r="A35" s="184"/>
      <c r="B35" s="149"/>
      <c r="C35" s="63"/>
      <c r="D35" s="79" t="s">
        <v>111</v>
      </c>
      <c r="E35" s="89"/>
      <c r="F35" s="59"/>
      <c r="G35" s="60"/>
      <c r="H35" s="60"/>
      <c r="I35" s="60"/>
      <c r="J35" s="62"/>
      <c r="K35" s="61"/>
      <c r="L35" s="68"/>
      <c r="M35" s="68"/>
      <c r="N35" s="68"/>
      <c r="O35" s="68"/>
      <c r="P35" s="68"/>
    </row>
    <row r="36" spans="1:16" s="150" customFormat="1" x14ac:dyDescent="0.2">
      <c r="A36" s="184"/>
      <c r="B36" s="149"/>
      <c r="C36" s="63"/>
      <c r="D36" s="187" t="s">
        <v>111</v>
      </c>
      <c r="E36" s="65" t="s">
        <v>13</v>
      </c>
      <c r="F36" s="69">
        <v>1</v>
      </c>
      <c r="G36" s="67">
        <f>(2*2)+0.15</f>
        <v>4.1500000000000004</v>
      </c>
      <c r="H36" s="67"/>
      <c r="I36" s="67"/>
      <c r="J36" s="69">
        <v>2</v>
      </c>
      <c r="K36" s="68">
        <f t="shared" ref="K36:K37" si="0">PRODUCT(F36:J36)</f>
        <v>8.3000000000000007</v>
      </c>
      <c r="L36" s="68"/>
      <c r="M36" s="68"/>
      <c r="N36" s="68"/>
      <c r="O36" s="68"/>
      <c r="P36" s="68"/>
    </row>
    <row r="37" spans="1:16" s="150" customFormat="1" x14ac:dyDescent="0.2">
      <c r="A37" s="184"/>
      <c r="B37" s="149"/>
      <c r="C37" s="63"/>
      <c r="D37" s="187"/>
      <c r="E37" s="65" t="s">
        <v>13</v>
      </c>
      <c r="F37" s="69">
        <v>6</v>
      </c>
      <c r="G37" s="67">
        <v>3</v>
      </c>
      <c r="H37" s="67"/>
      <c r="I37" s="67"/>
      <c r="J37" s="69">
        <v>2</v>
      </c>
      <c r="K37" s="68">
        <f t="shared" si="0"/>
        <v>36</v>
      </c>
      <c r="L37" s="68"/>
      <c r="M37" s="68"/>
      <c r="N37" s="68"/>
      <c r="O37" s="68"/>
      <c r="P37" s="68"/>
    </row>
    <row r="38" spans="1:16" s="150" customFormat="1" x14ac:dyDescent="0.2">
      <c r="A38" s="184"/>
      <c r="B38" s="149"/>
      <c r="C38" s="63"/>
      <c r="D38" s="57"/>
      <c r="E38" s="65"/>
      <c r="F38" s="69"/>
      <c r="G38" s="67"/>
      <c r="H38" s="67"/>
      <c r="I38" s="67"/>
      <c r="J38" s="69"/>
      <c r="K38" s="68"/>
      <c r="L38" s="68"/>
      <c r="M38" s="68"/>
      <c r="N38" s="68"/>
      <c r="O38" s="68"/>
      <c r="P38" s="68"/>
    </row>
    <row r="39" spans="1:16" s="150" customFormat="1" x14ac:dyDescent="0.2">
      <c r="A39" s="184"/>
      <c r="B39" s="149"/>
      <c r="C39" s="63"/>
      <c r="D39" s="94" t="s">
        <v>366</v>
      </c>
      <c r="E39" s="65"/>
      <c r="F39" s="69"/>
      <c r="G39" s="67"/>
      <c r="H39" s="67"/>
      <c r="I39" s="67"/>
      <c r="J39" s="66"/>
      <c r="K39" s="68"/>
      <c r="L39" s="68"/>
      <c r="M39" s="68"/>
      <c r="N39" s="68"/>
      <c r="O39" s="68"/>
      <c r="P39" s="68"/>
    </row>
    <row r="40" spans="1:16" s="150" customFormat="1" x14ac:dyDescent="0.2">
      <c r="A40" s="184"/>
      <c r="B40" s="149"/>
      <c r="C40" s="63"/>
      <c r="D40" s="79" t="s">
        <v>111</v>
      </c>
      <c r="E40" s="89"/>
      <c r="F40" s="59"/>
      <c r="G40" s="60"/>
      <c r="H40" s="60"/>
      <c r="I40" s="60"/>
      <c r="J40" s="62"/>
      <c r="K40" s="61"/>
      <c r="L40" s="61"/>
      <c r="M40" s="68"/>
      <c r="N40" s="68"/>
      <c r="O40" s="68"/>
      <c r="P40" s="68"/>
    </row>
    <row r="41" spans="1:16" s="150" customFormat="1" x14ac:dyDescent="0.2">
      <c r="A41" s="184"/>
      <c r="B41" s="149"/>
      <c r="C41" s="63"/>
      <c r="D41" s="187" t="s">
        <v>111</v>
      </c>
      <c r="E41" s="65" t="s">
        <v>13</v>
      </c>
      <c r="F41" s="69">
        <v>4</v>
      </c>
      <c r="G41" s="67">
        <f>(2*1)+0.15</f>
        <v>2.15</v>
      </c>
      <c r="H41" s="67"/>
      <c r="I41" s="67"/>
      <c r="J41" s="69">
        <v>2</v>
      </c>
      <c r="K41" s="68">
        <f t="shared" ref="K41:K43" si="1">PRODUCT(F41:J41)</f>
        <v>17.2</v>
      </c>
      <c r="L41" s="181"/>
      <c r="M41" s="68"/>
      <c r="N41" s="68"/>
      <c r="O41" s="68"/>
      <c r="P41" s="68"/>
    </row>
    <row r="42" spans="1:16" s="150" customFormat="1" x14ac:dyDescent="0.2">
      <c r="A42" s="184"/>
      <c r="B42" s="149"/>
      <c r="C42" s="63"/>
      <c r="D42" s="338"/>
      <c r="E42" s="65" t="s">
        <v>13</v>
      </c>
      <c r="F42" s="69">
        <v>12</v>
      </c>
      <c r="G42" s="67">
        <v>2.75</v>
      </c>
      <c r="H42" s="67"/>
      <c r="I42" s="67"/>
      <c r="J42" s="69">
        <v>2</v>
      </c>
      <c r="K42" s="68">
        <f t="shared" si="1"/>
        <v>66</v>
      </c>
      <c r="L42" s="181"/>
      <c r="M42" s="68"/>
      <c r="N42" s="68"/>
      <c r="O42" s="68"/>
      <c r="P42" s="68"/>
    </row>
    <row r="43" spans="1:16" s="150" customFormat="1" x14ac:dyDescent="0.2">
      <c r="A43" s="184"/>
      <c r="B43" s="149"/>
      <c r="C43" s="63"/>
      <c r="D43" s="187"/>
      <c r="E43" s="65" t="s">
        <v>13</v>
      </c>
      <c r="F43" s="69">
        <v>6</v>
      </c>
      <c r="G43" s="67">
        <v>2.2999999999999998</v>
      </c>
      <c r="H43" s="67"/>
      <c r="I43" s="67"/>
      <c r="J43" s="69">
        <v>2</v>
      </c>
      <c r="K43" s="68">
        <f t="shared" si="1"/>
        <v>27.599999999999998</v>
      </c>
      <c r="L43" s="181"/>
      <c r="M43" s="68"/>
      <c r="N43" s="68"/>
      <c r="O43" s="68"/>
      <c r="P43" s="68"/>
    </row>
    <row r="44" spans="1:16" x14ac:dyDescent="0.3">
      <c r="C44" s="173"/>
      <c r="D44" s="188"/>
      <c r="E44" s="189"/>
      <c r="F44" s="92"/>
      <c r="G44" s="86"/>
      <c r="H44" s="86"/>
      <c r="I44" s="190"/>
      <c r="J44" s="166"/>
      <c r="K44" s="111"/>
      <c r="L44" s="111"/>
      <c r="M44" s="111"/>
      <c r="N44" s="111"/>
      <c r="O44" s="111"/>
      <c r="P44" s="111"/>
    </row>
    <row r="45" spans="1:16" x14ac:dyDescent="0.3">
      <c r="A45" s="104">
        <v>2</v>
      </c>
      <c r="C45" s="97" t="s">
        <v>428</v>
      </c>
      <c r="D45" s="98" t="s">
        <v>16</v>
      </c>
      <c r="E45" s="88"/>
      <c r="F45" s="51"/>
      <c r="G45" s="52"/>
      <c r="H45" s="52"/>
      <c r="I45" s="52"/>
      <c r="J45" s="59"/>
      <c r="K45" s="60"/>
      <c r="L45" s="60"/>
      <c r="M45" s="100"/>
      <c r="N45" s="100"/>
      <c r="O45" s="100"/>
      <c r="P45" s="100"/>
    </row>
    <row r="46" spans="1:16" x14ac:dyDescent="0.3">
      <c r="A46" s="104">
        <v>3</v>
      </c>
      <c r="C46" s="48" t="s">
        <v>430</v>
      </c>
      <c r="D46" s="77" t="s">
        <v>372</v>
      </c>
      <c r="E46" s="88" t="s">
        <v>13</v>
      </c>
      <c r="F46" s="51"/>
      <c r="G46" s="52"/>
      <c r="H46" s="52"/>
      <c r="I46" s="52"/>
      <c r="J46" s="59"/>
      <c r="K46" s="60"/>
      <c r="L46" s="60"/>
      <c r="M46" s="55"/>
      <c r="N46" s="55"/>
      <c r="O46" s="55"/>
      <c r="P46" s="55">
        <f>SUM(K46:K127)</f>
        <v>282.68000000000012</v>
      </c>
    </row>
    <row r="47" spans="1:16" s="153" customFormat="1" ht="12.75" customHeight="1" x14ac:dyDescent="0.2">
      <c r="A47" s="151"/>
      <c r="B47" s="152"/>
      <c r="C47" s="56"/>
      <c r="D47" s="94" t="s">
        <v>320</v>
      </c>
      <c r="E47" s="65"/>
      <c r="F47" s="69"/>
      <c r="G47" s="67"/>
      <c r="H47" s="67"/>
      <c r="I47" s="67"/>
      <c r="J47" s="66"/>
      <c r="K47" s="68"/>
      <c r="L47" s="68"/>
      <c r="M47" s="61"/>
      <c r="N47" s="61"/>
      <c r="O47" s="61"/>
      <c r="P47" s="61"/>
    </row>
    <row r="48" spans="1:16" s="153" customFormat="1" ht="12.75" customHeight="1" x14ac:dyDescent="0.2">
      <c r="A48" s="151"/>
      <c r="B48" s="152"/>
      <c r="C48" s="56"/>
      <c r="D48" s="79" t="s">
        <v>111</v>
      </c>
      <c r="E48" s="89"/>
      <c r="F48" s="59"/>
      <c r="G48" s="60"/>
      <c r="H48" s="60"/>
      <c r="I48" s="60"/>
      <c r="J48" s="62"/>
      <c r="K48" s="61"/>
      <c r="L48" s="61"/>
      <c r="M48" s="61"/>
      <c r="N48" s="61"/>
      <c r="O48" s="61"/>
      <c r="P48" s="61"/>
    </row>
    <row r="49" spans="1:16" s="153" customFormat="1" ht="12.75" customHeight="1" x14ac:dyDescent="0.2">
      <c r="A49" s="151"/>
      <c r="B49" s="152"/>
      <c r="C49" s="56"/>
      <c r="D49" s="159" t="s">
        <v>145</v>
      </c>
      <c r="E49" s="89"/>
      <c r="F49" s="59"/>
      <c r="G49" s="60"/>
      <c r="H49" s="60"/>
      <c r="I49" s="60"/>
      <c r="J49" s="62"/>
      <c r="K49" s="61"/>
      <c r="L49" s="61"/>
      <c r="M49" s="61"/>
      <c r="N49" s="61"/>
      <c r="O49" s="61"/>
      <c r="P49" s="61"/>
    </row>
    <row r="50" spans="1:16" x14ac:dyDescent="0.3">
      <c r="C50" s="63"/>
      <c r="D50" s="80" t="s">
        <v>322</v>
      </c>
      <c r="E50" s="90" t="s">
        <v>13</v>
      </c>
      <c r="F50" s="66">
        <v>1</v>
      </c>
      <c r="G50" s="67">
        <f>6.95+2.12+0.58</f>
        <v>9.65</v>
      </c>
      <c r="H50" s="67"/>
      <c r="I50" s="67"/>
      <c r="J50" s="66">
        <v>1</v>
      </c>
      <c r="K50" s="67">
        <f>F50*J50*G50</f>
        <v>9.65</v>
      </c>
      <c r="L50" s="67"/>
      <c r="M50" s="68"/>
      <c r="N50" s="68"/>
      <c r="O50" s="68"/>
      <c r="P50" s="68"/>
    </row>
    <row r="51" spans="1:16" x14ac:dyDescent="0.3">
      <c r="C51" s="63"/>
      <c r="D51" s="80" t="s">
        <v>323</v>
      </c>
      <c r="E51" s="90" t="s">
        <v>13</v>
      </c>
      <c r="F51" s="66">
        <v>6</v>
      </c>
      <c r="G51" s="67">
        <v>1.5</v>
      </c>
      <c r="H51" s="67"/>
      <c r="I51" s="67"/>
      <c r="J51" s="66">
        <v>1</v>
      </c>
      <c r="K51" s="67">
        <f>F51*J51*G51</f>
        <v>9</v>
      </c>
      <c r="L51" s="67"/>
      <c r="M51" s="68"/>
      <c r="N51" s="68"/>
      <c r="O51" s="68"/>
      <c r="P51" s="68"/>
    </row>
    <row r="52" spans="1:16" x14ac:dyDescent="0.3">
      <c r="C52" s="63"/>
      <c r="D52" s="80" t="s">
        <v>324</v>
      </c>
      <c r="E52" s="90" t="s">
        <v>13</v>
      </c>
      <c r="F52" s="66">
        <v>1</v>
      </c>
      <c r="G52" s="67">
        <v>1</v>
      </c>
      <c r="H52" s="67"/>
      <c r="I52" s="67"/>
      <c r="J52" s="66">
        <v>1</v>
      </c>
      <c r="K52" s="67">
        <f>F52*J52*G52</f>
        <v>1</v>
      </c>
      <c r="L52" s="67"/>
      <c r="M52" s="68"/>
      <c r="N52" s="68"/>
      <c r="O52" s="68"/>
      <c r="P52" s="68"/>
    </row>
    <row r="53" spans="1:16" x14ac:dyDescent="0.3">
      <c r="C53" s="63"/>
      <c r="D53" s="80" t="s">
        <v>171</v>
      </c>
      <c r="E53" s="90" t="s">
        <v>13</v>
      </c>
      <c r="F53" s="66">
        <v>2</v>
      </c>
      <c r="G53" s="67">
        <v>1.8</v>
      </c>
      <c r="H53" s="67"/>
      <c r="I53" s="67"/>
      <c r="J53" s="66">
        <v>1</v>
      </c>
      <c r="K53" s="67">
        <f>F53*J53*G53</f>
        <v>3.6</v>
      </c>
      <c r="L53" s="67"/>
      <c r="M53" s="68"/>
      <c r="N53" s="68"/>
      <c r="O53" s="68"/>
      <c r="P53" s="68"/>
    </row>
    <row r="54" spans="1:16" x14ac:dyDescent="0.3">
      <c r="C54" s="87"/>
      <c r="D54" s="159" t="s">
        <v>182</v>
      </c>
      <c r="E54" s="73"/>
      <c r="F54" s="82"/>
      <c r="G54" s="52"/>
      <c r="H54" s="52"/>
      <c r="I54" s="52"/>
      <c r="J54" s="62"/>
      <c r="K54" s="61"/>
      <c r="L54" s="68"/>
      <c r="M54" s="61"/>
      <c r="N54" s="61"/>
      <c r="O54" s="61"/>
      <c r="P54" s="61"/>
    </row>
    <row r="55" spans="1:16" x14ac:dyDescent="0.3">
      <c r="C55" s="87"/>
      <c r="D55" s="80" t="s">
        <v>322</v>
      </c>
      <c r="E55" s="90" t="s">
        <v>13</v>
      </c>
      <c r="F55" s="66">
        <v>1</v>
      </c>
      <c r="G55" s="67">
        <v>0.6</v>
      </c>
      <c r="H55" s="67"/>
      <c r="I55" s="67"/>
      <c r="J55" s="66">
        <v>2</v>
      </c>
      <c r="K55" s="67">
        <f t="shared" ref="K55:K66" si="2">F55*J55*G55</f>
        <v>1.2</v>
      </c>
      <c r="L55" s="68"/>
      <c r="M55" s="61"/>
      <c r="N55" s="61"/>
      <c r="O55" s="61"/>
      <c r="P55" s="61"/>
    </row>
    <row r="56" spans="1:16" x14ac:dyDescent="0.3">
      <c r="C56" s="87"/>
      <c r="D56" s="80"/>
      <c r="E56" s="90" t="s">
        <v>13</v>
      </c>
      <c r="F56" s="66">
        <v>2</v>
      </c>
      <c r="G56" s="67">
        <v>0.6</v>
      </c>
      <c r="H56" s="67"/>
      <c r="I56" s="67"/>
      <c r="J56" s="66">
        <v>2</v>
      </c>
      <c r="K56" s="67">
        <f t="shared" si="2"/>
        <v>2.4</v>
      </c>
      <c r="L56" s="68"/>
      <c r="M56" s="61"/>
      <c r="N56" s="61"/>
      <c r="O56" s="61"/>
      <c r="P56" s="61"/>
    </row>
    <row r="57" spans="1:16" x14ac:dyDescent="0.3">
      <c r="C57" s="87"/>
      <c r="D57" s="80"/>
      <c r="E57" s="90" t="s">
        <v>13</v>
      </c>
      <c r="F57" s="66">
        <v>2</v>
      </c>
      <c r="G57" s="67">
        <v>1.55</v>
      </c>
      <c r="H57" s="67"/>
      <c r="I57" s="67"/>
      <c r="J57" s="66">
        <v>2</v>
      </c>
      <c r="K57" s="67">
        <f t="shared" si="2"/>
        <v>6.2</v>
      </c>
      <c r="L57" s="68"/>
      <c r="M57" s="61"/>
      <c r="N57" s="61"/>
      <c r="O57" s="61"/>
      <c r="P57" s="61"/>
    </row>
    <row r="58" spans="1:16" x14ac:dyDescent="0.3">
      <c r="C58" s="87"/>
      <c r="D58" s="80"/>
      <c r="E58" s="90" t="s">
        <v>13</v>
      </c>
      <c r="F58" s="66">
        <v>1</v>
      </c>
      <c r="G58" s="67">
        <v>0.6</v>
      </c>
      <c r="H58" s="67"/>
      <c r="I58" s="67"/>
      <c r="J58" s="66">
        <v>2</v>
      </c>
      <c r="K58" s="67">
        <f t="shared" si="2"/>
        <v>1.2</v>
      </c>
      <c r="L58" s="68"/>
      <c r="M58" s="61"/>
      <c r="N58" s="61"/>
      <c r="O58" s="61"/>
      <c r="P58" s="61"/>
    </row>
    <row r="59" spans="1:16" x14ac:dyDescent="0.3">
      <c r="C59" s="87"/>
      <c r="D59" s="80"/>
      <c r="E59" s="90" t="s">
        <v>13</v>
      </c>
      <c r="F59" s="66">
        <v>1</v>
      </c>
      <c r="G59" s="67">
        <v>2.35</v>
      </c>
      <c r="H59" s="67"/>
      <c r="I59" s="67"/>
      <c r="J59" s="66">
        <v>2</v>
      </c>
      <c r="K59" s="67">
        <f t="shared" si="2"/>
        <v>4.7</v>
      </c>
      <c r="L59" s="68"/>
      <c r="M59" s="61"/>
      <c r="N59" s="61"/>
      <c r="O59" s="61"/>
      <c r="P59" s="61"/>
    </row>
    <row r="60" spans="1:16" x14ac:dyDescent="0.3">
      <c r="C60" s="87"/>
      <c r="D60" s="80"/>
      <c r="E60" s="90" t="s">
        <v>13</v>
      </c>
      <c r="F60" s="66">
        <v>1</v>
      </c>
      <c r="G60" s="67">
        <v>2.1</v>
      </c>
      <c r="H60" s="67"/>
      <c r="I60" s="67"/>
      <c r="J60" s="66">
        <v>2</v>
      </c>
      <c r="K60" s="67">
        <f t="shared" si="2"/>
        <v>4.2</v>
      </c>
      <c r="L60" s="68"/>
      <c r="M60" s="61"/>
      <c r="N60" s="61"/>
      <c r="O60" s="61"/>
      <c r="P60" s="61"/>
    </row>
    <row r="61" spans="1:16" x14ac:dyDescent="0.3">
      <c r="C61" s="87"/>
      <c r="D61" s="80" t="s">
        <v>323</v>
      </c>
      <c r="E61" s="90" t="s">
        <v>13</v>
      </c>
      <c r="F61" s="66">
        <v>2</v>
      </c>
      <c r="G61" s="67">
        <v>0.9</v>
      </c>
      <c r="H61" s="67"/>
      <c r="I61" s="67"/>
      <c r="J61" s="66">
        <v>1</v>
      </c>
      <c r="K61" s="67">
        <f t="shared" si="2"/>
        <v>1.8</v>
      </c>
      <c r="L61" s="68"/>
      <c r="M61" s="61"/>
      <c r="N61" s="61"/>
      <c r="O61" s="61"/>
      <c r="P61" s="61"/>
    </row>
    <row r="62" spans="1:16" x14ac:dyDescent="0.3">
      <c r="C62" s="87"/>
      <c r="D62" s="80"/>
      <c r="E62" s="90" t="s">
        <v>13</v>
      </c>
      <c r="F62" s="66">
        <v>2</v>
      </c>
      <c r="G62" s="67">
        <v>0.7</v>
      </c>
      <c r="H62" s="67"/>
      <c r="I62" s="67"/>
      <c r="J62" s="66">
        <v>1</v>
      </c>
      <c r="K62" s="67">
        <f t="shared" si="2"/>
        <v>1.4</v>
      </c>
      <c r="L62" s="68"/>
      <c r="M62" s="61"/>
      <c r="N62" s="61"/>
      <c r="O62" s="61"/>
      <c r="P62" s="61"/>
    </row>
    <row r="63" spans="1:16" x14ac:dyDescent="0.3">
      <c r="C63" s="87"/>
      <c r="D63" s="80"/>
      <c r="E63" s="90" t="s">
        <v>13</v>
      </c>
      <c r="F63" s="66">
        <v>2</v>
      </c>
      <c r="G63" s="67">
        <v>0.9</v>
      </c>
      <c r="H63" s="67"/>
      <c r="I63" s="67"/>
      <c r="J63" s="66">
        <v>1</v>
      </c>
      <c r="K63" s="67">
        <f t="shared" si="2"/>
        <v>1.8</v>
      </c>
      <c r="L63" s="68"/>
      <c r="M63" s="61"/>
      <c r="N63" s="61"/>
      <c r="O63" s="61"/>
      <c r="P63" s="61"/>
    </row>
    <row r="64" spans="1:16" x14ac:dyDescent="0.3">
      <c r="C64" s="87"/>
      <c r="D64" s="80"/>
      <c r="E64" s="90" t="s">
        <v>13</v>
      </c>
      <c r="F64" s="66">
        <v>2</v>
      </c>
      <c r="G64" s="67">
        <v>0.7</v>
      </c>
      <c r="H64" s="67"/>
      <c r="I64" s="67"/>
      <c r="J64" s="66">
        <v>1</v>
      </c>
      <c r="K64" s="67">
        <f t="shared" si="2"/>
        <v>1.4</v>
      </c>
      <c r="L64" s="68"/>
      <c r="M64" s="61"/>
      <c r="N64" s="61"/>
      <c r="O64" s="61"/>
      <c r="P64" s="61"/>
    </row>
    <row r="65" spans="3:16" x14ac:dyDescent="0.3">
      <c r="C65" s="87"/>
      <c r="D65" s="80"/>
      <c r="E65" s="90" t="s">
        <v>13</v>
      </c>
      <c r="F65" s="66">
        <v>2</v>
      </c>
      <c r="G65" s="67">
        <v>0.7</v>
      </c>
      <c r="H65" s="67"/>
      <c r="I65" s="67"/>
      <c r="J65" s="66">
        <v>1</v>
      </c>
      <c r="K65" s="67">
        <f t="shared" si="2"/>
        <v>1.4</v>
      </c>
      <c r="L65" s="68"/>
      <c r="M65" s="61"/>
      <c r="N65" s="61"/>
      <c r="O65" s="61"/>
      <c r="P65" s="61"/>
    </row>
    <row r="66" spans="3:16" x14ac:dyDescent="0.3">
      <c r="C66" s="87"/>
      <c r="D66" s="80" t="s">
        <v>325</v>
      </c>
      <c r="E66" s="90" t="s">
        <v>13</v>
      </c>
      <c r="F66" s="66">
        <v>2</v>
      </c>
      <c r="G66" s="67">
        <v>1</v>
      </c>
      <c r="H66" s="67"/>
      <c r="I66" s="67"/>
      <c r="J66" s="66">
        <v>1</v>
      </c>
      <c r="K66" s="67">
        <f t="shared" si="2"/>
        <v>2</v>
      </c>
      <c r="L66" s="68"/>
      <c r="M66" s="61"/>
      <c r="N66" s="61"/>
      <c r="O66" s="61"/>
      <c r="P66" s="61"/>
    </row>
    <row r="67" spans="3:16" x14ac:dyDescent="0.3">
      <c r="C67" s="63"/>
      <c r="D67" s="64"/>
      <c r="E67" s="65"/>
      <c r="F67" s="66"/>
      <c r="G67" s="67"/>
      <c r="H67" s="67"/>
      <c r="I67" s="68"/>
      <c r="J67" s="69"/>
      <c r="K67" s="68"/>
      <c r="L67" s="68"/>
      <c r="M67" s="68"/>
      <c r="N67" s="68"/>
      <c r="O67" s="68"/>
      <c r="P67" s="68"/>
    </row>
    <row r="68" spans="3:16" x14ac:dyDescent="0.3">
      <c r="C68" s="63"/>
      <c r="D68" s="94" t="s">
        <v>320</v>
      </c>
      <c r="E68" s="65"/>
      <c r="F68" s="69"/>
      <c r="G68" s="67"/>
      <c r="H68" s="67"/>
      <c r="I68" s="67"/>
      <c r="J68" s="66"/>
      <c r="K68" s="68"/>
      <c r="L68" s="68"/>
      <c r="M68" s="68"/>
      <c r="N68" s="68"/>
      <c r="O68" s="68"/>
      <c r="P68" s="68"/>
    </row>
    <row r="69" spans="3:16" x14ac:dyDescent="0.3">
      <c r="C69" s="63"/>
      <c r="D69" s="79" t="s">
        <v>111</v>
      </c>
      <c r="E69" s="89"/>
      <c r="F69" s="59"/>
      <c r="G69" s="60"/>
      <c r="H69" s="60"/>
      <c r="I69" s="60"/>
      <c r="J69" s="62"/>
      <c r="K69" s="61"/>
      <c r="L69" s="68"/>
      <c r="M69" s="68"/>
      <c r="N69" s="68"/>
      <c r="O69" s="68"/>
      <c r="P69" s="68"/>
    </row>
    <row r="70" spans="3:16" x14ac:dyDescent="0.3">
      <c r="C70" s="63"/>
      <c r="D70" s="159" t="s">
        <v>145</v>
      </c>
      <c r="E70" s="89"/>
      <c r="F70" s="59"/>
      <c r="G70" s="60"/>
      <c r="H70" s="60"/>
      <c r="I70" s="60"/>
      <c r="J70" s="62"/>
      <c r="K70" s="61"/>
      <c r="L70" s="68"/>
      <c r="M70" s="68"/>
      <c r="N70" s="68"/>
      <c r="O70" s="68"/>
      <c r="P70" s="68"/>
    </row>
    <row r="71" spans="3:16" x14ac:dyDescent="0.3">
      <c r="C71" s="63"/>
      <c r="D71" s="80" t="s">
        <v>322</v>
      </c>
      <c r="E71" s="90" t="s">
        <v>13</v>
      </c>
      <c r="F71" s="66">
        <v>1</v>
      </c>
      <c r="G71" s="67">
        <f>6.95+2.12+0.58</f>
        <v>9.65</v>
      </c>
      <c r="H71" s="67"/>
      <c r="I71" s="67"/>
      <c r="J71" s="66">
        <v>1</v>
      </c>
      <c r="K71" s="67">
        <f>F71*J71*G71</f>
        <v>9.65</v>
      </c>
      <c r="L71" s="68"/>
      <c r="M71" s="68"/>
      <c r="N71" s="68"/>
      <c r="O71" s="68"/>
      <c r="P71" s="68"/>
    </row>
    <row r="72" spans="3:16" x14ac:dyDescent="0.3">
      <c r="C72" s="63"/>
      <c r="D72" s="80" t="s">
        <v>323</v>
      </c>
      <c r="E72" s="90" t="s">
        <v>13</v>
      </c>
      <c r="F72" s="66">
        <v>6</v>
      </c>
      <c r="G72" s="67">
        <v>1.5</v>
      </c>
      <c r="H72" s="67"/>
      <c r="I72" s="67"/>
      <c r="J72" s="66">
        <v>1</v>
      </c>
      <c r="K72" s="67">
        <f>F72*J72*G72</f>
        <v>9</v>
      </c>
      <c r="L72" s="68"/>
      <c r="M72" s="68"/>
      <c r="N72" s="68"/>
      <c r="O72" s="68"/>
      <c r="P72" s="68"/>
    </row>
    <row r="73" spans="3:16" x14ac:dyDescent="0.3">
      <c r="C73" s="63"/>
      <c r="D73" s="80" t="s">
        <v>324</v>
      </c>
      <c r="E73" s="90" t="s">
        <v>13</v>
      </c>
      <c r="F73" s="66">
        <v>1</v>
      </c>
      <c r="G73" s="67">
        <v>1</v>
      </c>
      <c r="H73" s="67"/>
      <c r="I73" s="67"/>
      <c r="J73" s="66">
        <v>1</v>
      </c>
      <c r="K73" s="67">
        <f>F73*J73*G73</f>
        <v>1</v>
      </c>
      <c r="L73" s="68"/>
      <c r="M73" s="68"/>
      <c r="N73" s="68"/>
      <c r="O73" s="68"/>
      <c r="P73" s="68"/>
    </row>
    <row r="74" spans="3:16" x14ac:dyDescent="0.3">
      <c r="C74" s="72"/>
      <c r="D74" s="80" t="s">
        <v>171</v>
      </c>
      <c r="E74" s="90" t="s">
        <v>13</v>
      </c>
      <c r="F74" s="66">
        <v>2</v>
      </c>
      <c r="G74" s="67">
        <v>1.8</v>
      </c>
      <c r="H74" s="67"/>
      <c r="I74" s="67"/>
      <c r="J74" s="66">
        <v>1</v>
      </c>
      <c r="K74" s="67">
        <f>F74*J74*G74</f>
        <v>3.6</v>
      </c>
      <c r="L74" s="60"/>
      <c r="M74" s="61"/>
      <c r="N74" s="61"/>
      <c r="O74" s="61"/>
      <c r="P74" s="61"/>
    </row>
    <row r="75" spans="3:16" x14ac:dyDescent="0.3">
      <c r="C75" s="72"/>
      <c r="D75" s="159" t="s">
        <v>182</v>
      </c>
      <c r="E75" s="73"/>
      <c r="F75" s="82"/>
      <c r="G75" s="52"/>
      <c r="H75" s="52"/>
      <c r="I75" s="52"/>
      <c r="J75" s="62"/>
      <c r="K75" s="61"/>
      <c r="L75" s="60"/>
      <c r="M75" s="61"/>
      <c r="N75" s="61"/>
      <c r="O75" s="61"/>
      <c r="P75" s="61"/>
    </row>
    <row r="76" spans="3:16" x14ac:dyDescent="0.3">
      <c r="C76" s="72"/>
      <c r="D76" s="80" t="s">
        <v>322</v>
      </c>
      <c r="E76" s="90" t="s">
        <v>13</v>
      </c>
      <c r="F76" s="66">
        <v>1</v>
      </c>
      <c r="G76" s="67">
        <v>0.6</v>
      </c>
      <c r="H76" s="67"/>
      <c r="I76" s="67"/>
      <c r="J76" s="66">
        <v>2</v>
      </c>
      <c r="K76" s="67">
        <f t="shared" ref="K76:K87" si="3">F76*J76*G76</f>
        <v>1.2</v>
      </c>
      <c r="L76" s="60"/>
      <c r="M76" s="61"/>
      <c r="N76" s="61"/>
      <c r="O76" s="61"/>
      <c r="P76" s="61"/>
    </row>
    <row r="77" spans="3:16" x14ac:dyDescent="0.3">
      <c r="C77" s="72"/>
      <c r="D77" s="80"/>
      <c r="E77" s="90" t="s">
        <v>13</v>
      </c>
      <c r="F77" s="66">
        <v>2</v>
      </c>
      <c r="G77" s="67">
        <v>0.6</v>
      </c>
      <c r="H77" s="67"/>
      <c r="I77" s="67"/>
      <c r="J77" s="66">
        <v>2</v>
      </c>
      <c r="K77" s="67">
        <f t="shared" si="3"/>
        <v>2.4</v>
      </c>
      <c r="L77" s="60"/>
      <c r="M77" s="61"/>
      <c r="N77" s="61"/>
      <c r="O77" s="61"/>
      <c r="P77" s="61"/>
    </row>
    <row r="78" spans="3:16" x14ac:dyDescent="0.3">
      <c r="C78" s="72"/>
      <c r="D78" s="80"/>
      <c r="E78" s="90" t="s">
        <v>13</v>
      </c>
      <c r="F78" s="66">
        <v>2</v>
      </c>
      <c r="G78" s="67">
        <v>1.55</v>
      </c>
      <c r="H78" s="67"/>
      <c r="I78" s="67"/>
      <c r="J78" s="66">
        <v>2</v>
      </c>
      <c r="K78" s="67">
        <f t="shared" si="3"/>
        <v>6.2</v>
      </c>
      <c r="L78" s="60"/>
      <c r="M78" s="61"/>
      <c r="N78" s="61"/>
      <c r="O78" s="61"/>
      <c r="P78" s="61"/>
    </row>
    <row r="79" spans="3:16" x14ac:dyDescent="0.3">
      <c r="C79" s="72"/>
      <c r="D79" s="80"/>
      <c r="E79" s="90" t="s">
        <v>13</v>
      </c>
      <c r="F79" s="66">
        <v>1</v>
      </c>
      <c r="G79" s="67">
        <v>0.6</v>
      </c>
      <c r="H79" s="67"/>
      <c r="I79" s="67"/>
      <c r="J79" s="66">
        <v>2</v>
      </c>
      <c r="K79" s="67">
        <f t="shared" si="3"/>
        <v>1.2</v>
      </c>
      <c r="L79" s="60"/>
      <c r="M79" s="61"/>
      <c r="N79" s="61"/>
      <c r="O79" s="61"/>
      <c r="P79" s="61"/>
    </row>
    <row r="80" spans="3:16" x14ac:dyDescent="0.3">
      <c r="C80" s="72"/>
      <c r="D80" s="80"/>
      <c r="E80" s="90" t="s">
        <v>13</v>
      </c>
      <c r="F80" s="66">
        <v>1</v>
      </c>
      <c r="G80" s="67">
        <v>2.35</v>
      </c>
      <c r="H80" s="67"/>
      <c r="I80" s="67"/>
      <c r="J80" s="66">
        <v>2</v>
      </c>
      <c r="K80" s="67">
        <f t="shared" si="3"/>
        <v>4.7</v>
      </c>
      <c r="L80" s="60"/>
      <c r="M80" s="61"/>
      <c r="N80" s="61"/>
      <c r="O80" s="61"/>
      <c r="P80" s="61"/>
    </row>
    <row r="81" spans="3:16" x14ac:dyDescent="0.3">
      <c r="C81" s="72"/>
      <c r="D81" s="80"/>
      <c r="E81" s="90" t="s">
        <v>13</v>
      </c>
      <c r="F81" s="66">
        <v>1</v>
      </c>
      <c r="G81" s="67">
        <v>2.1</v>
      </c>
      <c r="H81" s="67"/>
      <c r="I81" s="67"/>
      <c r="J81" s="66">
        <v>2</v>
      </c>
      <c r="K81" s="67">
        <f t="shared" si="3"/>
        <v>4.2</v>
      </c>
      <c r="L81" s="60"/>
      <c r="M81" s="61"/>
      <c r="N81" s="61"/>
      <c r="O81" s="61"/>
      <c r="P81" s="61"/>
    </row>
    <row r="82" spans="3:16" x14ac:dyDescent="0.3">
      <c r="C82" s="72"/>
      <c r="D82" s="80" t="s">
        <v>323</v>
      </c>
      <c r="E82" s="90" t="s">
        <v>13</v>
      </c>
      <c r="F82" s="66">
        <v>2</v>
      </c>
      <c r="G82" s="67">
        <v>0.9</v>
      </c>
      <c r="H82" s="67"/>
      <c r="I82" s="67"/>
      <c r="J82" s="66">
        <v>1</v>
      </c>
      <c r="K82" s="67">
        <f t="shared" si="3"/>
        <v>1.8</v>
      </c>
      <c r="L82" s="60"/>
      <c r="M82" s="61"/>
      <c r="N82" s="61"/>
      <c r="O82" s="61"/>
      <c r="P82" s="61"/>
    </row>
    <row r="83" spans="3:16" x14ac:dyDescent="0.3">
      <c r="C83" s="72"/>
      <c r="D83" s="80"/>
      <c r="E83" s="90" t="s">
        <v>13</v>
      </c>
      <c r="F83" s="66">
        <v>2</v>
      </c>
      <c r="G83" s="67">
        <v>0.7</v>
      </c>
      <c r="H83" s="67"/>
      <c r="I83" s="67"/>
      <c r="J83" s="66">
        <v>1</v>
      </c>
      <c r="K83" s="67">
        <f t="shared" si="3"/>
        <v>1.4</v>
      </c>
      <c r="L83" s="60"/>
      <c r="M83" s="61"/>
      <c r="N83" s="61"/>
      <c r="O83" s="61"/>
      <c r="P83" s="61"/>
    </row>
    <row r="84" spans="3:16" x14ac:dyDescent="0.3">
      <c r="C84" s="72"/>
      <c r="D84" s="80"/>
      <c r="E84" s="90" t="s">
        <v>13</v>
      </c>
      <c r="F84" s="66">
        <v>2</v>
      </c>
      <c r="G84" s="67">
        <v>0.9</v>
      </c>
      <c r="H84" s="67"/>
      <c r="I84" s="67"/>
      <c r="J84" s="66">
        <v>1</v>
      </c>
      <c r="K84" s="67">
        <f t="shared" si="3"/>
        <v>1.8</v>
      </c>
      <c r="L84" s="60"/>
      <c r="M84" s="61"/>
      <c r="N84" s="61"/>
      <c r="O84" s="61"/>
      <c r="P84" s="61"/>
    </row>
    <row r="85" spans="3:16" x14ac:dyDescent="0.3">
      <c r="C85" s="72"/>
      <c r="D85" s="80"/>
      <c r="E85" s="90" t="s">
        <v>13</v>
      </c>
      <c r="F85" s="66">
        <v>2</v>
      </c>
      <c r="G85" s="67">
        <v>0.7</v>
      </c>
      <c r="H85" s="67"/>
      <c r="I85" s="67"/>
      <c r="J85" s="66">
        <v>1</v>
      </c>
      <c r="K85" s="67">
        <f t="shared" si="3"/>
        <v>1.4</v>
      </c>
      <c r="L85" s="60"/>
      <c r="M85" s="61"/>
      <c r="N85" s="61"/>
      <c r="O85" s="61"/>
      <c r="P85" s="61"/>
    </row>
    <row r="86" spans="3:16" x14ac:dyDescent="0.3">
      <c r="C86" s="72"/>
      <c r="D86" s="80"/>
      <c r="E86" s="90" t="s">
        <v>13</v>
      </c>
      <c r="F86" s="66">
        <v>2</v>
      </c>
      <c r="G86" s="67">
        <v>0.7</v>
      </c>
      <c r="H86" s="67"/>
      <c r="I86" s="67"/>
      <c r="J86" s="66">
        <v>1</v>
      </c>
      <c r="K86" s="67">
        <f t="shared" si="3"/>
        <v>1.4</v>
      </c>
      <c r="L86" s="60"/>
      <c r="M86" s="61"/>
      <c r="N86" s="61"/>
      <c r="O86" s="61"/>
      <c r="P86" s="61"/>
    </row>
    <row r="87" spans="3:16" x14ac:dyDescent="0.3">
      <c r="C87" s="72"/>
      <c r="D87" s="80" t="s">
        <v>325</v>
      </c>
      <c r="E87" s="90" t="s">
        <v>13</v>
      </c>
      <c r="F87" s="66">
        <v>2</v>
      </c>
      <c r="G87" s="67">
        <v>1</v>
      </c>
      <c r="H87" s="67"/>
      <c r="I87" s="67"/>
      <c r="J87" s="66">
        <v>1</v>
      </c>
      <c r="K87" s="67">
        <f t="shared" si="3"/>
        <v>2</v>
      </c>
      <c r="L87" s="60"/>
      <c r="M87" s="61"/>
      <c r="N87" s="61"/>
      <c r="O87" s="61"/>
      <c r="P87" s="61"/>
    </row>
    <row r="88" spans="3:16" x14ac:dyDescent="0.3">
      <c r="C88" s="72"/>
      <c r="D88" s="64"/>
      <c r="E88" s="65"/>
      <c r="F88" s="66"/>
      <c r="G88" s="67"/>
      <c r="H88" s="67"/>
      <c r="I88" s="68"/>
      <c r="J88" s="69"/>
      <c r="K88" s="68"/>
      <c r="L88" s="60"/>
      <c r="M88" s="61"/>
      <c r="N88" s="61"/>
      <c r="O88" s="61"/>
      <c r="P88" s="61"/>
    </row>
    <row r="89" spans="3:16" x14ac:dyDescent="0.3">
      <c r="C89" s="72"/>
      <c r="D89" s="94" t="s">
        <v>326</v>
      </c>
      <c r="E89" s="65"/>
      <c r="F89" s="69"/>
      <c r="G89" s="67"/>
      <c r="H89" s="67"/>
      <c r="I89" s="67"/>
      <c r="J89" s="66"/>
      <c r="K89" s="68"/>
      <c r="L89" s="60"/>
      <c r="M89" s="61"/>
      <c r="N89" s="61"/>
      <c r="O89" s="61"/>
      <c r="P89" s="61"/>
    </row>
    <row r="90" spans="3:16" x14ac:dyDescent="0.3">
      <c r="C90" s="87"/>
      <c r="D90" s="81" t="s">
        <v>115</v>
      </c>
      <c r="E90" s="73"/>
      <c r="F90" s="82"/>
      <c r="G90" s="52"/>
      <c r="H90" s="52"/>
      <c r="I90" s="52"/>
      <c r="J90" s="62"/>
      <c r="K90" s="61"/>
      <c r="L90" s="68"/>
      <c r="M90" s="61"/>
      <c r="N90" s="61"/>
      <c r="O90" s="61"/>
      <c r="P90" s="61"/>
    </row>
    <row r="91" spans="3:16" x14ac:dyDescent="0.3">
      <c r="C91" s="48"/>
      <c r="D91" s="159" t="s">
        <v>145</v>
      </c>
      <c r="E91" s="73"/>
      <c r="F91" s="82"/>
      <c r="G91" s="52"/>
      <c r="H91" s="52"/>
      <c r="I91" s="52"/>
      <c r="J91" s="62"/>
      <c r="K91" s="61"/>
      <c r="L91" s="138"/>
      <c r="M91" s="138"/>
      <c r="N91" s="138"/>
      <c r="O91" s="138"/>
      <c r="P91" s="55"/>
    </row>
    <row r="92" spans="3:16" x14ac:dyDescent="0.3">
      <c r="C92" s="87"/>
      <c r="D92" s="80" t="s">
        <v>211</v>
      </c>
      <c r="E92" s="90" t="s">
        <v>13</v>
      </c>
      <c r="F92" s="66">
        <v>4</v>
      </c>
      <c r="G92" s="67">
        <f>6.95+2.12+0.58</f>
        <v>9.65</v>
      </c>
      <c r="H92" s="67"/>
      <c r="I92" s="67"/>
      <c r="J92" s="66">
        <v>1</v>
      </c>
      <c r="K92" s="67">
        <f>F92*J92*G92</f>
        <v>38.6</v>
      </c>
      <c r="L92" s="138"/>
      <c r="M92" s="138"/>
      <c r="N92" s="138"/>
      <c r="O92" s="138"/>
      <c r="P92" s="55"/>
    </row>
    <row r="93" spans="3:16" x14ac:dyDescent="0.3">
      <c r="C93" s="87"/>
      <c r="D93" s="80" t="s">
        <v>327</v>
      </c>
      <c r="E93" s="90" t="s">
        <v>13</v>
      </c>
      <c r="F93" s="66">
        <v>1</v>
      </c>
      <c r="G93" s="67">
        <f>12.88+3.92</f>
        <v>16.8</v>
      </c>
      <c r="H93" s="67"/>
      <c r="I93" s="67"/>
      <c r="J93" s="66">
        <v>1</v>
      </c>
      <c r="K93" s="67">
        <f>F93*J93*G93</f>
        <v>16.8</v>
      </c>
      <c r="L93" s="138"/>
      <c r="M93" s="138"/>
      <c r="N93" s="138"/>
      <c r="O93" s="138"/>
      <c r="P93" s="55"/>
    </row>
    <row r="94" spans="3:16" x14ac:dyDescent="0.3">
      <c r="C94" s="87"/>
      <c r="D94" s="80" t="s">
        <v>328</v>
      </c>
      <c r="E94" s="90" t="s">
        <v>13</v>
      </c>
      <c r="F94" s="66">
        <v>4</v>
      </c>
      <c r="G94" s="67">
        <v>1.5</v>
      </c>
      <c r="H94" s="67"/>
      <c r="I94" s="67"/>
      <c r="J94" s="66">
        <v>1</v>
      </c>
      <c r="K94" s="67">
        <f>F94*J94*G94</f>
        <v>6</v>
      </c>
      <c r="L94" s="138"/>
      <c r="M94" s="138"/>
      <c r="N94" s="138"/>
      <c r="O94" s="138"/>
      <c r="P94" s="55"/>
    </row>
    <row r="95" spans="3:16" x14ac:dyDescent="0.3">
      <c r="C95" s="87"/>
      <c r="D95" s="80" t="s">
        <v>329</v>
      </c>
      <c r="E95" s="90" t="s">
        <v>13</v>
      </c>
      <c r="F95" s="66">
        <v>1</v>
      </c>
      <c r="G95" s="67">
        <f>9.87+3.4</f>
        <v>13.27</v>
      </c>
      <c r="H95" s="67"/>
      <c r="I95" s="67"/>
      <c r="J95" s="66">
        <v>1</v>
      </c>
      <c r="K95" s="67">
        <f>F95*J95*G95</f>
        <v>13.27</v>
      </c>
      <c r="L95" s="138"/>
      <c r="M95" s="138"/>
      <c r="N95" s="138"/>
      <c r="O95" s="138"/>
      <c r="P95" s="55"/>
    </row>
    <row r="96" spans="3:16" x14ac:dyDescent="0.3">
      <c r="C96" s="87"/>
      <c r="D96" s="80" t="s">
        <v>330</v>
      </c>
      <c r="E96" s="90" t="s">
        <v>13</v>
      </c>
      <c r="F96" s="66">
        <v>5</v>
      </c>
      <c r="G96" s="67">
        <v>1.5</v>
      </c>
      <c r="H96" s="67"/>
      <c r="I96" s="67"/>
      <c r="J96" s="66">
        <v>1</v>
      </c>
      <c r="K96" s="67">
        <f>F96*J96*G96</f>
        <v>7.5</v>
      </c>
      <c r="L96" s="138"/>
      <c r="M96" s="138"/>
      <c r="N96" s="138"/>
      <c r="O96" s="138"/>
      <c r="P96" s="55"/>
    </row>
    <row r="97" spans="3:16" x14ac:dyDescent="0.3">
      <c r="C97" s="87"/>
      <c r="D97" s="159" t="s">
        <v>182</v>
      </c>
      <c r="E97" s="73"/>
      <c r="F97" s="82"/>
      <c r="G97" s="52"/>
      <c r="H97" s="52"/>
      <c r="I97" s="52"/>
      <c r="J97" s="62"/>
      <c r="K97" s="61"/>
      <c r="L97" s="138"/>
      <c r="M97" s="138"/>
      <c r="N97" s="138"/>
      <c r="O97" s="138"/>
      <c r="P97" s="55"/>
    </row>
    <row r="98" spans="3:16" x14ac:dyDescent="0.3">
      <c r="C98" s="87"/>
      <c r="D98" s="80" t="s">
        <v>211</v>
      </c>
      <c r="E98" s="90" t="s">
        <v>13</v>
      </c>
      <c r="F98" s="66">
        <v>1</v>
      </c>
      <c r="G98" s="67">
        <v>1.85</v>
      </c>
      <c r="H98" s="67"/>
      <c r="I98" s="67"/>
      <c r="J98" s="66">
        <v>1</v>
      </c>
      <c r="K98" s="67">
        <f>F98*J98*G98</f>
        <v>1.85</v>
      </c>
      <c r="L98" s="138"/>
      <c r="M98" s="138"/>
      <c r="N98" s="138"/>
      <c r="O98" s="138"/>
      <c r="P98" s="55"/>
    </row>
    <row r="99" spans="3:16" x14ac:dyDescent="0.3">
      <c r="C99" s="87"/>
      <c r="D99" s="80"/>
      <c r="E99" s="90" t="s">
        <v>13</v>
      </c>
      <c r="F99" s="66">
        <v>1</v>
      </c>
      <c r="G99" s="67">
        <v>0.6</v>
      </c>
      <c r="H99" s="67"/>
      <c r="I99" s="67"/>
      <c r="J99" s="66">
        <v>1</v>
      </c>
      <c r="K99" s="67">
        <f>F99*J99*G99</f>
        <v>0.6</v>
      </c>
      <c r="L99" s="138"/>
      <c r="M99" s="138"/>
      <c r="N99" s="138"/>
      <c r="O99" s="138"/>
      <c r="P99" s="55"/>
    </row>
    <row r="100" spans="3:16" x14ac:dyDescent="0.3">
      <c r="C100" s="87"/>
      <c r="D100" s="80" t="s">
        <v>179</v>
      </c>
      <c r="E100" s="90" t="s">
        <v>13</v>
      </c>
      <c r="F100" s="66">
        <v>2</v>
      </c>
      <c r="G100" s="67">
        <v>0.85</v>
      </c>
      <c r="H100" s="67"/>
      <c r="I100" s="67"/>
      <c r="J100" s="66">
        <v>1</v>
      </c>
      <c r="K100" s="67">
        <f t="shared" ref="K100:K113" si="4">F100*J100*G100</f>
        <v>1.7</v>
      </c>
      <c r="L100" s="138"/>
      <c r="M100" s="138"/>
      <c r="N100" s="138"/>
      <c r="O100" s="138"/>
      <c r="P100" s="55"/>
    </row>
    <row r="101" spans="3:16" x14ac:dyDescent="0.3">
      <c r="C101" s="87"/>
      <c r="D101" s="80"/>
      <c r="E101" s="90" t="s">
        <v>13</v>
      </c>
      <c r="F101" s="66">
        <v>2</v>
      </c>
      <c r="G101" s="67">
        <v>0.75</v>
      </c>
      <c r="H101" s="67"/>
      <c r="I101" s="67"/>
      <c r="J101" s="66">
        <v>1</v>
      </c>
      <c r="K101" s="67">
        <f t="shared" si="4"/>
        <v>1.5</v>
      </c>
      <c r="L101" s="138"/>
      <c r="M101" s="138"/>
      <c r="N101" s="138"/>
      <c r="O101" s="138"/>
      <c r="P101" s="55"/>
    </row>
    <row r="102" spans="3:16" x14ac:dyDescent="0.3">
      <c r="C102" s="87"/>
      <c r="D102" s="80" t="s">
        <v>327</v>
      </c>
      <c r="E102" s="90" t="s">
        <v>13</v>
      </c>
      <c r="F102" s="66">
        <v>1</v>
      </c>
      <c r="G102" s="67">
        <v>1.8</v>
      </c>
      <c r="H102" s="67"/>
      <c r="I102" s="67"/>
      <c r="J102" s="66">
        <v>2</v>
      </c>
      <c r="K102" s="67">
        <f t="shared" si="4"/>
        <v>3.6</v>
      </c>
      <c r="L102" s="138"/>
      <c r="M102" s="138"/>
      <c r="N102" s="138"/>
      <c r="O102" s="138"/>
      <c r="P102" s="55"/>
    </row>
    <row r="103" spans="3:16" x14ac:dyDescent="0.3">
      <c r="C103" s="87"/>
      <c r="D103" s="80"/>
      <c r="E103" s="90" t="s">
        <v>13</v>
      </c>
      <c r="F103" s="66">
        <v>2</v>
      </c>
      <c r="G103" s="67">
        <v>0.6</v>
      </c>
      <c r="H103" s="67"/>
      <c r="I103" s="67"/>
      <c r="J103" s="66">
        <v>2</v>
      </c>
      <c r="K103" s="67">
        <f t="shared" si="4"/>
        <v>2.4</v>
      </c>
      <c r="L103" s="138"/>
      <c r="M103" s="138"/>
      <c r="N103" s="138"/>
      <c r="O103" s="138"/>
      <c r="P103" s="55"/>
    </row>
    <row r="104" spans="3:16" x14ac:dyDescent="0.3">
      <c r="C104" s="87"/>
      <c r="D104" s="80"/>
      <c r="E104" s="90" t="s">
        <v>13</v>
      </c>
      <c r="F104" s="66">
        <v>1</v>
      </c>
      <c r="G104" s="67">
        <v>3.4</v>
      </c>
      <c r="H104" s="67"/>
      <c r="I104" s="67"/>
      <c r="J104" s="66">
        <v>1</v>
      </c>
      <c r="K104" s="67">
        <f t="shared" si="4"/>
        <v>3.4</v>
      </c>
      <c r="L104" s="138"/>
      <c r="M104" s="138"/>
      <c r="N104" s="138"/>
      <c r="O104" s="138"/>
      <c r="P104" s="55"/>
    </row>
    <row r="105" spans="3:16" x14ac:dyDescent="0.3">
      <c r="C105" s="87"/>
      <c r="D105" s="80"/>
      <c r="E105" s="90" t="s">
        <v>13</v>
      </c>
      <c r="F105" s="66">
        <v>1</v>
      </c>
      <c r="G105" s="67">
        <v>0.6</v>
      </c>
      <c r="H105" s="67"/>
      <c r="I105" s="67"/>
      <c r="J105" s="66">
        <v>1</v>
      </c>
      <c r="K105" s="67">
        <f t="shared" si="4"/>
        <v>0.6</v>
      </c>
      <c r="L105" s="138"/>
      <c r="M105" s="138"/>
      <c r="N105" s="138"/>
      <c r="O105" s="138"/>
      <c r="P105" s="55"/>
    </row>
    <row r="106" spans="3:16" x14ac:dyDescent="0.3">
      <c r="C106" s="87"/>
      <c r="D106" s="80"/>
      <c r="E106" s="90" t="s">
        <v>13</v>
      </c>
      <c r="F106" s="66">
        <v>2</v>
      </c>
      <c r="G106" s="67">
        <v>3.7</v>
      </c>
      <c r="H106" s="67"/>
      <c r="I106" s="67"/>
      <c r="J106" s="66">
        <v>2</v>
      </c>
      <c r="K106" s="67">
        <f t="shared" si="4"/>
        <v>14.8</v>
      </c>
      <c r="L106" s="138"/>
      <c r="M106" s="138"/>
      <c r="N106" s="138"/>
      <c r="O106" s="138"/>
      <c r="P106" s="55"/>
    </row>
    <row r="107" spans="3:16" x14ac:dyDescent="0.3">
      <c r="C107" s="87"/>
      <c r="D107" s="80"/>
      <c r="E107" s="90" t="s">
        <v>13</v>
      </c>
      <c r="F107" s="66">
        <v>0</v>
      </c>
      <c r="G107" s="67">
        <v>0.6</v>
      </c>
      <c r="H107" s="67"/>
      <c r="I107" s="67"/>
      <c r="J107" s="66">
        <v>1</v>
      </c>
      <c r="K107" s="67">
        <f t="shared" si="4"/>
        <v>0</v>
      </c>
      <c r="L107" s="138"/>
      <c r="M107" s="138"/>
      <c r="N107" s="138"/>
      <c r="O107" s="138"/>
      <c r="P107" s="55"/>
    </row>
    <row r="108" spans="3:16" x14ac:dyDescent="0.3">
      <c r="C108" s="87"/>
      <c r="D108" s="80" t="s">
        <v>328</v>
      </c>
      <c r="E108" s="90" t="s">
        <v>13</v>
      </c>
      <c r="F108" s="66">
        <v>2</v>
      </c>
      <c r="G108" s="67">
        <v>0.9</v>
      </c>
      <c r="H108" s="67"/>
      <c r="I108" s="67"/>
      <c r="J108" s="66">
        <v>1</v>
      </c>
      <c r="K108" s="67">
        <f t="shared" si="4"/>
        <v>1.8</v>
      </c>
      <c r="L108" s="138"/>
      <c r="M108" s="138"/>
      <c r="N108" s="138"/>
      <c r="O108" s="138"/>
      <c r="P108" s="55"/>
    </row>
    <row r="109" spans="3:16" x14ac:dyDescent="0.3">
      <c r="C109" s="87"/>
      <c r="D109" s="80"/>
      <c r="E109" s="90" t="s">
        <v>13</v>
      </c>
      <c r="F109" s="66">
        <v>2</v>
      </c>
      <c r="G109" s="67">
        <v>0.7</v>
      </c>
      <c r="H109" s="67"/>
      <c r="I109" s="67"/>
      <c r="J109" s="66">
        <v>1</v>
      </c>
      <c r="K109" s="67">
        <f t="shared" si="4"/>
        <v>1.4</v>
      </c>
      <c r="L109" s="138"/>
      <c r="M109" s="138"/>
      <c r="N109" s="138"/>
      <c r="O109" s="138"/>
      <c r="P109" s="55"/>
    </row>
    <row r="110" spans="3:16" x14ac:dyDescent="0.3">
      <c r="C110" s="87"/>
      <c r="D110" s="80"/>
      <c r="E110" s="90" t="s">
        <v>13</v>
      </c>
      <c r="F110" s="66">
        <v>1</v>
      </c>
      <c r="G110" s="67">
        <v>0.9</v>
      </c>
      <c r="H110" s="67"/>
      <c r="I110" s="67"/>
      <c r="J110" s="66">
        <v>1</v>
      </c>
      <c r="K110" s="67">
        <f t="shared" si="4"/>
        <v>0.9</v>
      </c>
      <c r="L110" s="138"/>
      <c r="M110" s="138"/>
      <c r="N110" s="138"/>
      <c r="O110" s="138"/>
      <c r="P110" s="55"/>
    </row>
    <row r="111" spans="3:16" x14ac:dyDescent="0.3">
      <c r="C111" s="87"/>
      <c r="D111" s="80"/>
      <c r="E111" s="90" t="s">
        <v>13</v>
      </c>
      <c r="F111" s="66">
        <v>4</v>
      </c>
      <c r="G111" s="67">
        <v>0.7</v>
      </c>
      <c r="H111" s="67"/>
      <c r="I111" s="67"/>
      <c r="J111" s="66">
        <v>1</v>
      </c>
      <c r="K111" s="67">
        <f t="shared" si="4"/>
        <v>2.8</v>
      </c>
      <c r="L111" s="138"/>
      <c r="M111" s="138"/>
      <c r="N111" s="138"/>
      <c r="O111" s="138"/>
      <c r="P111" s="55"/>
    </row>
    <row r="112" spans="3:16" x14ac:dyDescent="0.3">
      <c r="C112" s="87"/>
      <c r="D112" s="80"/>
      <c r="E112" s="90" t="s">
        <v>13</v>
      </c>
      <c r="F112" s="66">
        <v>1</v>
      </c>
      <c r="G112" s="67">
        <v>0.9</v>
      </c>
      <c r="H112" s="67"/>
      <c r="I112" s="67"/>
      <c r="J112" s="66">
        <v>1</v>
      </c>
      <c r="K112" s="67">
        <f t="shared" si="4"/>
        <v>0.9</v>
      </c>
      <c r="L112" s="138"/>
      <c r="M112" s="138"/>
      <c r="N112" s="138"/>
      <c r="O112" s="138"/>
      <c r="P112" s="55"/>
    </row>
    <row r="113" spans="3:16" x14ac:dyDescent="0.3">
      <c r="C113" s="87"/>
      <c r="D113" s="80"/>
      <c r="E113" s="90" t="s">
        <v>13</v>
      </c>
      <c r="F113" s="66">
        <v>8</v>
      </c>
      <c r="G113" s="67">
        <v>0.7</v>
      </c>
      <c r="H113" s="67"/>
      <c r="I113" s="67"/>
      <c r="J113" s="66">
        <v>1</v>
      </c>
      <c r="K113" s="67">
        <f t="shared" si="4"/>
        <v>5.6</v>
      </c>
      <c r="L113" s="138"/>
      <c r="M113" s="138"/>
      <c r="N113" s="138"/>
      <c r="O113" s="138"/>
      <c r="P113" s="55"/>
    </row>
    <row r="114" spans="3:16" x14ac:dyDescent="0.3">
      <c r="C114" s="87"/>
      <c r="D114" s="80" t="s">
        <v>329</v>
      </c>
      <c r="E114" s="90" t="s">
        <v>13</v>
      </c>
      <c r="F114" s="66">
        <v>1</v>
      </c>
      <c r="G114" s="67">
        <v>3.4</v>
      </c>
      <c r="H114" s="67"/>
      <c r="I114" s="67"/>
      <c r="J114" s="66">
        <v>1</v>
      </c>
      <c r="K114" s="67">
        <f>F114*J114*G114</f>
        <v>3.4</v>
      </c>
      <c r="L114" s="138"/>
      <c r="M114" s="138"/>
      <c r="N114" s="138"/>
      <c r="O114" s="138"/>
      <c r="P114" s="55"/>
    </row>
    <row r="115" spans="3:16" x14ac:dyDescent="0.3">
      <c r="C115" s="87"/>
      <c r="D115" s="80"/>
      <c r="E115" s="90" t="s">
        <v>13</v>
      </c>
      <c r="F115" s="66">
        <v>1</v>
      </c>
      <c r="G115" s="67">
        <v>0.6</v>
      </c>
      <c r="H115" s="67"/>
      <c r="I115" s="67"/>
      <c r="J115" s="66">
        <v>1</v>
      </c>
      <c r="K115" s="67">
        <f>F115*J115*G115</f>
        <v>0.6</v>
      </c>
      <c r="L115" s="138"/>
      <c r="M115" s="138"/>
      <c r="N115" s="138"/>
      <c r="O115" s="138"/>
      <c r="P115" s="55"/>
    </row>
    <row r="116" spans="3:16" x14ac:dyDescent="0.3">
      <c r="C116" s="87"/>
      <c r="D116" s="80"/>
      <c r="E116" s="90" t="s">
        <v>13</v>
      </c>
      <c r="F116" s="66">
        <v>2</v>
      </c>
      <c r="G116" s="67">
        <v>3.7</v>
      </c>
      <c r="H116" s="67"/>
      <c r="I116" s="67"/>
      <c r="J116" s="66">
        <v>2</v>
      </c>
      <c r="K116" s="67">
        <f>F116*J116*G116</f>
        <v>14.8</v>
      </c>
      <c r="L116" s="138"/>
      <c r="M116" s="138"/>
      <c r="N116" s="138"/>
      <c r="O116" s="138"/>
      <c r="P116" s="55"/>
    </row>
    <row r="117" spans="3:16" x14ac:dyDescent="0.3">
      <c r="C117" s="87"/>
      <c r="D117" s="80"/>
      <c r="E117" s="90" t="s">
        <v>13</v>
      </c>
      <c r="F117" s="66">
        <v>0</v>
      </c>
      <c r="G117" s="67">
        <v>0.6</v>
      </c>
      <c r="H117" s="67"/>
      <c r="I117" s="67"/>
      <c r="J117" s="66">
        <v>1</v>
      </c>
      <c r="K117" s="67">
        <f>F117*J117*G117</f>
        <v>0</v>
      </c>
      <c r="L117" s="138"/>
      <c r="M117" s="138"/>
      <c r="N117" s="138"/>
      <c r="O117" s="138"/>
      <c r="P117" s="55"/>
    </row>
    <row r="118" spans="3:16" x14ac:dyDescent="0.3">
      <c r="C118" s="87"/>
      <c r="D118" s="80" t="s">
        <v>330</v>
      </c>
      <c r="E118" s="90" t="s">
        <v>13</v>
      </c>
      <c r="F118" s="66">
        <v>1</v>
      </c>
      <c r="G118" s="67">
        <v>0.9</v>
      </c>
      <c r="H118" s="67"/>
      <c r="I118" s="67"/>
      <c r="J118" s="66">
        <v>1</v>
      </c>
      <c r="K118" s="67">
        <f t="shared" ref="K118:K121" si="5">F118*J118*G118</f>
        <v>0.9</v>
      </c>
      <c r="L118" s="138"/>
      <c r="M118" s="138"/>
      <c r="N118" s="138"/>
      <c r="O118" s="138"/>
      <c r="P118" s="55"/>
    </row>
    <row r="119" spans="3:16" x14ac:dyDescent="0.3">
      <c r="C119" s="87"/>
      <c r="D119" s="80"/>
      <c r="E119" s="90" t="s">
        <v>13</v>
      </c>
      <c r="F119" s="66">
        <v>4</v>
      </c>
      <c r="G119" s="67">
        <v>0.7</v>
      </c>
      <c r="H119" s="67"/>
      <c r="I119" s="67"/>
      <c r="J119" s="66">
        <v>1</v>
      </c>
      <c r="K119" s="67">
        <f t="shared" si="5"/>
        <v>2.8</v>
      </c>
      <c r="L119" s="138"/>
      <c r="M119" s="138"/>
      <c r="N119" s="138"/>
      <c r="O119" s="138"/>
      <c r="P119" s="55"/>
    </row>
    <row r="120" spans="3:16" x14ac:dyDescent="0.3">
      <c r="C120" s="87"/>
      <c r="D120" s="80"/>
      <c r="E120" s="90" t="s">
        <v>13</v>
      </c>
      <c r="F120" s="66">
        <v>1</v>
      </c>
      <c r="G120" s="67">
        <v>0.9</v>
      </c>
      <c r="H120" s="67"/>
      <c r="I120" s="67"/>
      <c r="J120" s="66">
        <v>1</v>
      </c>
      <c r="K120" s="67">
        <f t="shared" si="5"/>
        <v>0.9</v>
      </c>
      <c r="L120" s="138"/>
      <c r="M120" s="138"/>
      <c r="N120" s="138"/>
      <c r="O120" s="138"/>
      <c r="P120" s="55"/>
    </row>
    <row r="121" spans="3:16" x14ac:dyDescent="0.3">
      <c r="C121" s="87"/>
      <c r="D121" s="80"/>
      <c r="E121" s="90" t="s">
        <v>13</v>
      </c>
      <c r="F121" s="66">
        <v>8</v>
      </c>
      <c r="G121" s="67">
        <v>0.7</v>
      </c>
      <c r="H121" s="67"/>
      <c r="I121" s="67"/>
      <c r="J121" s="66">
        <v>1</v>
      </c>
      <c r="K121" s="67">
        <f t="shared" si="5"/>
        <v>5.6</v>
      </c>
      <c r="L121" s="138"/>
      <c r="M121" s="138"/>
      <c r="N121" s="138"/>
      <c r="O121" s="138"/>
      <c r="P121" s="55"/>
    </row>
    <row r="122" spans="3:16" x14ac:dyDescent="0.3">
      <c r="C122" s="87"/>
      <c r="D122" s="75"/>
      <c r="E122" s="73"/>
      <c r="F122" s="82"/>
      <c r="G122" s="52"/>
      <c r="H122" s="52"/>
      <c r="I122" s="52"/>
      <c r="J122" s="62"/>
      <c r="K122" s="61"/>
      <c r="L122" s="138"/>
      <c r="M122" s="138"/>
      <c r="N122" s="138"/>
      <c r="O122" s="138"/>
      <c r="P122" s="55"/>
    </row>
    <row r="123" spans="3:16" x14ac:dyDescent="0.3">
      <c r="C123" s="87"/>
      <c r="D123" s="81" t="s">
        <v>139</v>
      </c>
      <c r="E123" s="73"/>
      <c r="F123" s="82"/>
      <c r="G123" s="52"/>
      <c r="H123" s="52"/>
      <c r="I123" s="52"/>
      <c r="J123" s="62"/>
      <c r="K123" s="61"/>
      <c r="L123" s="138"/>
      <c r="M123" s="138"/>
      <c r="N123" s="138"/>
      <c r="O123" s="138"/>
      <c r="P123" s="55"/>
    </row>
    <row r="124" spans="3:16" x14ac:dyDescent="0.3">
      <c r="C124" s="87"/>
      <c r="D124" s="159" t="s">
        <v>127</v>
      </c>
      <c r="E124" s="73"/>
      <c r="F124" s="82"/>
      <c r="G124" s="52"/>
      <c r="H124" s="52"/>
      <c r="I124" s="52"/>
      <c r="J124" s="62"/>
      <c r="K124" s="61"/>
      <c r="L124" s="138"/>
      <c r="M124" s="138"/>
      <c r="N124" s="138"/>
      <c r="O124" s="138"/>
      <c r="P124" s="55"/>
    </row>
    <row r="125" spans="3:16" x14ac:dyDescent="0.3">
      <c r="C125" s="87"/>
      <c r="D125" s="80" t="s">
        <v>331</v>
      </c>
      <c r="E125" s="90" t="s">
        <v>13</v>
      </c>
      <c r="F125" s="66">
        <v>1</v>
      </c>
      <c r="G125" s="67">
        <v>19.760000000000002</v>
      </c>
      <c r="H125" s="67"/>
      <c r="I125" s="67"/>
      <c r="J125" s="66">
        <v>1</v>
      </c>
      <c r="K125" s="67">
        <v>19.760000000000002</v>
      </c>
      <c r="L125" s="138"/>
      <c r="M125" s="138"/>
      <c r="N125" s="138"/>
      <c r="O125" s="138"/>
      <c r="P125" s="55"/>
    </row>
    <row r="126" spans="3:16" x14ac:dyDescent="0.3">
      <c r="C126" s="87"/>
      <c r="D126" s="80" t="s">
        <v>179</v>
      </c>
      <c r="E126" s="90" t="s">
        <v>13</v>
      </c>
      <c r="F126" s="66">
        <v>20</v>
      </c>
      <c r="G126" s="67"/>
      <c r="H126" s="67"/>
      <c r="I126" s="67">
        <v>0.1</v>
      </c>
      <c r="J126" s="66">
        <v>1</v>
      </c>
      <c r="K126" s="67">
        <v>2</v>
      </c>
      <c r="L126" s="138"/>
      <c r="M126" s="138"/>
      <c r="N126" s="138"/>
      <c r="O126" s="138"/>
      <c r="P126" s="55"/>
    </row>
    <row r="127" spans="3:16" x14ac:dyDescent="0.3">
      <c r="C127" s="87"/>
      <c r="D127" s="75"/>
      <c r="E127" s="73"/>
      <c r="F127" s="82"/>
      <c r="G127" s="52"/>
      <c r="H127" s="52"/>
      <c r="I127" s="52"/>
      <c r="J127" s="62"/>
      <c r="K127" s="61"/>
      <c r="L127" s="138"/>
      <c r="M127" s="138"/>
      <c r="N127" s="138"/>
      <c r="O127" s="138"/>
      <c r="P127" s="55"/>
    </row>
    <row r="128" spans="3:16" x14ac:dyDescent="0.3">
      <c r="C128" s="63"/>
      <c r="D128" s="64"/>
      <c r="E128" s="65"/>
      <c r="F128" s="66"/>
      <c r="G128" s="67"/>
      <c r="H128" s="67"/>
      <c r="I128" s="68"/>
      <c r="J128" s="69"/>
      <c r="K128" s="68"/>
      <c r="L128" s="68"/>
      <c r="M128" s="68"/>
      <c r="N128" s="68"/>
      <c r="O128" s="68"/>
      <c r="P128" s="68"/>
    </row>
    <row r="129" spans="3:16" x14ac:dyDescent="0.3">
      <c r="C129" s="63"/>
      <c r="D129" s="64"/>
      <c r="E129" s="65"/>
      <c r="F129" s="66"/>
      <c r="G129" s="67"/>
      <c r="H129" s="67"/>
      <c r="I129" s="68"/>
      <c r="J129" s="69"/>
      <c r="K129" s="68"/>
      <c r="L129" s="68"/>
      <c r="M129" s="68"/>
      <c r="N129" s="68"/>
      <c r="O129" s="68"/>
      <c r="P129" s="68"/>
    </row>
    <row r="130" spans="3:16" x14ac:dyDescent="0.3">
      <c r="C130" s="63"/>
      <c r="D130" s="64"/>
      <c r="E130" s="65"/>
      <c r="F130" s="66"/>
      <c r="G130" s="67"/>
      <c r="H130" s="67"/>
      <c r="I130" s="68"/>
      <c r="J130" s="69"/>
      <c r="K130" s="68"/>
      <c r="L130" s="68"/>
      <c r="M130" s="68"/>
      <c r="N130" s="68"/>
      <c r="O130" s="68"/>
      <c r="P130" s="68"/>
    </row>
    <row r="131" spans="3:16" x14ac:dyDescent="0.3">
      <c r="C131" s="63"/>
      <c r="D131" s="64"/>
      <c r="E131" s="65"/>
      <c r="F131" s="66"/>
      <c r="G131" s="67"/>
      <c r="H131" s="67"/>
      <c r="I131" s="68"/>
      <c r="J131" s="69"/>
      <c r="K131" s="68"/>
      <c r="L131" s="68"/>
      <c r="M131" s="68"/>
      <c r="N131" s="68"/>
      <c r="O131" s="68"/>
      <c r="P131" s="68"/>
    </row>
    <row r="132" spans="3:16" x14ac:dyDescent="0.3">
      <c r="C132" s="63"/>
      <c r="D132" s="64"/>
      <c r="E132" s="65"/>
      <c r="F132" s="66"/>
      <c r="G132" s="67"/>
      <c r="H132" s="67"/>
      <c r="I132" s="68"/>
      <c r="J132" s="69"/>
      <c r="K132" s="68"/>
      <c r="L132" s="68"/>
      <c r="M132" s="68"/>
      <c r="N132" s="68"/>
      <c r="O132" s="68"/>
      <c r="P132" s="68"/>
    </row>
    <row r="133" spans="3:16" x14ac:dyDescent="0.3">
      <c r="C133" s="63"/>
      <c r="D133" s="64"/>
      <c r="E133" s="65"/>
      <c r="F133" s="66"/>
      <c r="G133" s="67"/>
      <c r="H133" s="67"/>
      <c r="I133" s="68"/>
      <c r="J133" s="69"/>
      <c r="K133" s="68"/>
      <c r="L133" s="68"/>
      <c r="M133" s="68"/>
      <c r="N133" s="68"/>
      <c r="O133" s="68"/>
      <c r="P133" s="68"/>
    </row>
    <row r="134" spans="3:16" x14ac:dyDescent="0.3">
      <c r="C134" s="63"/>
      <c r="D134" s="64"/>
      <c r="E134" s="65"/>
      <c r="F134" s="66"/>
      <c r="G134" s="67"/>
      <c r="H134" s="67"/>
      <c r="I134" s="68"/>
      <c r="J134" s="69"/>
      <c r="K134" s="68"/>
      <c r="L134" s="68"/>
      <c r="M134" s="68"/>
      <c r="N134" s="68"/>
      <c r="O134" s="68"/>
      <c r="P134" s="68"/>
    </row>
    <row r="135" spans="3:16" x14ac:dyDescent="0.3">
      <c r="C135" s="63"/>
      <c r="D135" s="64"/>
      <c r="E135" s="65"/>
      <c r="F135" s="66"/>
      <c r="G135" s="67"/>
      <c r="H135" s="67"/>
      <c r="I135" s="68"/>
      <c r="J135" s="69"/>
      <c r="K135" s="68"/>
      <c r="L135" s="68"/>
      <c r="M135" s="68"/>
      <c r="N135" s="68"/>
      <c r="O135" s="68"/>
      <c r="P135" s="68"/>
    </row>
    <row r="136" spans="3:16" x14ac:dyDescent="0.3">
      <c r="C136" s="63"/>
      <c r="D136" s="64"/>
      <c r="E136" s="65"/>
      <c r="F136" s="66"/>
      <c r="G136" s="67"/>
      <c r="H136" s="67"/>
      <c r="I136" s="68"/>
      <c r="J136" s="69"/>
      <c r="K136" s="68"/>
      <c r="L136" s="68"/>
      <c r="M136" s="68"/>
      <c r="N136" s="68"/>
      <c r="O136" s="68"/>
      <c r="P136" s="68"/>
    </row>
    <row r="137" spans="3:16" x14ac:dyDescent="0.3">
      <c r="C137" s="63"/>
      <c r="D137" s="64"/>
      <c r="E137" s="65"/>
      <c r="F137" s="66"/>
      <c r="G137" s="67"/>
      <c r="H137" s="67"/>
      <c r="I137" s="68"/>
      <c r="J137" s="69"/>
      <c r="K137" s="68"/>
      <c r="L137" s="68"/>
      <c r="M137" s="68"/>
      <c r="N137" s="68"/>
      <c r="O137" s="68"/>
      <c r="P137" s="68"/>
    </row>
    <row r="138" spans="3:16" x14ac:dyDescent="0.3">
      <c r="C138" s="63"/>
      <c r="D138" s="64"/>
      <c r="E138" s="65"/>
      <c r="F138" s="66"/>
      <c r="G138" s="67"/>
      <c r="H138" s="67"/>
      <c r="I138" s="68"/>
      <c r="J138" s="69"/>
      <c r="K138" s="68"/>
      <c r="L138" s="68"/>
      <c r="M138" s="68"/>
      <c r="N138" s="68"/>
      <c r="O138" s="68"/>
      <c r="P138" s="68"/>
    </row>
    <row r="139" spans="3:16" x14ac:dyDescent="0.3">
      <c r="C139" s="56"/>
      <c r="D139" s="57"/>
      <c r="E139" s="58"/>
      <c r="F139" s="59"/>
      <c r="G139" s="60"/>
      <c r="H139" s="60"/>
      <c r="I139" s="61"/>
      <c r="J139" s="62"/>
      <c r="K139" s="61"/>
      <c r="L139" s="61"/>
      <c r="M139" s="61"/>
      <c r="N139" s="61"/>
      <c r="O139" s="61"/>
      <c r="P139" s="61"/>
    </row>
    <row r="140" spans="3:16" x14ac:dyDescent="0.3">
      <c r="C140" s="63"/>
      <c r="D140" s="64"/>
      <c r="E140" s="65"/>
      <c r="F140" s="66"/>
      <c r="G140" s="67"/>
      <c r="H140" s="67"/>
      <c r="I140" s="68"/>
      <c r="J140" s="69"/>
      <c r="K140" s="68"/>
      <c r="L140" s="68"/>
      <c r="M140" s="68"/>
      <c r="N140" s="68"/>
      <c r="O140" s="68"/>
      <c r="P140" s="68"/>
    </row>
    <row r="141" spans="3:16" x14ac:dyDescent="0.3">
      <c r="C141" s="63"/>
      <c r="D141" s="64"/>
      <c r="E141" s="65"/>
      <c r="F141" s="66"/>
      <c r="G141" s="67"/>
      <c r="H141" s="67"/>
      <c r="I141" s="68"/>
      <c r="J141" s="69"/>
      <c r="K141" s="68"/>
      <c r="L141" s="68"/>
      <c r="M141" s="68"/>
      <c r="N141" s="68"/>
      <c r="O141" s="68"/>
      <c r="P141" s="68"/>
    </row>
    <row r="142" spans="3:16" x14ac:dyDescent="0.3">
      <c r="C142" s="63"/>
      <c r="D142" s="64"/>
      <c r="E142" s="65"/>
      <c r="F142" s="66"/>
      <c r="G142" s="67"/>
      <c r="H142" s="67"/>
      <c r="I142" s="68"/>
      <c r="J142" s="69"/>
      <c r="K142" s="68"/>
      <c r="L142" s="68"/>
      <c r="M142" s="68"/>
      <c r="N142" s="68"/>
      <c r="O142" s="68"/>
      <c r="P142" s="68"/>
    </row>
    <row r="143" spans="3:16" x14ac:dyDescent="0.3">
      <c r="C143" s="63"/>
      <c r="D143" s="64"/>
      <c r="E143" s="65"/>
      <c r="F143" s="66"/>
      <c r="G143" s="67"/>
      <c r="H143" s="67"/>
      <c r="I143" s="68"/>
      <c r="J143" s="69"/>
      <c r="K143" s="68"/>
      <c r="L143" s="68"/>
      <c r="M143" s="68"/>
      <c r="N143" s="68"/>
      <c r="O143" s="68"/>
      <c r="P143" s="68"/>
    </row>
    <row r="144" spans="3:16" x14ac:dyDescent="0.3">
      <c r="C144" s="63"/>
      <c r="D144" s="64"/>
      <c r="E144" s="65"/>
      <c r="F144" s="66"/>
      <c r="G144" s="67"/>
      <c r="H144" s="67"/>
      <c r="I144" s="68"/>
      <c r="J144" s="69"/>
      <c r="K144" s="68"/>
      <c r="L144" s="68"/>
      <c r="M144" s="68"/>
      <c r="N144" s="68"/>
      <c r="O144" s="68"/>
      <c r="P144" s="68"/>
    </row>
    <row r="145" spans="3:16" x14ac:dyDescent="0.3">
      <c r="C145" s="63"/>
      <c r="D145" s="64"/>
      <c r="E145" s="65"/>
      <c r="F145" s="66"/>
      <c r="G145" s="67"/>
      <c r="H145" s="67"/>
      <c r="I145" s="68"/>
      <c r="J145" s="69"/>
      <c r="K145" s="68"/>
      <c r="L145" s="68"/>
      <c r="M145" s="68"/>
      <c r="N145" s="68"/>
      <c r="O145" s="68"/>
      <c r="P145" s="68"/>
    </row>
    <row r="146" spans="3:16" x14ac:dyDescent="0.3">
      <c r="C146" s="63"/>
      <c r="D146" s="64"/>
      <c r="E146" s="65"/>
      <c r="F146" s="66"/>
      <c r="G146" s="67"/>
      <c r="H146" s="67"/>
      <c r="I146" s="68"/>
      <c r="J146" s="69"/>
      <c r="K146" s="68"/>
      <c r="L146" s="68"/>
      <c r="M146" s="68"/>
      <c r="N146" s="68"/>
      <c r="O146" s="68"/>
      <c r="P146" s="68"/>
    </row>
    <row r="147" spans="3:16" x14ac:dyDescent="0.3">
      <c r="C147" s="63"/>
      <c r="D147" s="64"/>
      <c r="E147" s="65"/>
      <c r="F147" s="66"/>
      <c r="G147" s="67"/>
      <c r="H147" s="67"/>
      <c r="I147" s="68"/>
      <c r="J147" s="69"/>
      <c r="K147" s="68"/>
      <c r="L147" s="68"/>
      <c r="M147" s="68"/>
      <c r="N147" s="68"/>
      <c r="O147" s="68"/>
      <c r="P147" s="68"/>
    </row>
    <row r="148" spans="3:16" x14ac:dyDescent="0.3">
      <c r="C148" s="63"/>
      <c r="D148" s="64"/>
      <c r="E148" s="65"/>
      <c r="F148" s="66"/>
      <c r="G148" s="67"/>
      <c r="H148" s="67"/>
      <c r="I148" s="68"/>
      <c r="J148" s="69"/>
      <c r="K148" s="68"/>
      <c r="L148" s="68"/>
      <c r="M148" s="68"/>
      <c r="N148" s="68"/>
      <c r="O148" s="68"/>
      <c r="P148" s="68"/>
    </row>
    <row r="149" spans="3:16" x14ac:dyDescent="0.3">
      <c r="C149" s="63"/>
      <c r="D149" s="64"/>
      <c r="E149" s="65"/>
      <c r="F149" s="66"/>
      <c r="G149" s="67"/>
      <c r="H149" s="67"/>
      <c r="I149" s="68"/>
      <c r="J149" s="69"/>
      <c r="K149" s="68"/>
      <c r="L149" s="68"/>
      <c r="M149" s="68"/>
      <c r="N149" s="68"/>
      <c r="O149" s="68"/>
      <c r="P149" s="68"/>
    </row>
    <row r="150" spans="3:16" x14ac:dyDescent="0.3">
      <c r="C150" s="63"/>
      <c r="D150" s="64"/>
      <c r="E150" s="65"/>
      <c r="F150" s="66"/>
      <c r="G150" s="67"/>
      <c r="H150" s="67"/>
      <c r="I150" s="68"/>
      <c r="J150" s="69"/>
      <c r="K150" s="68"/>
      <c r="L150" s="68"/>
      <c r="M150" s="68"/>
      <c r="N150" s="68"/>
      <c r="O150" s="68"/>
      <c r="P150" s="68"/>
    </row>
    <row r="151" spans="3:16" x14ac:dyDescent="0.3">
      <c r="C151" s="63"/>
      <c r="D151" s="64"/>
      <c r="E151" s="65"/>
      <c r="F151" s="66"/>
      <c r="G151" s="67"/>
      <c r="H151" s="67"/>
      <c r="I151" s="68"/>
      <c r="J151" s="69"/>
      <c r="K151" s="68"/>
      <c r="L151" s="68"/>
      <c r="M151" s="68"/>
      <c r="N151" s="68"/>
      <c r="O151" s="68"/>
      <c r="P151" s="68"/>
    </row>
    <row r="152" spans="3:16" x14ac:dyDescent="0.3">
      <c r="C152" s="63"/>
      <c r="D152" s="64"/>
      <c r="E152" s="65"/>
      <c r="F152" s="66"/>
      <c r="G152" s="67"/>
      <c r="H152" s="67"/>
      <c r="I152" s="68"/>
      <c r="J152" s="69"/>
      <c r="K152" s="68"/>
      <c r="L152" s="68"/>
      <c r="M152" s="68"/>
      <c r="N152" s="68"/>
      <c r="O152" s="68"/>
      <c r="P152" s="68"/>
    </row>
    <row r="153" spans="3:16" x14ac:dyDescent="0.3">
      <c r="C153" s="56"/>
      <c r="D153" s="57"/>
      <c r="E153" s="58"/>
      <c r="F153" s="59"/>
      <c r="G153" s="60"/>
      <c r="H153" s="60"/>
      <c r="I153" s="61"/>
      <c r="J153" s="62"/>
      <c r="K153" s="61"/>
      <c r="L153" s="61"/>
      <c r="M153" s="61"/>
      <c r="N153" s="61"/>
      <c r="O153" s="61"/>
      <c r="P153" s="61"/>
    </row>
    <row r="154" spans="3:16" x14ac:dyDescent="0.3">
      <c r="C154" s="63"/>
      <c r="D154" s="64"/>
      <c r="E154" s="65"/>
      <c r="F154" s="66"/>
      <c r="G154" s="67"/>
      <c r="H154" s="67"/>
      <c r="I154" s="68"/>
      <c r="J154" s="69"/>
      <c r="K154" s="68"/>
      <c r="L154" s="68"/>
      <c r="M154" s="68"/>
      <c r="N154" s="68"/>
      <c r="O154" s="68"/>
      <c r="P154" s="68"/>
    </row>
    <row r="155" spans="3:16" x14ac:dyDescent="0.3">
      <c r="C155" s="63"/>
      <c r="D155" s="64"/>
      <c r="E155" s="65"/>
      <c r="F155" s="66"/>
      <c r="G155" s="67"/>
      <c r="H155" s="67"/>
      <c r="I155" s="68"/>
      <c r="J155" s="69"/>
      <c r="K155" s="68"/>
      <c r="L155" s="68"/>
      <c r="M155" s="68"/>
      <c r="N155" s="68"/>
      <c r="O155" s="68"/>
      <c r="P155" s="68"/>
    </row>
    <row r="156" spans="3:16" x14ac:dyDescent="0.3">
      <c r="C156" s="63"/>
      <c r="D156" s="64"/>
      <c r="E156" s="65"/>
      <c r="F156" s="66"/>
      <c r="G156" s="67"/>
      <c r="H156" s="67"/>
      <c r="I156" s="68"/>
      <c r="J156" s="69"/>
      <c r="K156" s="68"/>
      <c r="L156" s="68"/>
      <c r="M156" s="68"/>
      <c r="N156" s="68"/>
      <c r="O156" s="68"/>
      <c r="P156" s="68"/>
    </row>
    <row r="157" spans="3:16" x14ac:dyDescent="0.3">
      <c r="C157" s="63"/>
      <c r="D157" s="64"/>
      <c r="E157" s="65"/>
      <c r="F157" s="66"/>
      <c r="G157" s="67"/>
      <c r="H157" s="67"/>
      <c r="I157" s="68"/>
      <c r="J157" s="69"/>
      <c r="K157" s="68"/>
      <c r="L157" s="68"/>
      <c r="M157" s="68"/>
      <c r="N157" s="68"/>
      <c r="O157" s="68"/>
      <c r="P157" s="68"/>
    </row>
    <row r="158" spans="3:16" x14ac:dyDescent="0.3">
      <c r="C158" s="63"/>
      <c r="D158" s="64"/>
      <c r="E158" s="65"/>
      <c r="F158" s="66"/>
      <c r="G158" s="67"/>
      <c r="H158" s="67"/>
      <c r="I158" s="68"/>
      <c r="J158" s="69"/>
      <c r="K158" s="68"/>
      <c r="L158" s="68"/>
      <c r="M158" s="68"/>
      <c r="N158" s="68"/>
      <c r="O158" s="68"/>
      <c r="P158" s="68"/>
    </row>
    <row r="159" spans="3:16" x14ac:dyDescent="0.3">
      <c r="C159" s="63"/>
      <c r="D159" s="64"/>
      <c r="E159" s="65"/>
      <c r="F159" s="66"/>
      <c r="G159" s="67"/>
      <c r="H159" s="67"/>
      <c r="I159" s="68"/>
      <c r="J159" s="69"/>
      <c r="K159" s="68"/>
      <c r="L159" s="68"/>
      <c r="M159" s="68"/>
      <c r="N159" s="68"/>
      <c r="O159" s="68"/>
      <c r="P159" s="68"/>
    </row>
    <row r="160" spans="3:16" x14ac:dyDescent="0.3">
      <c r="C160" s="63"/>
      <c r="D160" s="64"/>
      <c r="E160" s="65"/>
      <c r="F160" s="66"/>
      <c r="G160" s="67"/>
      <c r="H160" s="67"/>
      <c r="I160" s="68"/>
      <c r="J160" s="69"/>
      <c r="K160" s="68"/>
      <c r="L160" s="68"/>
      <c r="M160" s="68"/>
      <c r="N160" s="68"/>
      <c r="O160" s="68"/>
      <c r="P160" s="68"/>
    </row>
    <row r="161" spans="3:16" x14ac:dyDescent="0.3">
      <c r="C161" s="63"/>
      <c r="D161" s="64"/>
      <c r="E161" s="65"/>
      <c r="F161" s="66"/>
      <c r="G161" s="67"/>
      <c r="H161" s="67"/>
      <c r="I161" s="68"/>
      <c r="J161" s="69"/>
      <c r="K161" s="68"/>
      <c r="L161" s="68"/>
      <c r="M161" s="68"/>
      <c r="N161" s="68"/>
      <c r="O161" s="68"/>
      <c r="P161" s="68"/>
    </row>
    <row r="162" spans="3:16" x14ac:dyDescent="0.3">
      <c r="C162" s="63"/>
      <c r="D162" s="64"/>
      <c r="E162" s="65"/>
      <c r="F162" s="66"/>
      <c r="G162" s="67"/>
      <c r="H162" s="67"/>
      <c r="I162" s="68"/>
      <c r="J162" s="69"/>
      <c r="K162" s="68"/>
      <c r="L162" s="68"/>
      <c r="M162" s="68"/>
      <c r="N162" s="68"/>
      <c r="O162" s="68"/>
      <c r="P162" s="68"/>
    </row>
    <row r="163" spans="3:16" x14ac:dyDescent="0.3">
      <c r="C163" s="63"/>
      <c r="D163" s="64"/>
      <c r="E163" s="65"/>
      <c r="F163" s="66"/>
      <c r="G163" s="67"/>
      <c r="H163" s="67"/>
      <c r="I163" s="68"/>
      <c r="J163" s="69"/>
      <c r="K163" s="68"/>
      <c r="L163" s="68"/>
      <c r="M163" s="68"/>
      <c r="N163" s="68"/>
      <c r="O163" s="68"/>
      <c r="P163" s="68"/>
    </row>
    <row r="164" spans="3:16" x14ac:dyDescent="0.3">
      <c r="C164" s="63"/>
      <c r="D164" s="64"/>
      <c r="E164" s="65"/>
      <c r="F164" s="66"/>
      <c r="G164" s="67"/>
      <c r="H164" s="67"/>
      <c r="I164" s="68"/>
      <c r="J164" s="69"/>
      <c r="K164" s="68"/>
      <c r="L164" s="68"/>
      <c r="M164" s="68"/>
      <c r="N164" s="68"/>
      <c r="O164" s="68"/>
      <c r="P164" s="68"/>
    </row>
    <row r="165" spans="3:16" x14ac:dyDescent="0.3">
      <c r="C165" s="63"/>
      <c r="D165" s="64"/>
      <c r="E165" s="65"/>
      <c r="F165" s="66"/>
      <c r="G165" s="67"/>
      <c r="H165" s="67"/>
      <c r="I165" s="68"/>
      <c r="J165" s="69"/>
      <c r="K165" s="68"/>
      <c r="L165" s="68"/>
      <c r="M165" s="68"/>
      <c r="N165" s="68"/>
      <c r="O165" s="68"/>
      <c r="P165" s="68"/>
    </row>
    <row r="166" spans="3:16" x14ac:dyDescent="0.3">
      <c r="C166" s="63"/>
      <c r="D166" s="64"/>
      <c r="E166" s="65"/>
      <c r="F166" s="66"/>
      <c r="G166" s="67"/>
      <c r="H166" s="67"/>
      <c r="I166" s="68"/>
      <c r="J166" s="69"/>
      <c r="K166" s="68"/>
      <c r="L166" s="68"/>
      <c r="M166" s="68"/>
      <c r="N166" s="68"/>
      <c r="O166" s="68"/>
      <c r="P166" s="68"/>
    </row>
    <row r="167" spans="3:16" x14ac:dyDescent="0.3">
      <c r="C167" s="63"/>
      <c r="D167" s="64"/>
      <c r="E167" s="65"/>
      <c r="F167" s="66"/>
      <c r="G167" s="67"/>
      <c r="H167" s="67"/>
      <c r="I167" s="68"/>
      <c r="J167" s="69"/>
      <c r="K167" s="68"/>
      <c r="L167" s="68"/>
      <c r="M167" s="68"/>
      <c r="N167" s="68"/>
      <c r="O167" s="68"/>
      <c r="P167" s="68"/>
    </row>
    <row r="168" spans="3:16" x14ac:dyDescent="0.3">
      <c r="C168" s="63"/>
      <c r="D168" s="64"/>
      <c r="E168" s="65"/>
      <c r="F168" s="66"/>
      <c r="G168" s="67"/>
      <c r="H168" s="67"/>
      <c r="I168" s="68"/>
      <c r="J168" s="69"/>
      <c r="K168" s="68"/>
      <c r="L168" s="68"/>
      <c r="M168" s="68"/>
      <c r="N168" s="68"/>
      <c r="O168" s="68"/>
      <c r="P168" s="68"/>
    </row>
    <row r="169" spans="3:16" x14ac:dyDescent="0.3">
      <c r="C169" s="63"/>
      <c r="D169" s="64"/>
      <c r="E169" s="65"/>
      <c r="F169" s="66"/>
      <c r="G169" s="67"/>
      <c r="H169" s="67"/>
      <c r="I169" s="68"/>
      <c r="J169" s="69"/>
      <c r="K169" s="68"/>
      <c r="L169" s="68"/>
      <c r="M169" s="68"/>
      <c r="N169" s="68"/>
      <c r="O169" s="68"/>
      <c r="P169" s="68"/>
    </row>
    <row r="170" spans="3:16" x14ac:dyDescent="0.3">
      <c r="C170" s="63"/>
      <c r="D170" s="64"/>
      <c r="E170" s="65"/>
      <c r="F170" s="66"/>
      <c r="G170" s="67"/>
      <c r="H170" s="67"/>
      <c r="I170" s="68"/>
      <c r="J170" s="69"/>
      <c r="K170" s="68"/>
      <c r="L170" s="68"/>
      <c r="M170" s="68"/>
      <c r="N170" s="68"/>
      <c r="O170" s="68"/>
      <c r="P170" s="68"/>
    </row>
    <row r="171" spans="3:16" x14ac:dyDescent="0.3">
      <c r="C171" s="63"/>
      <c r="D171" s="64"/>
      <c r="E171" s="65"/>
      <c r="F171" s="66"/>
      <c r="G171" s="67"/>
      <c r="H171" s="67"/>
      <c r="I171" s="68"/>
      <c r="J171" s="69"/>
      <c r="K171" s="68"/>
      <c r="L171" s="68"/>
      <c r="M171" s="68"/>
      <c r="N171" s="68"/>
      <c r="O171" s="68"/>
      <c r="P171" s="68"/>
    </row>
    <row r="172" spans="3:16" x14ac:dyDescent="0.3">
      <c r="C172" s="63"/>
      <c r="D172" s="64"/>
      <c r="E172" s="65"/>
      <c r="F172" s="66"/>
      <c r="G172" s="67"/>
      <c r="H172" s="67"/>
      <c r="I172" s="68"/>
      <c r="J172" s="69"/>
      <c r="K172" s="68"/>
      <c r="L172" s="68"/>
      <c r="M172" s="68"/>
      <c r="N172" s="68"/>
      <c r="O172" s="68"/>
      <c r="P172" s="68"/>
    </row>
    <row r="173" spans="3:16" x14ac:dyDescent="0.3">
      <c r="C173" s="63"/>
      <c r="D173" s="64"/>
      <c r="E173" s="65"/>
      <c r="F173" s="66"/>
      <c r="G173" s="67"/>
      <c r="H173" s="67"/>
      <c r="I173" s="68"/>
      <c r="J173" s="69"/>
      <c r="K173" s="68"/>
      <c r="L173" s="68"/>
      <c r="M173" s="68"/>
      <c r="N173" s="68"/>
      <c r="O173" s="68"/>
      <c r="P173" s="68"/>
    </row>
    <row r="174" spans="3:16" x14ac:dyDescent="0.3">
      <c r="C174" s="63"/>
      <c r="D174" s="64"/>
      <c r="E174" s="65"/>
      <c r="F174" s="66"/>
      <c r="G174" s="67"/>
      <c r="H174" s="67"/>
      <c r="I174" s="68"/>
      <c r="J174" s="69"/>
      <c r="K174" s="68"/>
      <c r="L174" s="68"/>
      <c r="M174" s="68"/>
      <c r="N174" s="68"/>
      <c r="O174" s="68"/>
      <c r="P174" s="68"/>
    </row>
    <row r="175" spans="3:16" x14ac:dyDescent="0.3">
      <c r="C175" s="63"/>
      <c r="D175" s="64"/>
      <c r="E175" s="65"/>
      <c r="F175" s="66"/>
      <c r="G175" s="67"/>
      <c r="H175" s="67"/>
      <c r="I175" s="68"/>
      <c r="J175" s="69"/>
      <c r="K175" s="68"/>
      <c r="L175" s="68"/>
      <c r="M175" s="68"/>
      <c r="N175" s="68"/>
      <c r="O175" s="68"/>
      <c r="P175" s="68"/>
    </row>
    <row r="176" spans="3:16" x14ac:dyDescent="0.3">
      <c r="C176" s="63"/>
      <c r="D176" s="64"/>
      <c r="E176" s="65"/>
      <c r="F176" s="66"/>
      <c r="G176" s="67"/>
      <c r="H176" s="67"/>
      <c r="I176" s="68"/>
      <c r="J176" s="69"/>
      <c r="K176" s="68"/>
      <c r="L176" s="68"/>
      <c r="M176" s="68"/>
      <c r="N176" s="68"/>
      <c r="O176" s="68"/>
      <c r="P176" s="68"/>
    </row>
    <row r="177" spans="3:16" x14ac:dyDescent="0.3">
      <c r="C177" s="63"/>
      <c r="D177" s="64"/>
      <c r="E177" s="65"/>
      <c r="F177" s="66"/>
      <c r="G177" s="67"/>
      <c r="H177" s="67"/>
      <c r="I177" s="68"/>
      <c r="J177" s="69"/>
      <c r="K177" s="68"/>
      <c r="L177" s="68"/>
      <c r="M177" s="68"/>
      <c r="N177" s="68"/>
      <c r="O177" s="68"/>
      <c r="P177" s="68"/>
    </row>
    <row r="178" spans="3:16" x14ac:dyDescent="0.3">
      <c r="C178" s="63"/>
      <c r="D178" s="64"/>
      <c r="E178" s="65"/>
      <c r="F178" s="66"/>
      <c r="G178" s="67"/>
      <c r="H178" s="67"/>
      <c r="I178" s="68"/>
      <c r="J178" s="69"/>
      <c r="K178" s="68"/>
      <c r="L178" s="68"/>
      <c r="M178" s="68"/>
      <c r="N178" s="68"/>
      <c r="O178" s="68"/>
      <c r="P178" s="68"/>
    </row>
    <row r="179" spans="3:16" x14ac:dyDescent="0.3">
      <c r="C179" s="63"/>
      <c r="D179" s="64"/>
      <c r="E179" s="65"/>
      <c r="F179" s="66"/>
      <c r="G179" s="67"/>
      <c r="H179" s="67"/>
      <c r="I179" s="68"/>
      <c r="J179" s="69"/>
      <c r="K179" s="68"/>
      <c r="L179" s="68"/>
      <c r="M179" s="68"/>
      <c r="N179" s="68"/>
      <c r="O179" s="68"/>
      <c r="P179" s="68"/>
    </row>
    <row r="180" spans="3:16" x14ac:dyDescent="0.3">
      <c r="C180" s="63"/>
      <c r="D180" s="64"/>
      <c r="E180" s="65"/>
      <c r="F180" s="66"/>
      <c r="G180" s="67"/>
      <c r="H180" s="67"/>
      <c r="I180" s="68"/>
      <c r="J180" s="69"/>
      <c r="K180" s="68"/>
      <c r="L180" s="68"/>
      <c r="M180" s="68"/>
      <c r="N180" s="68"/>
      <c r="O180" s="68"/>
      <c r="P180" s="68"/>
    </row>
    <row r="181" spans="3:16" x14ac:dyDescent="0.3">
      <c r="C181" s="63"/>
      <c r="D181" s="64"/>
      <c r="E181" s="65"/>
      <c r="F181" s="66"/>
      <c r="G181" s="67"/>
      <c r="H181" s="67"/>
      <c r="I181" s="68"/>
      <c r="J181" s="69"/>
      <c r="K181" s="68"/>
      <c r="L181" s="68"/>
      <c r="M181" s="68"/>
      <c r="N181" s="68"/>
      <c r="O181" s="68"/>
      <c r="P181" s="68"/>
    </row>
    <row r="182" spans="3:16" x14ac:dyDescent="0.3">
      <c r="C182" s="63"/>
      <c r="D182" s="64"/>
      <c r="E182" s="65"/>
      <c r="F182" s="66"/>
      <c r="G182" s="67"/>
      <c r="H182" s="67"/>
      <c r="I182" s="68"/>
      <c r="J182" s="69"/>
      <c r="K182" s="68"/>
      <c r="L182" s="68"/>
      <c r="M182" s="68"/>
      <c r="N182" s="68"/>
      <c r="O182" s="68"/>
      <c r="P182" s="68"/>
    </row>
    <row r="183" spans="3:16" x14ac:dyDescent="0.3">
      <c r="C183" s="63"/>
      <c r="D183" s="64"/>
      <c r="E183" s="65"/>
      <c r="F183" s="66"/>
      <c r="G183" s="67"/>
      <c r="H183" s="67"/>
      <c r="I183" s="68"/>
      <c r="J183" s="69"/>
      <c r="K183" s="68"/>
      <c r="L183" s="68"/>
      <c r="M183" s="68"/>
      <c r="N183" s="68"/>
      <c r="O183" s="68"/>
      <c r="P183" s="68"/>
    </row>
    <row r="184" spans="3:16" x14ac:dyDescent="0.3">
      <c r="C184" s="63"/>
      <c r="D184" s="64"/>
      <c r="E184" s="65"/>
      <c r="F184" s="66"/>
      <c r="G184" s="67"/>
      <c r="H184" s="67"/>
      <c r="I184" s="68"/>
      <c r="J184" s="69"/>
      <c r="K184" s="68"/>
      <c r="L184" s="68"/>
      <c r="M184" s="68"/>
      <c r="N184" s="68"/>
      <c r="O184" s="68"/>
      <c r="P184" s="68"/>
    </row>
    <row r="185" spans="3:16" x14ac:dyDescent="0.3">
      <c r="C185" s="63"/>
      <c r="D185" s="64"/>
      <c r="E185" s="65"/>
      <c r="F185" s="66"/>
      <c r="G185" s="67"/>
      <c r="H185" s="67"/>
      <c r="I185" s="68"/>
      <c r="J185" s="69"/>
      <c r="K185" s="68"/>
      <c r="L185" s="68"/>
      <c r="M185" s="68"/>
      <c r="N185" s="68"/>
      <c r="O185" s="68"/>
      <c r="P185" s="68"/>
    </row>
    <row r="186" spans="3:16" x14ac:dyDescent="0.3">
      <c r="C186" s="63"/>
      <c r="D186" s="64"/>
      <c r="E186" s="65"/>
      <c r="F186" s="66"/>
      <c r="G186" s="67"/>
      <c r="H186" s="67"/>
      <c r="I186" s="68"/>
      <c r="J186" s="69"/>
      <c r="K186" s="68"/>
      <c r="L186" s="68"/>
      <c r="M186" s="68"/>
      <c r="N186" s="68"/>
      <c r="O186" s="68"/>
      <c r="P186" s="68"/>
    </row>
    <row r="187" spans="3:16" x14ac:dyDescent="0.3">
      <c r="C187" s="63"/>
      <c r="D187" s="64"/>
      <c r="E187" s="65"/>
      <c r="F187" s="66"/>
      <c r="G187" s="67"/>
      <c r="H187" s="67"/>
      <c r="I187" s="68"/>
      <c r="J187" s="69"/>
      <c r="K187" s="68"/>
      <c r="L187" s="68"/>
      <c r="M187" s="68"/>
      <c r="N187" s="68"/>
      <c r="O187" s="68"/>
      <c r="P187" s="68"/>
    </row>
    <row r="188" spans="3:16" x14ac:dyDescent="0.3">
      <c r="C188" s="63"/>
      <c r="D188" s="64"/>
      <c r="E188" s="65"/>
      <c r="F188" s="66"/>
      <c r="G188" s="67"/>
      <c r="H188" s="67"/>
      <c r="I188" s="68"/>
      <c r="J188" s="69"/>
      <c r="K188" s="68"/>
      <c r="L188" s="68"/>
      <c r="M188" s="68"/>
      <c r="N188" s="68"/>
      <c r="O188" s="68"/>
      <c r="P188" s="68"/>
    </row>
    <row r="189" spans="3:16" x14ac:dyDescent="0.3">
      <c r="C189" s="63"/>
      <c r="D189" s="64"/>
      <c r="E189" s="65"/>
      <c r="F189" s="66"/>
      <c r="G189" s="67"/>
      <c r="H189" s="67"/>
      <c r="I189" s="68"/>
      <c r="J189" s="69"/>
      <c r="K189" s="68"/>
      <c r="L189" s="68"/>
      <c r="M189" s="68"/>
      <c r="N189" s="68"/>
      <c r="O189" s="68"/>
      <c r="P189" s="68"/>
    </row>
    <row r="190" spans="3:16" x14ac:dyDescent="0.3">
      <c r="C190" s="63"/>
      <c r="D190" s="64"/>
      <c r="E190" s="65"/>
      <c r="F190" s="66"/>
      <c r="G190" s="67"/>
      <c r="H190" s="67"/>
      <c r="I190" s="68"/>
      <c r="J190" s="69"/>
      <c r="K190" s="68"/>
      <c r="L190" s="68"/>
      <c r="M190" s="68"/>
      <c r="N190" s="68"/>
      <c r="O190" s="68"/>
      <c r="P190" s="68"/>
    </row>
    <row r="191" spans="3:16" x14ac:dyDescent="0.3">
      <c r="C191" s="56"/>
      <c r="D191" s="57"/>
      <c r="E191" s="58"/>
      <c r="F191" s="59"/>
      <c r="G191" s="60"/>
      <c r="H191" s="60"/>
      <c r="I191" s="61"/>
      <c r="J191" s="62"/>
      <c r="K191" s="61"/>
      <c r="L191" s="61"/>
      <c r="M191" s="61"/>
      <c r="N191" s="61"/>
      <c r="O191" s="61"/>
      <c r="P191" s="61"/>
    </row>
    <row r="192" spans="3:16" x14ac:dyDescent="0.3">
      <c r="C192" s="63"/>
      <c r="D192" s="64"/>
      <c r="E192" s="65"/>
      <c r="F192" s="66"/>
      <c r="G192" s="67"/>
      <c r="H192" s="67"/>
      <c r="I192" s="68"/>
      <c r="J192" s="69"/>
      <c r="K192" s="68"/>
      <c r="L192" s="68"/>
      <c r="M192" s="68"/>
      <c r="N192" s="68"/>
      <c r="O192" s="68"/>
      <c r="P192" s="68"/>
    </row>
    <row r="193" spans="3:16" x14ac:dyDescent="0.3">
      <c r="C193" s="63"/>
      <c r="D193" s="64"/>
      <c r="E193" s="65"/>
      <c r="F193" s="66"/>
      <c r="G193" s="67"/>
      <c r="H193" s="67"/>
      <c r="I193" s="68"/>
      <c r="J193" s="69"/>
      <c r="K193" s="68"/>
      <c r="L193" s="68"/>
      <c r="M193" s="68"/>
      <c r="N193" s="68"/>
      <c r="O193" s="68"/>
      <c r="P193" s="68"/>
    </row>
    <row r="194" spans="3:16" x14ac:dyDescent="0.3">
      <c r="C194" s="63"/>
      <c r="D194" s="64"/>
      <c r="E194" s="65"/>
      <c r="F194" s="66"/>
      <c r="G194" s="67"/>
      <c r="H194" s="67"/>
      <c r="I194" s="68"/>
      <c r="J194" s="69"/>
      <c r="K194" s="68"/>
      <c r="L194" s="68"/>
      <c r="M194" s="68"/>
      <c r="N194" s="68"/>
      <c r="O194" s="68"/>
      <c r="P194" s="68"/>
    </row>
    <row r="195" spans="3:16" x14ac:dyDescent="0.3">
      <c r="C195" s="63"/>
      <c r="D195" s="64"/>
      <c r="E195" s="65"/>
      <c r="F195" s="66"/>
      <c r="G195" s="67"/>
      <c r="H195" s="67"/>
      <c r="I195" s="68"/>
      <c r="J195" s="69"/>
      <c r="K195" s="68"/>
      <c r="L195" s="68"/>
      <c r="M195" s="68"/>
      <c r="N195" s="68"/>
      <c r="O195" s="68"/>
      <c r="P195" s="68"/>
    </row>
    <row r="196" spans="3:16" x14ac:dyDescent="0.3">
      <c r="C196" s="63"/>
      <c r="D196" s="64"/>
      <c r="E196" s="65"/>
      <c r="F196" s="66"/>
      <c r="G196" s="67"/>
      <c r="H196" s="67"/>
      <c r="I196" s="68"/>
      <c r="J196" s="69"/>
      <c r="K196" s="68"/>
      <c r="L196" s="68"/>
      <c r="M196" s="68"/>
      <c r="N196" s="68"/>
      <c r="O196" s="68"/>
      <c r="P196" s="68"/>
    </row>
    <row r="197" spans="3:16" x14ac:dyDescent="0.3">
      <c r="C197" s="63"/>
      <c r="D197" s="64"/>
      <c r="E197" s="65"/>
      <c r="F197" s="66"/>
      <c r="G197" s="67"/>
      <c r="H197" s="67"/>
      <c r="I197" s="68"/>
      <c r="J197" s="69"/>
      <c r="K197" s="68"/>
      <c r="L197" s="68"/>
      <c r="M197" s="68"/>
      <c r="N197" s="68"/>
      <c r="O197" s="68"/>
      <c r="P197" s="68"/>
    </row>
    <row r="198" spans="3:16" x14ac:dyDescent="0.3">
      <c r="C198" s="63"/>
      <c r="D198" s="64"/>
      <c r="E198" s="65"/>
      <c r="F198" s="66"/>
      <c r="G198" s="67"/>
      <c r="H198" s="67"/>
      <c r="I198" s="68"/>
      <c r="J198" s="69"/>
      <c r="K198" s="68"/>
      <c r="L198" s="68"/>
      <c r="M198" s="68"/>
      <c r="N198" s="68"/>
      <c r="O198" s="68"/>
      <c r="P198" s="68"/>
    </row>
    <row r="199" spans="3:16" x14ac:dyDescent="0.3">
      <c r="C199" s="63"/>
      <c r="D199" s="64"/>
      <c r="E199" s="65"/>
      <c r="F199" s="66"/>
      <c r="G199" s="67"/>
      <c r="H199" s="67"/>
      <c r="I199" s="68"/>
      <c r="J199" s="69"/>
      <c r="K199" s="68"/>
      <c r="L199" s="68"/>
      <c r="M199" s="68"/>
      <c r="N199" s="68"/>
      <c r="O199" s="68"/>
      <c r="P199" s="68"/>
    </row>
    <row r="200" spans="3:16" x14ac:dyDescent="0.3">
      <c r="C200" s="63"/>
      <c r="D200" s="64"/>
      <c r="E200" s="65"/>
      <c r="F200" s="66"/>
      <c r="G200" s="67"/>
      <c r="H200" s="67"/>
      <c r="I200" s="68"/>
      <c r="J200" s="69"/>
      <c r="K200" s="68"/>
      <c r="L200" s="68"/>
      <c r="M200" s="68"/>
      <c r="N200" s="68"/>
      <c r="O200" s="68"/>
      <c r="P200" s="68"/>
    </row>
    <row r="201" spans="3:16" x14ac:dyDescent="0.3">
      <c r="C201" s="63"/>
      <c r="D201" s="64"/>
      <c r="E201" s="65"/>
      <c r="F201" s="66"/>
      <c r="G201" s="67"/>
      <c r="H201" s="67"/>
      <c r="I201" s="68"/>
      <c r="J201" s="69"/>
      <c r="K201" s="68"/>
      <c r="L201" s="68"/>
      <c r="M201" s="68"/>
      <c r="N201" s="68"/>
      <c r="O201" s="68"/>
      <c r="P201" s="68"/>
    </row>
    <row r="202" spans="3:16" x14ac:dyDescent="0.3">
      <c r="C202" s="63"/>
      <c r="D202" s="64"/>
      <c r="E202" s="65"/>
      <c r="F202" s="66"/>
      <c r="G202" s="67"/>
      <c r="H202" s="67"/>
      <c r="I202" s="68"/>
      <c r="J202" s="69"/>
      <c r="K202" s="68"/>
      <c r="L202" s="68"/>
      <c r="M202" s="68"/>
      <c r="N202" s="68"/>
      <c r="O202" s="68"/>
      <c r="P202" s="68"/>
    </row>
    <row r="203" spans="3:16" x14ac:dyDescent="0.3">
      <c r="C203" s="63"/>
      <c r="D203" s="64"/>
      <c r="E203" s="65"/>
      <c r="F203" s="66"/>
      <c r="G203" s="67"/>
      <c r="H203" s="67"/>
      <c r="I203" s="68"/>
      <c r="J203" s="69"/>
      <c r="K203" s="68"/>
      <c r="L203" s="68"/>
      <c r="M203" s="68"/>
      <c r="N203" s="68"/>
      <c r="O203" s="68"/>
      <c r="P203" s="68"/>
    </row>
    <row r="204" spans="3:16" x14ac:dyDescent="0.3">
      <c r="C204" s="63"/>
      <c r="D204" s="64"/>
      <c r="E204" s="65"/>
      <c r="F204" s="66"/>
      <c r="G204" s="67"/>
      <c r="H204" s="67"/>
      <c r="I204" s="68"/>
      <c r="J204" s="69"/>
      <c r="K204" s="68"/>
      <c r="L204" s="68"/>
      <c r="M204" s="68"/>
      <c r="N204" s="68"/>
      <c r="O204" s="68"/>
      <c r="P204" s="68"/>
    </row>
    <row r="205" spans="3:16" x14ac:dyDescent="0.3">
      <c r="C205" s="56"/>
      <c r="D205" s="57"/>
      <c r="E205" s="58"/>
      <c r="F205" s="59"/>
      <c r="G205" s="60"/>
      <c r="H205" s="60"/>
      <c r="I205" s="61"/>
      <c r="J205" s="62"/>
      <c r="K205" s="61"/>
      <c r="L205" s="61"/>
      <c r="M205" s="61"/>
      <c r="N205" s="61"/>
      <c r="O205" s="61"/>
      <c r="P205" s="61"/>
    </row>
    <row r="206" spans="3:16" x14ac:dyDescent="0.3">
      <c r="C206" s="63"/>
      <c r="D206" s="64"/>
      <c r="E206" s="65"/>
      <c r="F206" s="66"/>
      <c r="G206" s="67"/>
      <c r="H206" s="67"/>
      <c r="I206" s="68"/>
      <c r="J206" s="69"/>
      <c r="K206" s="68"/>
      <c r="L206" s="68"/>
      <c r="M206" s="68"/>
      <c r="N206" s="68"/>
      <c r="O206" s="68"/>
      <c r="P206" s="68"/>
    </row>
    <row r="207" spans="3:16" x14ac:dyDescent="0.3">
      <c r="C207" s="63"/>
      <c r="D207" s="64"/>
      <c r="E207" s="65"/>
      <c r="F207" s="66"/>
      <c r="G207" s="67"/>
      <c r="H207" s="67"/>
      <c r="I207" s="68"/>
      <c r="J207" s="69"/>
      <c r="K207" s="68"/>
      <c r="L207" s="68"/>
      <c r="M207" s="68"/>
      <c r="N207" s="68"/>
      <c r="O207" s="68"/>
      <c r="P207" s="68"/>
    </row>
  </sheetData>
  <autoFilter ref="C16:P127" xr:uid="{00000000-0009-0000-0000-00000C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39918-FA3D-4206-96B4-AAD514094140}">
  <sheetPr codeName="Metrado15"/>
  <dimension ref="A1:W132"/>
  <sheetViews>
    <sheetView view="pageBreakPreview" topLeftCell="A19" zoomScaleNormal="85" zoomScaleSheetLayoutView="100" workbookViewId="0">
      <selection activeCell="D38" sqref="D38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9.44140625" style="104" bestFit="1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332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9.6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185">
        <v>1</v>
      </c>
      <c r="D18" s="366" t="s">
        <v>339</v>
      </c>
      <c r="E18" s="367"/>
      <c r="F18" s="280"/>
      <c r="G18" s="281"/>
      <c r="H18" s="281"/>
      <c r="I18" s="281"/>
      <c r="J18" s="282"/>
      <c r="K18" s="186"/>
      <c r="L18" s="186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59"/>
      <c r="K19" s="60"/>
      <c r="L19" s="60"/>
      <c r="M19" s="129"/>
      <c r="N19" s="129"/>
      <c r="O19" s="129"/>
      <c r="P19" s="129"/>
    </row>
    <row r="20" spans="1:16" s="110" customFormat="1" x14ac:dyDescent="0.2">
      <c r="A20" s="107">
        <v>2</v>
      </c>
      <c r="B20" s="108"/>
      <c r="C20" s="97" t="s">
        <v>416</v>
      </c>
      <c r="D20" s="98" t="s">
        <v>154</v>
      </c>
      <c r="E20" s="88"/>
      <c r="F20" s="51"/>
      <c r="G20" s="52"/>
      <c r="H20" s="52"/>
      <c r="I20" s="52"/>
      <c r="J20" s="59"/>
      <c r="K20" s="60"/>
      <c r="L20" s="60"/>
      <c r="M20" s="100"/>
      <c r="N20" s="100"/>
      <c r="O20" s="100"/>
      <c r="P20" s="100"/>
    </row>
    <row r="21" spans="1:16" s="150" customFormat="1" ht="12.75" customHeight="1" x14ac:dyDescent="0.2">
      <c r="A21" s="148">
        <v>3</v>
      </c>
      <c r="B21" s="149"/>
      <c r="C21" s="48" t="s">
        <v>417</v>
      </c>
      <c r="D21" s="49" t="s">
        <v>155</v>
      </c>
      <c r="E21" s="88" t="s">
        <v>12</v>
      </c>
      <c r="F21" s="51"/>
      <c r="G21" s="52"/>
      <c r="H21" s="52"/>
      <c r="I21" s="52"/>
      <c r="J21" s="59"/>
      <c r="K21" s="60"/>
      <c r="L21" s="60"/>
      <c r="M21" s="55"/>
      <c r="N21" s="55"/>
      <c r="O21" s="55"/>
      <c r="P21" s="55">
        <f>SUM(L21:L28)</f>
        <v>32.07</v>
      </c>
    </row>
    <row r="22" spans="1:16" s="153" customFormat="1" ht="12.75" customHeight="1" x14ac:dyDescent="0.2">
      <c r="A22" s="151"/>
      <c r="B22" s="152"/>
      <c r="C22" s="56"/>
      <c r="D22" s="79" t="s">
        <v>111</v>
      </c>
      <c r="E22" s="89"/>
      <c r="F22" s="59"/>
      <c r="G22" s="60"/>
      <c r="H22" s="60"/>
      <c r="I22" s="60"/>
      <c r="J22" s="62"/>
      <c r="K22" s="61"/>
      <c r="L22" s="61"/>
      <c r="M22" s="61"/>
      <c r="N22" s="61"/>
      <c r="O22" s="61"/>
      <c r="P22" s="61"/>
    </row>
    <row r="23" spans="1:16" s="153" customFormat="1" ht="12.75" customHeight="1" x14ac:dyDescent="0.2">
      <c r="A23" s="151"/>
      <c r="B23" s="152"/>
      <c r="C23" s="56"/>
      <c r="D23" s="160" t="s">
        <v>333</v>
      </c>
      <c r="E23" s="65"/>
      <c r="F23" s="69"/>
      <c r="G23" s="67"/>
      <c r="H23" s="67"/>
      <c r="I23" s="67"/>
      <c r="J23" s="66"/>
      <c r="K23" s="68"/>
      <c r="L23" s="68"/>
      <c r="M23" s="61"/>
      <c r="N23" s="61"/>
      <c r="O23" s="61"/>
      <c r="P23" s="61"/>
    </row>
    <row r="24" spans="1:16" x14ac:dyDescent="0.3">
      <c r="C24" s="63"/>
      <c r="D24" s="80" t="s">
        <v>143</v>
      </c>
      <c r="E24" s="65" t="s">
        <v>12</v>
      </c>
      <c r="F24" s="166">
        <v>1</v>
      </c>
      <c r="G24" s="111" t="s">
        <v>63</v>
      </c>
      <c r="H24" s="111">
        <v>14.66</v>
      </c>
      <c r="I24" s="111"/>
      <c r="J24" s="166">
        <v>1</v>
      </c>
      <c r="K24" s="111"/>
      <c r="L24" s="111">
        <f>IF(F24="","",PRODUCT(F24:J24))</f>
        <v>14.66</v>
      </c>
      <c r="M24" s="68"/>
      <c r="N24" s="68"/>
      <c r="O24" s="68"/>
      <c r="P24" s="68"/>
    </row>
    <row r="25" spans="1:16" x14ac:dyDescent="0.3">
      <c r="C25" s="63"/>
      <c r="D25" s="80" t="s">
        <v>334</v>
      </c>
      <c r="E25" s="65" t="s">
        <v>12</v>
      </c>
      <c r="F25" s="166">
        <v>1</v>
      </c>
      <c r="G25" s="111" t="s">
        <v>63</v>
      </c>
      <c r="H25" s="111">
        <v>4.09</v>
      </c>
      <c r="I25" s="111"/>
      <c r="J25" s="166">
        <v>1</v>
      </c>
      <c r="K25" s="111"/>
      <c r="L25" s="111">
        <f>IF(F25="","",PRODUCT(F25:J25))</f>
        <v>4.09</v>
      </c>
      <c r="M25" s="68"/>
      <c r="N25" s="68"/>
      <c r="O25" s="68"/>
      <c r="P25" s="68"/>
    </row>
    <row r="26" spans="1:16" s="153" customFormat="1" ht="12.75" customHeight="1" x14ac:dyDescent="0.2">
      <c r="A26" s="151"/>
      <c r="B26" s="152"/>
      <c r="C26" s="56"/>
      <c r="D26" s="160" t="s">
        <v>335</v>
      </c>
      <c r="E26" s="65"/>
      <c r="F26" s="69"/>
      <c r="G26" s="67"/>
      <c r="H26" s="67"/>
      <c r="I26" s="67"/>
      <c r="J26" s="66"/>
      <c r="K26" s="68"/>
      <c r="L26" s="68"/>
      <c r="M26" s="61"/>
      <c r="N26" s="61"/>
      <c r="O26" s="61"/>
      <c r="P26" s="61"/>
    </row>
    <row r="27" spans="1:16" s="153" customFormat="1" ht="12.75" customHeight="1" x14ac:dyDescent="0.2">
      <c r="A27" s="151"/>
      <c r="B27" s="152"/>
      <c r="C27" s="56"/>
      <c r="D27" s="80" t="s">
        <v>143</v>
      </c>
      <c r="E27" s="65" t="s">
        <v>12</v>
      </c>
      <c r="F27" s="166">
        <v>1</v>
      </c>
      <c r="G27" s="111" t="s">
        <v>63</v>
      </c>
      <c r="H27" s="111">
        <v>13.32</v>
      </c>
      <c r="I27" s="111"/>
      <c r="J27" s="166">
        <v>1</v>
      </c>
      <c r="K27" s="111"/>
      <c r="L27" s="111">
        <f>IF(F27="","",PRODUCT(F27:J27))</f>
        <v>13.32</v>
      </c>
      <c r="M27" s="61"/>
      <c r="N27" s="61"/>
      <c r="O27" s="61"/>
      <c r="P27" s="61"/>
    </row>
    <row r="28" spans="1:16" x14ac:dyDescent="0.3">
      <c r="C28" s="63"/>
      <c r="D28" s="161"/>
      <c r="E28" s="90"/>
      <c r="F28" s="92"/>
      <c r="G28" s="86"/>
      <c r="H28" s="86"/>
      <c r="I28" s="86"/>
      <c r="J28" s="66"/>
      <c r="K28" s="67"/>
      <c r="L28" s="67"/>
      <c r="M28" s="68"/>
      <c r="N28" s="68"/>
      <c r="O28" s="68"/>
      <c r="P28" s="68"/>
    </row>
    <row r="29" spans="1:16" x14ac:dyDescent="0.3">
      <c r="A29" s="104">
        <v>2</v>
      </c>
      <c r="C29" s="97" t="s">
        <v>428</v>
      </c>
      <c r="D29" s="98" t="s">
        <v>16</v>
      </c>
      <c r="E29" s="88"/>
      <c r="F29" s="51"/>
      <c r="G29" s="52"/>
      <c r="H29" s="52"/>
      <c r="I29" s="52"/>
      <c r="J29" s="59"/>
      <c r="K29" s="60"/>
      <c r="L29" s="60"/>
      <c r="M29" s="100"/>
      <c r="N29" s="100"/>
      <c r="O29" s="100"/>
      <c r="P29" s="100"/>
    </row>
    <row r="30" spans="1:16" x14ac:dyDescent="0.3">
      <c r="A30" s="104">
        <v>3</v>
      </c>
      <c r="C30" s="48" t="s">
        <v>430</v>
      </c>
      <c r="D30" s="77" t="s">
        <v>372</v>
      </c>
      <c r="E30" s="88" t="s">
        <v>13</v>
      </c>
      <c r="F30" s="51"/>
      <c r="G30" s="52"/>
      <c r="H30" s="52"/>
      <c r="I30" s="52"/>
      <c r="J30" s="59"/>
      <c r="K30" s="60"/>
      <c r="L30" s="60"/>
      <c r="M30" s="55"/>
      <c r="N30" s="55"/>
      <c r="O30" s="55"/>
      <c r="P30" s="55">
        <f>SUM(K30:K52)</f>
        <v>38.369999999999997</v>
      </c>
    </row>
    <row r="31" spans="1:16" s="153" customFormat="1" ht="12.75" customHeight="1" x14ac:dyDescent="0.2">
      <c r="A31" s="151"/>
      <c r="B31" s="152"/>
      <c r="C31" s="56"/>
      <c r="D31" s="75" t="s">
        <v>145</v>
      </c>
      <c r="E31" s="73"/>
      <c r="F31" s="82"/>
      <c r="G31" s="52"/>
      <c r="H31" s="52"/>
      <c r="I31" s="52"/>
      <c r="J31" s="62"/>
      <c r="K31" s="61"/>
      <c r="L31" s="68"/>
      <c r="M31" s="61"/>
      <c r="N31" s="61"/>
      <c r="O31" s="61"/>
      <c r="P31" s="61"/>
    </row>
    <row r="32" spans="1:16" s="153" customFormat="1" ht="12.75" customHeight="1" x14ac:dyDescent="0.2">
      <c r="A32" s="151"/>
      <c r="B32" s="152"/>
      <c r="C32" s="56"/>
      <c r="D32" s="428" t="s">
        <v>333</v>
      </c>
      <c r="E32" s="73"/>
      <c r="F32" s="82"/>
      <c r="G32" s="52"/>
      <c r="H32" s="52"/>
      <c r="I32" s="52"/>
      <c r="J32" s="62"/>
      <c r="K32" s="61"/>
      <c r="L32" s="61"/>
      <c r="M32" s="61"/>
      <c r="N32" s="61"/>
      <c r="O32" s="61"/>
      <c r="P32" s="61"/>
    </row>
    <row r="33" spans="1:16" s="153" customFormat="1" ht="12.75" customHeight="1" x14ac:dyDescent="0.2">
      <c r="A33" s="151"/>
      <c r="B33" s="152"/>
      <c r="C33" s="56"/>
      <c r="D33" s="81" t="s">
        <v>115</v>
      </c>
      <c r="E33" s="73"/>
      <c r="F33" s="82"/>
      <c r="G33" s="52"/>
      <c r="H33" s="52"/>
      <c r="I33" s="52"/>
      <c r="J33" s="62"/>
      <c r="K33" s="61"/>
      <c r="L33" s="61"/>
      <c r="M33" s="61"/>
      <c r="N33" s="61"/>
      <c r="O33" s="61"/>
      <c r="P33" s="61"/>
    </row>
    <row r="34" spans="1:16" x14ac:dyDescent="0.3">
      <c r="C34" s="63"/>
      <c r="D34" s="80" t="s">
        <v>171</v>
      </c>
      <c r="E34" s="90" t="s">
        <v>13</v>
      </c>
      <c r="F34" s="66">
        <v>1</v>
      </c>
      <c r="G34" s="67">
        <v>1.5</v>
      </c>
      <c r="H34" s="67"/>
      <c r="I34" s="67"/>
      <c r="J34" s="66">
        <v>1</v>
      </c>
      <c r="K34" s="67">
        <f>F34*J34*G34</f>
        <v>1.5</v>
      </c>
      <c r="L34" s="67"/>
      <c r="M34" s="68"/>
      <c r="N34" s="68"/>
      <c r="O34" s="68"/>
      <c r="P34" s="68"/>
    </row>
    <row r="35" spans="1:16" x14ac:dyDescent="0.3">
      <c r="C35" s="63"/>
      <c r="D35" s="79"/>
      <c r="E35" s="89"/>
      <c r="F35" s="59"/>
      <c r="G35" s="60"/>
      <c r="H35" s="60"/>
      <c r="I35" s="60"/>
      <c r="J35" s="59"/>
      <c r="K35" s="60"/>
      <c r="L35" s="67"/>
      <c r="M35" s="68"/>
      <c r="N35" s="68"/>
      <c r="O35" s="68"/>
      <c r="P35" s="68"/>
    </row>
    <row r="36" spans="1:16" x14ac:dyDescent="0.3">
      <c r="C36" s="63"/>
      <c r="D36" s="428" t="s">
        <v>335</v>
      </c>
      <c r="E36" s="89"/>
      <c r="F36" s="59"/>
      <c r="G36" s="60"/>
      <c r="H36" s="60"/>
      <c r="I36" s="60"/>
      <c r="J36" s="59"/>
      <c r="K36" s="60"/>
      <c r="L36" s="67"/>
      <c r="M36" s="68"/>
      <c r="N36" s="68"/>
      <c r="O36" s="68"/>
      <c r="P36" s="68"/>
    </row>
    <row r="37" spans="1:16" x14ac:dyDescent="0.3">
      <c r="C37" s="63"/>
      <c r="D37" s="81" t="s">
        <v>115</v>
      </c>
      <c r="E37" s="73"/>
      <c r="F37" s="82"/>
      <c r="G37" s="52"/>
      <c r="H37" s="52"/>
      <c r="I37" s="52"/>
      <c r="J37" s="62"/>
      <c r="K37" s="61"/>
      <c r="L37" s="67"/>
      <c r="M37" s="68"/>
      <c r="N37" s="68"/>
      <c r="O37" s="68"/>
      <c r="P37" s="68"/>
    </row>
    <row r="38" spans="1:16" x14ac:dyDescent="0.3">
      <c r="C38" s="87"/>
      <c r="D38" s="80" t="s">
        <v>171</v>
      </c>
      <c r="E38" s="90" t="s">
        <v>13</v>
      </c>
      <c r="F38" s="66">
        <v>2</v>
      </c>
      <c r="G38" s="67">
        <v>1.5</v>
      </c>
      <c r="H38" s="67"/>
      <c r="I38" s="67"/>
      <c r="J38" s="66">
        <v>1</v>
      </c>
      <c r="K38" s="67">
        <f>F38*J38*G38</f>
        <v>3</v>
      </c>
      <c r="L38" s="68"/>
      <c r="M38" s="61"/>
      <c r="N38" s="61"/>
      <c r="O38" s="61"/>
      <c r="P38" s="61"/>
    </row>
    <row r="39" spans="1:16" x14ac:dyDescent="0.3">
      <c r="C39" s="87"/>
      <c r="D39" s="75"/>
      <c r="E39" s="73"/>
      <c r="F39" s="82"/>
      <c r="G39" s="52"/>
      <c r="H39" s="52"/>
      <c r="I39" s="52"/>
      <c r="J39" s="62"/>
      <c r="K39" s="61"/>
      <c r="L39" s="68"/>
      <c r="M39" s="61"/>
      <c r="N39" s="61"/>
      <c r="O39" s="61"/>
      <c r="P39" s="61"/>
    </row>
    <row r="40" spans="1:16" x14ac:dyDescent="0.3">
      <c r="C40" s="87"/>
      <c r="D40" s="75" t="s">
        <v>127</v>
      </c>
      <c r="E40" s="73"/>
      <c r="F40" s="82"/>
      <c r="G40" s="52"/>
      <c r="H40" s="52"/>
      <c r="I40" s="52"/>
      <c r="J40" s="62"/>
      <c r="K40" s="61"/>
      <c r="L40" s="68"/>
      <c r="M40" s="61"/>
      <c r="N40" s="61"/>
      <c r="O40" s="61"/>
      <c r="P40" s="61"/>
    </row>
    <row r="41" spans="1:16" x14ac:dyDescent="0.3">
      <c r="C41" s="87"/>
      <c r="D41" s="428" t="s">
        <v>333</v>
      </c>
      <c r="E41" s="73"/>
      <c r="F41" s="82"/>
      <c r="G41" s="52"/>
      <c r="H41" s="52"/>
      <c r="I41" s="52"/>
      <c r="J41" s="62"/>
      <c r="K41" s="61"/>
      <c r="L41" s="68"/>
      <c r="M41" s="61"/>
      <c r="N41" s="61"/>
      <c r="O41" s="61"/>
      <c r="P41" s="61"/>
    </row>
    <row r="42" spans="1:16" x14ac:dyDescent="0.3">
      <c r="C42" s="87"/>
      <c r="D42" s="81" t="s">
        <v>115</v>
      </c>
      <c r="E42" s="73"/>
      <c r="F42" s="82"/>
      <c r="G42" s="52"/>
      <c r="H42" s="52"/>
      <c r="I42" s="52"/>
      <c r="J42" s="62"/>
      <c r="K42" s="61"/>
      <c r="L42" s="68"/>
      <c r="M42" s="61"/>
      <c r="N42" s="61"/>
      <c r="O42" s="61"/>
      <c r="P42" s="61"/>
    </row>
    <row r="43" spans="1:16" x14ac:dyDescent="0.3">
      <c r="C43" s="87"/>
      <c r="D43" s="80" t="s">
        <v>336</v>
      </c>
      <c r="E43" s="90" t="s">
        <v>13</v>
      </c>
      <c r="F43" s="66">
        <v>1</v>
      </c>
      <c r="G43" s="67">
        <f>9.6+3.05</f>
        <v>12.649999999999999</v>
      </c>
      <c r="H43" s="67"/>
      <c r="I43" s="67"/>
      <c r="J43" s="66">
        <v>1</v>
      </c>
      <c r="K43" s="67">
        <f>F43*J43*G43</f>
        <v>12.649999999999999</v>
      </c>
      <c r="L43" s="68"/>
      <c r="M43" s="61"/>
      <c r="N43" s="61"/>
      <c r="O43" s="61"/>
      <c r="P43" s="61"/>
    </row>
    <row r="44" spans="1:16" x14ac:dyDescent="0.3">
      <c r="C44" s="87"/>
      <c r="D44" s="80" t="s">
        <v>179</v>
      </c>
      <c r="E44" s="90" t="s">
        <v>13</v>
      </c>
      <c r="F44" s="66">
        <v>4</v>
      </c>
      <c r="G44" s="67"/>
      <c r="H44" s="67"/>
      <c r="I44" s="67">
        <v>0.1</v>
      </c>
      <c r="J44" s="66">
        <v>1</v>
      </c>
      <c r="K44" s="67">
        <f>F44*J44*I44</f>
        <v>0.4</v>
      </c>
      <c r="L44" s="68"/>
      <c r="M44" s="61"/>
      <c r="N44" s="61"/>
      <c r="O44" s="61"/>
      <c r="P44" s="61"/>
    </row>
    <row r="45" spans="1:16" x14ac:dyDescent="0.3">
      <c r="C45" s="87"/>
      <c r="D45" s="75"/>
      <c r="E45" s="73"/>
      <c r="F45" s="82"/>
      <c r="G45" s="52"/>
      <c r="H45" s="52"/>
      <c r="I45" s="52"/>
      <c r="J45" s="62"/>
      <c r="K45" s="61"/>
      <c r="L45" s="68"/>
      <c r="M45" s="61"/>
      <c r="N45" s="61"/>
      <c r="O45" s="61"/>
      <c r="P45" s="61"/>
    </row>
    <row r="46" spans="1:16" x14ac:dyDescent="0.3">
      <c r="C46" s="87"/>
      <c r="D46" s="428" t="s">
        <v>335</v>
      </c>
      <c r="E46" s="89"/>
      <c r="F46" s="59"/>
      <c r="G46" s="60"/>
      <c r="H46" s="60"/>
      <c r="I46" s="60"/>
      <c r="J46" s="59"/>
      <c r="K46" s="60"/>
      <c r="L46" s="68"/>
      <c r="M46" s="61"/>
      <c r="N46" s="61"/>
      <c r="O46" s="61"/>
      <c r="P46" s="61"/>
    </row>
    <row r="47" spans="1:16" x14ac:dyDescent="0.3">
      <c r="C47" s="87"/>
      <c r="D47" s="81" t="s">
        <v>115</v>
      </c>
      <c r="E47" s="73"/>
      <c r="F47" s="82"/>
      <c r="G47" s="52"/>
      <c r="H47" s="52"/>
      <c r="I47" s="52"/>
      <c r="J47" s="62"/>
      <c r="K47" s="61"/>
      <c r="L47" s="68"/>
      <c r="M47" s="61"/>
      <c r="N47" s="61"/>
      <c r="O47" s="61"/>
      <c r="P47" s="61"/>
    </row>
    <row r="48" spans="1:16" x14ac:dyDescent="0.3">
      <c r="C48" s="87"/>
      <c r="D48" s="80" t="s">
        <v>336</v>
      </c>
      <c r="E48" s="90" t="s">
        <v>13</v>
      </c>
      <c r="F48" s="66">
        <v>1</v>
      </c>
      <c r="G48" s="67">
        <f>7.02+0.65</f>
        <v>7.67</v>
      </c>
      <c r="H48" s="67"/>
      <c r="I48" s="67"/>
      <c r="J48" s="66">
        <v>1</v>
      </c>
      <c r="K48" s="67">
        <f>F48*J48*G48</f>
        <v>7.67</v>
      </c>
      <c r="L48" s="68"/>
      <c r="M48" s="61"/>
      <c r="N48" s="61"/>
      <c r="O48" s="61"/>
      <c r="P48" s="61"/>
    </row>
    <row r="49" spans="3:16" x14ac:dyDescent="0.3">
      <c r="C49" s="87"/>
      <c r="D49" s="80" t="s">
        <v>179</v>
      </c>
      <c r="E49" s="90" t="s">
        <v>13</v>
      </c>
      <c r="F49" s="66">
        <v>4</v>
      </c>
      <c r="G49" s="67"/>
      <c r="H49" s="67"/>
      <c r="I49" s="67">
        <v>0.1</v>
      </c>
      <c r="J49" s="66">
        <v>1</v>
      </c>
      <c r="K49" s="67">
        <f>F49*J49*I49</f>
        <v>0.4</v>
      </c>
      <c r="L49" s="68"/>
      <c r="M49" s="61"/>
      <c r="N49" s="61"/>
      <c r="O49" s="61"/>
      <c r="P49" s="61"/>
    </row>
    <row r="50" spans="3:16" x14ac:dyDescent="0.3">
      <c r="C50" s="87"/>
      <c r="D50" s="80" t="s">
        <v>337</v>
      </c>
      <c r="E50" s="90" t="s">
        <v>13</v>
      </c>
      <c r="F50" s="66">
        <v>1</v>
      </c>
      <c r="G50" s="67">
        <f>9.6+3.05</f>
        <v>12.649999999999999</v>
      </c>
      <c r="H50" s="67"/>
      <c r="I50" s="67"/>
      <c r="J50" s="66">
        <v>1</v>
      </c>
      <c r="K50" s="67">
        <f>F50*J50*G50</f>
        <v>12.649999999999999</v>
      </c>
      <c r="L50" s="68"/>
      <c r="M50" s="61"/>
      <c r="N50" s="61"/>
      <c r="O50" s="61"/>
      <c r="P50" s="61"/>
    </row>
    <row r="51" spans="3:16" x14ac:dyDescent="0.3">
      <c r="C51" s="63"/>
      <c r="D51" s="80" t="s">
        <v>179</v>
      </c>
      <c r="E51" s="90" t="s">
        <v>13</v>
      </c>
      <c r="F51" s="66">
        <v>1</v>
      </c>
      <c r="G51" s="67"/>
      <c r="H51" s="67"/>
      <c r="I51" s="67">
        <v>0.1</v>
      </c>
      <c r="J51" s="66">
        <v>1</v>
      </c>
      <c r="K51" s="67">
        <f>F51*J51*I51</f>
        <v>0.1</v>
      </c>
      <c r="L51" s="68"/>
      <c r="M51" s="68"/>
      <c r="N51" s="68"/>
      <c r="O51" s="68"/>
      <c r="P51" s="68"/>
    </row>
    <row r="52" spans="3:16" x14ac:dyDescent="0.3">
      <c r="C52" s="63"/>
      <c r="D52" s="94"/>
      <c r="E52" s="65"/>
      <c r="F52" s="69"/>
      <c r="G52" s="67"/>
      <c r="H52" s="67"/>
      <c r="I52" s="67"/>
      <c r="J52" s="66"/>
      <c r="K52" s="68"/>
      <c r="L52" s="68"/>
      <c r="M52" s="68"/>
      <c r="N52" s="68"/>
      <c r="O52" s="68"/>
      <c r="P52" s="68"/>
    </row>
    <row r="53" spans="3:16" x14ac:dyDescent="0.3">
      <c r="C53" s="63"/>
      <c r="D53" s="64"/>
      <c r="E53" s="65"/>
      <c r="F53" s="66"/>
      <c r="G53" s="67"/>
      <c r="H53" s="67"/>
      <c r="I53" s="68"/>
      <c r="J53" s="69"/>
      <c r="K53" s="68"/>
      <c r="L53" s="68"/>
      <c r="M53" s="68"/>
      <c r="N53" s="68"/>
      <c r="O53" s="68"/>
      <c r="P53" s="68"/>
    </row>
    <row r="54" spans="3:16" x14ac:dyDescent="0.3">
      <c r="C54" s="63"/>
      <c r="D54" s="64"/>
      <c r="E54" s="65"/>
      <c r="F54" s="66"/>
      <c r="G54" s="67"/>
      <c r="H54" s="67"/>
      <c r="I54" s="68"/>
      <c r="J54" s="69"/>
      <c r="K54" s="68"/>
      <c r="L54" s="68"/>
      <c r="M54" s="68"/>
      <c r="N54" s="68"/>
      <c r="O54" s="68"/>
      <c r="P54" s="68"/>
    </row>
    <row r="55" spans="3:16" x14ac:dyDescent="0.3">
      <c r="C55" s="63"/>
      <c r="D55" s="64"/>
      <c r="E55" s="65"/>
      <c r="F55" s="66"/>
      <c r="G55" s="67"/>
      <c r="H55" s="67"/>
      <c r="I55" s="68"/>
      <c r="J55" s="69"/>
      <c r="K55" s="68"/>
      <c r="L55" s="68"/>
      <c r="M55" s="68"/>
      <c r="N55" s="68"/>
      <c r="O55" s="68"/>
      <c r="P55" s="68"/>
    </row>
    <row r="56" spans="3:16" x14ac:dyDescent="0.3">
      <c r="C56" s="63"/>
      <c r="D56" s="64"/>
      <c r="E56" s="65"/>
      <c r="F56" s="66"/>
      <c r="G56" s="67"/>
      <c r="H56" s="67"/>
      <c r="I56" s="68"/>
      <c r="J56" s="69"/>
      <c r="K56" s="68"/>
      <c r="L56" s="68"/>
      <c r="M56" s="68"/>
      <c r="N56" s="68"/>
      <c r="O56" s="68"/>
      <c r="P56" s="68"/>
    </row>
    <row r="57" spans="3:16" x14ac:dyDescent="0.3">
      <c r="C57" s="63"/>
      <c r="D57" s="64"/>
      <c r="E57" s="65"/>
      <c r="F57" s="66"/>
      <c r="G57" s="67"/>
      <c r="H57" s="67"/>
      <c r="I57" s="68"/>
      <c r="J57" s="69"/>
      <c r="K57" s="68"/>
      <c r="L57" s="68"/>
      <c r="M57" s="68"/>
      <c r="N57" s="68"/>
      <c r="O57" s="68"/>
      <c r="P57" s="68"/>
    </row>
    <row r="58" spans="3:16" x14ac:dyDescent="0.3">
      <c r="C58" s="63"/>
      <c r="D58" s="64"/>
      <c r="E58" s="65"/>
      <c r="F58" s="66"/>
      <c r="G58" s="67"/>
      <c r="H58" s="67"/>
      <c r="I58" s="68"/>
      <c r="J58" s="69"/>
      <c r="K58" s="68"/>
      <c r="L58" s="68"/>
      <c r="M58" s="68"/>
      <c r="N58" s="68"/>
      <c r="O58" s="68"/>
      <c r="P58" s="68"/>
    </row>
    <row r="59" spans="3:16" x14ac:dyDescent="0.3">
      <c r="C59" s="63"/>
      <c r="D59" s="64"/>
      <c r="E59" s="65"/>
      <c r="F59" s="66"/>
      <c r="G59" s="67"/>
      <c r="H59" s="67"/>
      <c r="I59" s="68"/>
      <c r="J59" s="69"/>
      <c r="K59" s="68"/>
      <c r="L59" s="68"/>
      <c r="M59" s="68"/>
      <c r="N59" s="68"/>
      <c r="O59" s="68"/>
      <c r="P59" s="68"/>
    </row>
    <row r="60" spans="3:16" x14ac:dyDescent="0.3">
      <c r="C60" s="63"/>
      <c r="D60" s="64"/>
      <c r="E60" s="65"/>
      <c r="F60" s="66"/>
      <c r="G60" s="67"/>
      <c r="H60" s="67"/>
      <c r="I60" s="68"/>
      <c r="J60" s="69"/>
      <c r="K60" s="68"/>
      <c r="L60" s="68"/>
      <c r="M60" s="68"/>
      <c r="N60" s="68"/>
      <c r="O60" s="68"/>
      <c r="P60" s="68"/>
    </row>
    <row r="61" spans="3:16" x14ac:dyDescent="0.3">
      <c r="C61" s="63"/>
      <c r="D61" s="64"/>
      <c r="E61" s="65"/>
      <c r="F61" s="66"/>
      <c r="G61" s="67"/>
      <c r="H61" s="67"/>
      <c r="I61" s="68"/>
      <c r="J61" s="69"/>
      <c r="K61" s="68"/>
      <c r="L61" s="68"/>
      <c r="M61" s="68"/>
      <c r="N61" s="68"/>
      <c r="O61" s="68"/>
      <c r="P61" s="68"/>
    </row>
    <row r="62" spans="3:16" x14ac:dyDescent="0.3">
      <c r="C62" s="63"/>
      <c r="D62" s="64"/>
      <c r="E62" s="65"/>
      <c r="F62" s="66"/>
      <c r="G62" s="67"/>
      <c r="H62" s="67"/>
      <c r="I62" s="68"/>
      <c r="J62" s="69"/>
      <c r="K62" s="68"/>
      <c r="L62" s="68"/>
      <c r="M62" s="68"/>
      <c r="N62" s="68"/>
      <c r="O62" s="68"/>
      <c r="P62" s="68"/>
    </row>
    <row r="63" spans="3:16" x14ac:dyDescent="0.3">
      <c r="C63" s="63"/>
      <c r="D63" s="64"/>
      <c r="E63" s="65"/>
      <c r="F63" s="66"/>
      <c r="G63" s="67"/>
      <c r="H63" s="67"/>
      <c r="I63" s="68"/>
      <c r="J63" s="69"/>
      <c r="K63" s="68"/>
      <c r="L63" s="68"/>
      <c r="M63" s="68"/>
      <c r="N63" s="68"/>
      <c r="O63" s="68"/>
      <c r="P63" s="68"/>
    </row>
    <row r="64" spans="3:16" x14ac:dyDescent="0.3">
      <c r="C64" s="56"/>
      <c r="D64" s="57"/>
      <c r="E64" s="58"/>
      <c r="F64" s="59"/>
      <c r="G64" s="60"/>
      <c r="H64" s="60"/>
      <c r="I64" s="61"/>
      <c r="J64" s="62"/>
      <c r="K64" s="61"/>
      <c r="L64" s="61"/>
      <c r="M64" s="61"/>
      <c r="N64" s="61"/>
      <c r="O64" s="61"/>
      <c r="P64" s="61"/>
    </row>
    <row r="65" spans="3:16" x14ac:dyDescent="0.3">
      <c r="C65" s="63"/>
      <c r="D65" s="64"/>
      <c r="E65" s="65"/>
      <c r="F65" s="66"/>
      <c r="G65" s="67"/>
      <c r="H65" s="67"/>
      <c r="I65" s="68"/>
      <c r="J65" s="69"/>
      <c r="K65" s="68"/>
      <c r="L65" s="68"/>
      <c r="M65" s="68"/>
      <c r="N65" s="68"/>
      <c r="O65" s="68"/>
      <c r="P65" s="68"/>
    </row>
    <row r="66" spans="3:16" x14ac:dyDescent="0.3">
      <c r="C66" s="63"/>
      <c r="D66" s="64"/>
      <c r="E66" s="65"/>
      <c r="F66" s="66"/>
      <c r="G66" s="67"/>
      <c r="H66" s="67"/>
      <c r="I66" s="68"/>
      <c r="J66" s="69"/>
      <c r="K66" s="68"/>
      <c r="L66" s="68"/>
      <c r="M66" s="68"/>
      <c r="N66" s="68"/>
      <c r="O66" s="68"/>
      <c r="P66" s="68"/>
    </row>
    <row r="67" spans="3:16" x14ac:dyDescent="0.3">
      <c r="C67" s="63"/>
      <c r="D67" s="64"/>
      <c r="E67" s="65"/>
      <c r="F67" s="66"/>
      <c r="G67" s="67"/>
      <c r="H67" s="67"/>
      <c r="I67" s="68"/>
      <c r="J67" s="69"/>
      <c r="K67" s="68"/>
      <c r="L67" s="68"/>
      <c r="M67" s="68"/>
      <c r="N67" s="68"/>
      <c r="O67" s="68"/>
      <c r="P67" s="68"/>
    </row>
    <row r="68" spans="3:16" x14ac:dyDescent="0.3">
      <c r="C68" s="63"/>
      <c r="D68" s="64"/>
      <c r="E68" s="65"/>
      <c r="F68" s="66"/>
      <c r="G68" s="67"/>
      <c r="H68" s="67"/>
      <c r="I68" s="68"/>
      <c r="J68" s="69"/>
      <c r="K68" s="68"/>
      <c r="L68" s="68"/>
      <c r="M68" s="68"/>
      <c r="N68" s="68"/>
      <c r="O68" s="68"/>
      <c r="P68" s="68"/>
    </row>
    <row r="69" spans="3:16" x14ac:dyDescent="0.3">
      <c r="C69" s="63"/>
      <c r="D69" s="64"/>
      <c r="E69" s="65"/>
      <c r="F69" s="66"/>
      <c r="G69" s="67"/>
      <c r="H69" s="67"/>
      <c r="I69" s="68"/>
      <c r="J69" s="69"/>
      <c r="K69" s="68"/>
      <c r="L69" s="68"/>
      <c r="M69" s="68"/>
      <c r="N69" s="68"/>
      <c r="O69" s="68"/>
      <c r="P69" s="68"/>
    </row>
    <row r="70" spans="3:16" x14ac:dyDescent="0.3">
      <c r="C70" s="63"/>
      <c r="D70" s="64"/>
      <c r="E70" s="65"/>
      <c r="F70" s="66"/>
      <c r="G70" s="67"/>
      <c r="H70" s="67"/>
      <c r="I70" s="68"/>
      <c r="J70" s="69"/>
      <c r="K70" s="68"/>
      <c r="L70" s="68"/>
      <c r="M70" s="68"/>
      <c r="N70" s="68"/>
      <c r="O70" s="68"/>
      <c r="P70" s="68"/>
    </row>
    <row r="71" spans="3:16" x14ac:dyDescent="0.3">
      <c r="C71" s="63"/>
      <c r="D71" s="64"/>
      <c r="E71" s="65"/>
      <c r="F71" s="66"/>
      <c r="G71" s="67"/>
      <c r="H71" s="67"/>
      <c r="I71" s="68"/>
      <c r="J71" s="69"/>
      <c r="K71" s="68"/>
      <c r="L71" s="68"/>
      <c r="M71" s="68"/>
      <c r="N71" s="68"/>
      <c r="O71" s="68"/>
      <c r="P71" s="68"/>
    </row>
    <row r="72" spans="3:16" x14ac:dyDescent="0.3">
      <c r="C72" s="63"/>
      <c r="D72" s="64"/>
      <c r="E72" s="65"/>
      <c r="F72" s="66"/>
      <c r="G72" s="67"/>
      <c r="H72" s="67"/>
      <c r="I72" s="68"/>
      <c r="J72" s="69"/>
      <c r="K72" s="68"/>
      <c r="L72" s="68"/>
      <c r="M72" s="68"/>
      <c r="N72" s="68"/>
      <c r="O72" s="68"/>
      <c r="P72" s="68"/>
    </row>
    <row r="73" spans="3:16" x14ac:dyDescent="0.3">
      <c r="C73" s="63"/>
      <c r="D73" s="64"/>
      <c r="E73" s="65"/>
      <c r="F73" s="66"/>
      <c r="G73" s="67"/>
      <c r="H73" s="67"/>
      <c r="I73" s="68"/>
      <c r="J73" s="69"/>
      <c r="K73" s="68"/>
      <c r="L73" s="68"/>
      <c r="M73" s="68"/>
      <c r="N73" s="68"/>
      <c r="O73" s="68"/>
      <c r="P73" s="68"/>
    </row>
    <row r="74" spans="3:16" x14ac:dyDescent="0.3">
      <c r="C74" s="63"/>
      <c r="D74" s="64"/>
      <c r="E74" s="65"/>
      <c r="F74" s="66"/>
      <c r="G74" s="67"/>
      <c r="H74" s="67"/>
      <c r="I74" s="68"/>
      <c r="J74" s="69"/>
      <c r="K74" s="68"/>
      <c r="L74" s="68"/>
      <c r="M74" s="68"/>
      <c r="N74" s="68"/>
      <c r="O74" s="68"/>
      <c r="P74" s="68"/>
    </row>
    <row r="75" spans="3:16" x14ac:dyDescent="0.3">
      <c r="C75" s="63"/>
      <c r="D75" s="64"/>
      <c r="E75" s="65"/>
      <c r="F75" s="66"/>
      <c r="G75" s="67"/>
      <c r="H75" s="67"/>
      <c r="I75" s="68"/>
      <c r="J75" s="69"/>
      <c r="K75" s="68"/>
      <c r="L75" s="68"/>
      <c r="M75" s="68"/>
      <c r="N75" s="68"/>
      <c r="O75" s="68"/>
      <c r="P75" s="68"/>
    </row>
    <row r="76" spans="3:16" x14ac:dyDescent="0.3">
      <c r="C76" s="63"/>
      <c r="D76" s="64"/>
      <c r="E76" s="65"/>
      <c r="F76" s="66"/>
      <c r="G76" s="67"/>
      <c r="H76" s="67"/>
      <c r="I76" s="68"/>
      <c r="J76" s="69"/>
      <c r="K76" s="68"/>
      <c r="L76" s="68"/>
      <c r="M76" s="68"/>
      <c r="N76" s="68"/>
      <c r="O76" s="68"/>
      <c r="P76" s="68"/>
    </row>
    <row r="77" spans="3:16" x14ac:dyDescent="0.3">
      <c r="C77" s="63"/>
      <c r="D77" s="64"/>
      <c r="E77" s="65"/>
      <c r="F77" s="66"/>
      <c r="G77" s="67"/>
      <c r="H77" s="67"/>
      <c r="I77" s="68"/>
      <c r="J77" s="69"/>
      <c r="K77" s="68"/>
      <c r="L77" s="68"/>
      <c r="M77" s="68"/>
      <c r="N77" s="68"/>
      <c r="O77" s="68"/>
      <c r="P77" s="68"/>
    </row>
    <row r="78" spans="3:16" x14ac:dyDescent="0.3">
      <c r="C78" s="56"/>
      <c r="D78" s="57"/>
      <c r="E78" s="58"/>
      <c r="F78" s="59"/>
      <c r="G78" s="60"/>
      <c r="H78" s="60"/>
      <c r="I78" s="61"/>
      <c r="J78" s="62"/>
      <c r="K78" s="61"/>
      <c r="L78" s="61"/>
      <c r="M78" s="61"/>
      <c r="N78" s="61"/>
      <c r="O78" s="61"/>
      <c r="P78" s="61"/>
    </row>
    <row r="79" spans="3:16" x14ac:dyDescent="0.3">
      <c r="C79" s="63"/>
      <c r="D79" s="64"/>
      <c r="E79" s="65"/>
      <c r="F79" s="66"/>
      <c r="G79" s="67"/>
      <c r="H79" s="67"/>
      <c r="I79" s="68"/>
      <c r="J79" s="69"/>
      <c r="K79" s="68"/>
      <c r="L79" s="68"/>
      <c r="M79" s="68"/>
      <c r="N79" s="68"/>
      <c r="O79" s="68"/>
      <c r="P79" s="68"/>
    </row>
    <row r="80" spans="3:16" x14ac:dyDescent="0.3">
      <c r="C80" s="63"/>
      <c r="D80" s="64"/>
      <c r="E80" s="65"/>
      <c r="F80" s="66"/>
      <c r="G80" s="67"/>
      <c r="H80" s="67"/>
      <c r="I80" s="68"/>
      <c r="J80" s="69"/>
      <c r="K80" s="68"/>
      <c r="L80" s="68"/>
      <c r="M80" s="68"/>
      <c r="N80" s="68"/>
      <c r="O80" s="68"/>
      <c r="P80" s="68"/>
    </row>
    <row r="81" spans="3:16" x14ac:dyDescent="0.3">
      <c r="C81" s="63"/>
      <c r="D81" s="64"/>
      <c r="E81" s="65"/>
      <c r="F81" s="66"/>
      <c r="G81" s="67"/>
      <c r="H81" s="67"/>
      <c r="I81" s="68"/>
      <c r="J81" s="69"/>
      <c r="K81" s="68"/>
      <c r="L81" s="68"/>
      <c r="M81" s="68"/>
      <c r="N81" s="68"/>
      <c r="O81" s="68"/>
      <c r="P81" s="68"/>
    </row>
    <row r="82" spans="3:16" x14ac:dyDescent="0.3">
      <c r="C82" s="63"/>
      <c r="D82" s="64"/>
      <c r="E82" s="65"/>
      <c r="F82" s="66"/>
      <c r="G82" s="67"/>
      <c r="H82" s="67"/>
      <c r="I82" s="68"/>
      <c r="J82" s="69"/>
      <c r="K82" s="68"/>
      <c r="L82" s="68"/>
      <c r="M82" s="68"/>
      <c r="N82" s="68"/>
      <c r="O82" s="68"/>
      <c r="P82" s="68"/>
    </row>
    <row r="83" spans="3:16" x14ac:dyDescent="0.3">
      <c r="C83" s="63"/>
      <c r="D83" s="64"/>
      <c r="E83" s="65"/>
      <c r="F83" s="66"/>
      <c r="G83" s="67"/>
      <c r="H83" s="67"/>
      <c r="I83" s="68"/>
      <c r="J83" s="69"/>
      <c r="K83" s="68"/>
      <c r="L83" s="68"/>
      <c r="M83" s="68"/>
      <c r="N83" s="68"/>
      <c r="O83" s="68"/>
      <c r="P83" s="68"/>
    </row>
    <row r="84" spans="3:16" x14ac:dyDescent="0.3">
      <c r="C84" s="63"/>
      <c r="D84" s="64"/>
      <c r="E84" s="65"/>
      <c r="F84" s="66"/>
      <c r="G84" s="67"/>
      <c r="H84" s="67"/>
      <c r="I84" s="68"/>
      <c r="J84" s="69"/>
      <c r="K84" s="68"/>
      <c r="L84" s="68"/>
      <c r="M84" s="68"/>
      <c r="N84" s="68"/>
      <c r="O84" s="68"/>
      <c r="P84" s="68"/>
    </row>
    <row r="85" spans="3:16" x14ac:dyDescent="0.3">
      <c r="C85" s="63"/>
      <c r="D85" s="64"/>
      <c r="E85" s="65"/>
      <c r="F85" s="66"/>
      <c r="G85" s="67"/>
      <c r="H85" s="67"/>
      <c r="I85" s="68"/>
      <c r="J85" s="69"/>
      <c r="K85" s="68"/>
      <c r="L85" s="68"/>
      <c r="M85" s="68"/>
      <c r="N85" s="68"/>
      <c r="O85" s="68"/>
      <c r="P85" s="68"/>
    </row>
    <row r="86" spans="3:16" x14ac:dyDescent="0.3">
      <c r="C86" s="63"/>
      <c r="D86" s="64"/>
      <c r="E86" s="65"/>
      <c r="F86" s="66"/>
      <c r="G86" s="67"/>
      <c r="H86" s="67"/>
      <c r="I86" s="68"/>
      <c r="J86" s="69"/>
      <c r="K86" s="68"/>
      <c r="L86" s="68"/>
      <c r="M86" s="68"/>
      <c r="N86" s="68"/>
      <c r="O86" s="68"/>
      <c r="P86" s="68"/>
    </row>
    <row r="87" spans="3:16" x14ac:dyDescent="0.3">
      <c r="C87" s="63"/>
      <c r="D87" s="64"/>
      <c r="E87" s="65"/>
      <c r="F87" s="66"/>
      <c r="G87" s="67"/>
      <c r="H87" s="67"/>
      <c r="I87" s="68"/>
      <c r="J87" s="69"/>
      <c r="K87" s="68"/>
      <c r="L87" s="68"/>
      <c r="M87" s="68"/>
      <c r="N87" s="68"/>
      <c r="O87" s="68"/>
      <c r="P87" s="68"/>
    </row>
    <row r="88" spans="3:16" x14ac:dyDescent="0.3">
      <c r="C88" s="63"/>
      <c r="D88" s="64"/>
      <c r="E88" s="65"/>
      <c r="F88" s="66"/>
      <c r="G88" s="67"/>
      <c r="H88" s="67"/>
      <c r="I88" s="68"/>
      <c r="J88" s="69"/>
      <c r="K88" s="68"/>
      <c r="L88" s="68"/>
      <c r="M88" s="68"/>
      <c r="N88" s="68"/>
      <c r="O88" s="68"/>
      <c r="P88" s="68"/>
    </row>
    <row r="89" spans="3:16" x14ac:dyDescent="0.3">
      <c r="C89" s="63"/>
      <c r="D89" s="64"/>
      <c r="E89" s="65"/>
      <c r="F89" s="66"/>
      <c r="G89" s="67"/>
      <c r="H89" s="67"/>
      <c r="I89" s="68"/>
      <c r="J89" s="69"/>
      <c r="K89" s="68"/>
      <c r="L89" s="68"/>
      <c r="M89" s="68"/>
      <c r="N89" s="68"/>
      <c r="O89" s="68"/>
      <c r="P89" s="68"/>
    </row>
    <row r="90" spans="3:16" x14ac:dyDescent="0.3">
      <c r="C90" s="63"/>
      <c r="D90" s="64"/>
      <c r="E90" s="65"/>
      <c r="F90" s="66"/>
      <c r="G90" s="67"/>
      <c r="H90" s="67"/>
      <c r="I90" s="68"/>
      <c r="J90" s="69"/>
      <c r="K90" s="68"/>
      <c r="L90" s="68"/>
      <c r="M90" s="68"/>
      <c r="N90" s="68"/>
      <c r="O90" s="68"/>
      <c r="P90" s="68"/>
    </row>
    <row r="91" spans="3:16" x14ac:dyDescent="0.3">
      <c r="C91" s="63"/>
      <c r="D91" s="64"/>
      <c r="E91" s="65"/>
      <c r="F91" s="66"/>
      <c r="G91" s="67"/>
      <c r="H91" s="67"/>
      <c r="I91" s="68"/>
      <c r="J91" s="69"/>
      <c r="K91" s="68"/>
      <c r="L91" s="68"/>
      <c r="M91" s="68"/>
      <c r="N91" s="68"/>
      <c r="O91" s="68"/>
      <c r="P91" s="68"/>
    </row>
    <row r="92" spans="3:16" x14ac:dyDescent="0.3">
      <c r="C92" s="63"/>
      <c r="D92" s="64"/>
      <c r="E92" s="65"/>
      <c r="F92" s="66"/>
      <c r="G92" s="67"/>
      <c r="H92" s="67"/>
      <c r="I92" s="68"/>
      <c r="J92" s="69"/>
      <c r="K92" s="68"/>
      <c r="L92" s="68"/>
      <c r="M92" s="68"/>
      <c r="N92" s="68"/>
      <c r="O92" s="68"/>
      <c r="P92" s="68"/>
    </row>
    <row r="93" spans="3:16" x14ac:dyDescent="0.3">
      <c r="C93" s="63"/>
      <c r="D93" s="64"/>
      <c r="E93" s="65"/>
      <c r="F93" s="66"/>
      <c r="G93" s="67"/>
      <c r="H93" s="67"/>
      <c r="I93" s="68"/>
      <c r="J93" s="69"/>
      <c r="K93" s="68"/>
      <c r="L93" s="68"/>
      <c r="M93" s="68"/>
      <c r="N93" s="68"/>
      <c r="O93" s="68"/>
      <c r="P93" s="68"/>
    </row>
    <row r="94" spans="3:16" x14ac:dyDescent="0.3">
      <c r="C94" s="63"/>
      <c r="D94" s="64"/>
      <c r="E94" s="65"/>
      <c r="F94" s="66"/>
      <c r="G94" s="67"/>
      <c r="H94" s="67"/>
      <c r="I94" s="68"/>
      <c r="J94" s="69"/>
      <c r="K94" s="68"/>
      <c r="L94" s="68"/>
      <c r="M94" s="68"/>
      <c r="N94" s="68"/>
      <c r="O94" s="68"/>
      <c r="P94" s="68"/>
    </row>
    <row r="95" spans="3:16" x14ac:dyDescent="0.3">
      <c r="C95" s="63"/>
      <c r="D95" s="64"/>
      <c r="E95" s="65"/>
      <c r="F95" s="66"/>
      <c r="G95" s="67"/>
      <c r="H95" s="67"/>
      <c r="I95" s="68"/>
      <c r="J95" s="69"/>
      <c r="K95" s="68"/>
      <c r="L95" s="68"/>
      <c r="M95" s="68"/>
      <c r="N95" s="68"/>
      <c r="O95" s="68"/>
      <c r="P95" s="68"/>
    </row>
    <row r="96" spans="3:16" x14ac:dyDescent="0.3">
      <c r="C96" s="63"/>
      <c r="D96" s="64"/>
      <c r="E96" s="65"/>
      <c r="F96" s="66"/>
      <c r="G96" s="67"/>
      <c r="H96" s="67"/>
      <c r="I96" s="68"/>
      <c r="J96" s="69"/>
      <c r="K96" s="68"/>
      <c r="L96" s="68"/>
      <c r="M96" s="68"/>
      <c r="N96" s="68"/>
      <c r="O96" s="68"/>
      <c r="P96" s="68"/>
    </row>
    <row r="97" spans="3:16" x14ac:dyDescent="0.3">
      <c r="C97" s="63"/>
      <c r="D97" s="64"/>
      <c r="E97" s="65"/>
      <c r="F97" s="66"/>
      <c r="G97" s="67"/>
      <c r="H97" s="67"/>
      <c r="I97" s="68"/>
      <c r="J97" s="69"/>
      <c r="K97" s="68"/>
      <c r="L97" s="68"/>
      <c r="M97" s="68"/>
      <c r="N97" s="68"/>
      <c r="O97" s="68"/>
      <c r="P97" s="68"/>
    </row>
    <row r="98" spans="3:16" x14ac:dyDescent="0.3">
      <c r="C98" s="63"/>
      <c r="D98" s="64"/>
      <c r="E98" s="65"/>
      <c r="F98" s="66"/>
      <c r="G98" s="67"/>
      <c r="H98" s="67"/>
      <c r="I98" s="68"/>
      <c r="J98" s="69"/>
      <c r="K98" s="68"/>
      <c r="L98" s="68"/>
      <c r="M98" s="68"/>
      <c r="N98" s="68"/>
      <c r="O98" s="68"/>
      <c r="P98" s="68"/>
    </row>
    <row r="99" spans="3:16" x14ac:dyDescent="0.3">
      <c r="C99" s="63"/>
      <c r="D99" s="64"/>
      <c r="E99" s="65"/>
      <c r="F99" s="66"/>
      <c r="G99" s="67"/>
      <c r="H99" s="67"/>
      <c r="I99" s="68"/>
      <c r="J99" s="69"/>
      <c r="K99" s="68"/>
      <c r="L99" s="68"/>
      <c r="M99" s="68"/>
      <c r="N99" s="68"/>
      <c r="O99" s="68"/>
      <c r="P99" s="68"/>
    </row>
    <row r="100" spans="3:16" x14ac:dyDescent="0.3">
      <c r="C100" s="63"/>
      <c r="D100" s="64"/>
      <c r="E100" s="65"/>
      <c r="F100" s="66"/>
      <c r="G100" s="67"/>
      <c r="H100" s="67"/>
      <c r="I100" s="68"/>
      <c r="J100" s="69"/>
      <c r="K100" s="68"/>
      <c r="L100" s="68"/>
      <c r="M100" s="68"/>
      <c r="N100" s="68"/>
      <c r="O100" s="68"/>
      <c r="P100" s="68"/>
    </row>
    <row r="101" spans="3:16" x14ac:dyDescent="0.3">
      <c r="C101" s="63"/>
      <c r="D101" s="64"/>
      <c r="E101" s="65"/>
      <c r="F101" s="66"/>
      <c r="G101" s="67"/>
      <c r="H101" s="67"/>
      <c r="I101" s="68"/>
      <c r="J101" s="69"/>
      <c r="K101" s="68"/>
      <c r="L101" s="68"/>
      <c r="M101" s="68"/>
      <c r="N101" s="68"/>
      <c r="O101" s="68"/>
      <c r="P101" s="68"/>
    </row>
    <row r="102" spans="3:16" x14ac:dyDescent="0.3">
      <c r="C102" s="63"/>
      <c r="D102" s="64"/>
      <c r="E102" s="65"/>
      <c r="F102" s="66"/>
      <c r="G102" s="67"/>
      <c r="H102" s="67"/>
      <c r="I102" s="68"/>
      <c r="J102" s="69"/>
      <c r="K102" s="68"/>
      <c r="L102" s="68"/>
      <c r="M102" s="68"/>
      <c r="N102" s="68"/>
      <c r="O102" s="68"/>
      <c r="P102" s="68"/>
    </row>
    <row r="103" spans="3:16" x14ac:dyDescent="0.3">
      <c r="C103" s="63"/>
      <c r="D103" s="64"/>
      <c r="E103" s="65"/>
      <c r="F103" s="66"/>
      <c r="G103" s="67"/>
      <c r="H103" s="67"/>
      <c r="I103" s="68"/>
      <c r="J103" s="69"/>
      <c r="K103" s="68"/>
      <c r="L103" s="68"/>
      <c r="M103" s="68"/>
      <c r="N103" s="68"/>
      <c r="O103" s="68"/>
      <c r="P103" s="68"/>
    </row>
    <row r="104" spans="3:16" x14ac:dyDescent="0.3">
      <c r="C104" s="63"/>
      <c r="D104" s="64"/>
      <c r="E104" s="65"/>
      <c r="F104" s="66"/>
      <c r="G104" s="67"/>
      <c r="H104" s="67"/>
      <c r="I104" s="68"/>
      <c r="J104" s="69"/>
      <c r="K104" s="68"/>
      <c r="L104" s="68"/>
      <c r="M104" s="68"/>
      <c r="N104" s="68"/>
      <c r="O104" s="68"/>
      <c r="P104" s="68"/>
    </row>
    <row r="105" spans="3:16" x14ac:dyDescent="0.3">
      <c r="C105" s="63"/>
      <c r="D105" s="64"/>
      <c r="E105" s="65"/>
      <c r="F105" s="66"/>
      <c r="G105" s="67"/>
      <c r="H105" s="67"/>
      <c r="I105" s="68"/>
      <c r="J105" s="69"/>
      <c r="K105" s="68"/>
      <c r="L105" s="68"/>
      <c r="M105" s="68"/>
      <c r="N105" s="68"/>
      <c r="O105" s="68"/>
      <c r="P105" s="68"/>
    </row>
    <row r="106" spans="3:16" x14ac:dyDescent="0.3">
      <c r="C106" s="63"/>
      <c r="D106" s="64"/>
      <c r="E106" s="65"/>
      <c r="F106" s="66"/>
      <c r="G106" s="67"/>
      <c r="H106" s="67"/>
      <c r="I106" s="68"/>
      <c r="J106" s="69"/>
      <c r="K106" s="68"/>
      <c r="L106" s="68"/>
      <c r="M106" s="68"/>
      <c r="N106" s="68"/>
      <c r="O106" s="68"/>
      <c r="P106" s="68"/>
    </row>
    <row r="107" spans="3:16" x14ac:dyDescent="0.3">
      <c r="C107" s="63"/>
      <c r="D107" s="64"/>
      <c r="E107" s="65"/>
      <c r="F107" s="66"/>
      <c r="G107" s="67"/>
      <c r="H107" s="67"/>
      <c r="I107" s="68"/>
      <c r="J107" s="69"/>
      <c r="K107" s="68"/>
      <c r="L107" s="68"/>
      <c r="M107" s="68"/>
      <c r="N107" s="68"/>
      <c r="O107" s="68"/>
      <c r="P107" s="68"/>
    </row>
    <row r="108" spans="3:16" x14ac:dyDescent="0.3">
      <c r="C108" s="63"/>
      <c r="D108" s="64"/>
      <c r="E108" s="65"/>
      <c r="F108" s="66"/>
      <c r="G108" s="67"/>
      <c r="H108" s="67"/>
      <c r="I108" s="68"/>
      <c r="J108" s="69"/>
      <c r="K108" s="68"/>
      <c r="L108" s="68"/>
      <c r="M108" s="68"/>
      <c r="N108" s="68"/>
      <c r="O108" s="68"/>
      <c r="P108" s="68"/>
    </row>
    <row r="109" spans="3:16" x14ac:dyDescent="0.3">
      <c r="C109" s="63"/>
      <c r="D109" s="64"/>
      <c r="E109" s="65"/>
      <c r="F109" s="66"/>
      <c r="G109" s="67"/>
      <c r="H109" s="67"/>
      <c r="I109" s="68"/>
      <c r="J109" s="69"/>
      <c r="K109" s="68"/>
      <c r="L109" s="68"/>
      <c r="M109" s="68"/>
      <c r="N109" s="68"/>
      <c r="O109" s="68"/>
      <c r="P109" s="68"/>
    </row>
    <row r="110" spans="3:16" x14ac:dyDescent="0.3">
      <c r="C110" s="63"/>
      <c r="D110" s="64"/>
      <c r="E110" s="65"/>
      <c r="F110" s="66"/>
      <c r="G110" s="67"/>
      <c r="H110" s="67"/>
      <c r="I110" s="68"/>
      <c r="J110" s="69"/>
      <c r="K110" s="68"/>
      <c r="L110" s="68"/>
      <c r="M110" s="68"/>
      <c r="N110" s="68"/>
      <c r="O110" s="68"/>
      <c r="P110" s="68"/>
    </row>
    <row r="111" spans="3:16" x14ac:dyDescent="0.3">
      <c r="C111" s="63"/>
      <c r="D111" s="64"/>
      <c r="E111" s="65"/>
      <c r="F111" s="66"/>
      <c r="G111" s="67"/>
      <c r="H111" s="67"/>
      <c r="I111" s="68"/>
      <c r="J111" s="69"/>
      <c r="K111" s="68"/>
      <c r="L111" s="68"/>
      <c r="M111" s="68"/>
      <c r="N111" s="68"/>
      <c r="O111" s="68"/>
      <c r="P111" s="68"/>
    </row>
    <row r="112" spans="3:16" x14ac:dyDescent="0.3">
      <c r="C112" s="63"/>
      <c r="D112" s="64"/>
      <c r="E112" s="65"/>
      <c r="F112" s="66"/>
      <c r="G112" s="67"/>
      <c r="H112" s="67"/>
      <c r="I112" s="68"/>
      <c r="J112" s="69"/>
      <c r="K112" s="68"/>
      <c r="L112" s="68"/>
      <c r="M112" s="68"/>
      <c r="N112" s="68"/>
      <c r="O112" s="68"/>
      <c r="P112" s="68"/>
    </row>
    <row r="113" spans="3:16" x14ac:dyDescent="0.3">
      <c r="C113" s="63"/>
      <c r="D113" s="64"/>
      <c r="E113" s="65"/>
      <c r="F113" s="66"/>
      <c r="G113" s="67"/>
      <c r="H113" s="67"/>
      <c r="I113" s="68"/>
      <c r="J113" s="69"/>
      <c r="K113" s="68"/>
      <c r="L113" s="68"/>
      <c r="M113" s="68"/>
      <c r="N113" s="68"/>
      <c r="O113" s="68"/>
      <c r="P113" s="68"/>
    </row>
    <row r="114" spans="3:16" x14ac:dyDescent="0.3">
      <c r="C114" s="63"/>
      <c r="D114" s="64"/>
      <c r="E114" s="65"/>
      <c r="F114" s="66"/>
      <c r="G114" s="67"/>
      <c r="H114" s="67"/>
      <c r="I114" s="68"/>
      <c r="J114" s="69"/>
      <c r="K114" s="68"/>
      <c r="L114" s="68"/>
      <c r="M114" s="68"/>
      <c r="N114" s="68"/>
      <c r="O114" s="68"/>
      <c r="P114" s="68"/>
    </row>
    <row r="115" spans="3:16" x14ac:dyDescent="0.3">
      <c r="C115" s="63"/>
      <c r="D115" s="64"/>
      <c r="E115" s="65"/>
      <c r="F115" s="66"/>
      <c r="G115" s="67"/>
      <c r="H115" s="67"/>
      <c r="I115" s="68"/>
      <c r="J115" s="69"/>
      <c r="K115" s="68"/>
      <c r="L115" s="68"/>
      <c r="M115" s="68"/>
      <c r="N115" s="68"/>
      <c r="O115" s="68"/>
      <c r="P115" s="68"/>
    </row>
    <row r="116" spans="3:16" x14ac:dyDescent="0.3">
      <c r="C116" s="56"/>
      <c r="D116" s="57"/>
      <c r="E116" s="58"/>
      <c r="F116" s="59"/>
      <c r="G116" s="60"/>
      <c r="H116" s="60"/>
      <c r="I116" s="61"/>
      <c r="J116" s="62"/>
      <c r="K116" s="61"/>
      <c r="L116" s="61"/>
      <c r="M116" s="61"/>
      <c r="N116" s="61"/>
      <c r="O116" s="61"/>
      <c r="P116" s="61"/>
    </row>
    <row r="117" spans="3:16" x14ac:dyDescent="0.3">
      <c r="C117" s="63"/>
      <c r="D117" s="64"/>
      <c r="E117" s="65"/>
      <c r="F117" s="66"/>
      <c r="G117" s="67"/>
      <c r="H117" s="67"/>
      <c r="I117" s="68"/>
      <c r="J117" s="69"/>
      <c r="K117" s="68"/>
      <c r="L117" s="68"/>
      <c r="M117" s="68"/>
      <c r="N117" s="68"/>
      <c r="O117" s="68"/>
      <c r="P117" s="68"/>
    </row>
    <row r="118" spans="3:16" x14ac:dyDescent="0.3">
      <c r="C118" s="63"/>
      <c r="D118" s="64"/>
      <c r="E118" s="65"/>
      <c r="F118" s="66"/>
      <c r="G118" s="67"/>
      <c r="H118" s="67"/>
      <c r="I118" s="68"/>
      <c r="J118" s="69"/>
      <c r="K118" s="68"/>
      <c r="L118" s="68"/>
      <c r="M118" s="68"/>
      <c r="N118" s="68"/>
      <c r="O118" s="68"/>
      <c r="P118" s="68"/>
    </row>
    <row r="119" spans="3:16" x14ac:dyDescent="0.3">
      <c r="C119" s="63"/>
      <c r="D119" s="64"/>
      <c r="E119" s="65"/>
      <c r="F119" s="66"/>
      <c r="G119" s="67"/>
      <c r="H119" s="67"/>
      <c r="I119" s="68"/>
      <c r="J119" s="69"/>
      <c r="K119" s="68"/>
      <c r="L119" s="68"/>
      <c r="M119" s="68"/>
      <c r="N119" s="68"/>
      <c r="O119" s="68"/>
      <c r="P119" s="68"/>
    </row>
    <row r="120" spans="3:16" x14ac:dyDescent="0.3">
      <c r="C120" s="63"/>
      <c r="D120" s="64"/>
      <c r="E120" s="65"/>
      <c r="F120" s="66"/>
      <c r="G120" s="67"/>
      <c r="H120" s="67"/>
      <c r="I120" s="68"/>
      <c r="J120" s="69"/>
      <c r="K120" s="68"/>
      <c r="L120" s="68"/>
      <c r="M120" s="68"/>
      <c r="N120" s="68"/>
      <c r="O120" s="68"/>
      <c r="P120" s="68"/>
    </row>
    <row r="121" spans="3:16" x14ac:dyDescent="0.3">
      <c r="C121" s="63"/>
      <c r="D121" s="64"/>
      <c r="E121" s="65"/>
      <c r="F121" s="66"/>
      <c r="G121" s="67"/>
      <c r="H121" s="67"/>
      <c r="I121" s="68"/>
      <c r="J121" s="69"/>
      <c r="K121" s="68"/>
      <c r="L121" s="68"/>
      <c r="M121" s="68"/>
      <c r="N121" s="68"/>
      <c r="O121" s="68"/>
      <c r="P121" s="68"/>
    </row>
    <row r="122" spans="3:16" x14ac:dyDescent="0.3">
      <c r="C122" s="63"/>
      <c r="D122" s="64"/>
      <c r="E122" s="65"/>
      <c r="F122" s="66"/>
      <c r="G122" s="67"/>
      <c r="H122" s="67"/>
      <c r="I122" s="68"/>
      <c r="J122" s="69"/>
      <c r="K122" s="68"/>
      <c r="L122" s="68"/>
      <c r="M122" s="68"/>
      <c r="N122" s="68"/>
      <c r="O122" s="68"/>
      <c r="P122" s="68"/>
    </row>
    <row r="123" spans="3:16" x14ac:dyDescent="0.3">
      <c r="C123" s="63"/>
      <c r="D123" s="64"/>
      <c r="E123" s="65"/>
      <c r="F123" s="66"/>
      <c r="G123" s="67"/>
      <c r="H123" s="67"/>
      <c r="I123" s="68"/>
      <c r="J123" s="69"/>
      <c r="K123" s="68"/>
      <c r="L123" s="68"/>
      <c r="M123" s="68"/>
      <c r="N123" s="68"/>
      <c r="O123" s="68"/>
      <c r="P123" s="68"/>
    </row>
    <row r="124" spans="3:16" x14ac:dyDescent="0.3">
      <c r="C124" s="63"/>
      <c r="D124" s="64"/>
      <c r="E124" s="65"/>
      <c r="F124" s="66"/>
      <c r="G124" s="67"/>
      <c r="H124" s="67"/>
      <c r="I124" s="68"/>
      <c r="J124" s="69"/>
      <c r="K124" s="68"/>
      <c r="L124" s="68"/>
      <c r="M124" s="68"/>
      <c r="N124" s="68"/>
      <c r="O124" s="68"/>
      <c r="P124" s="68"/>
    </row>
    <row r="125" spans="3:16" x14ac:dyDescent="0.3">
      <c r="C125" s="63"/>
      <c r="D125" s="64"/>
      <c r="E125" s="65"/>
      <c r="F125" s="66"/>
      <c r="G125" s="67"/>
      <c r="H125" s="67"/>
      <c r="I125" s="68"/>
      <c r="J125" s="69"/>
      <c r="K125" s="68"/>
      <c r="L125" s="68"/>
      <c r="M125" s="68"/>
      <c r="N125" s="68"/>
      <c r="O125" s="68"/>
      <c r="P125" s="68"/>
    </row>
    <row r="126" spans="3:16" x14ac:dyDescent="0.3">
      <c r="C126" s="63"/>
      <c r="D126" s="64"/>
      <c r="E126" s="65"/>
      <c r="F126" s="66"/>
      <c r="G126" s="67"/>
      <c r="H126" s="67"/>
      <c r="I126" s="68"/>
      <c r="J126" s="69"/>
      <c r="K126" s="68"/>
      <c r="L126" s="68"/>
      <c r="M126" s="68"/>
      <c r="N126" s="68"/>
      <c r="O126" s="68"/>
      <c r="P126" s="68"/>
    </row>
    <row r="127" spans="3:16" x14ac:dyDescent="0.3">
      <c r="C127" s="63"/>
      <c r="D127" s="64"/>
      <c r="E127" s="65"/>
      <c r="F127" s="66"/>
      <c r="G127" s="67"/>
      <c r="H127" s="67"/>
      <c r="I127" s="68"/>
      <c r="J127" s="69"/>
      <c r="K127" s="68"/>
      <c r="L127" s="68"/>
      <c r="M127" s="68"/>
      <c r="N127" s="68"/>
      <c r="O127" s="68"/>
      <c r="P127" s="68"/>
    </row>
    <row r="128" spans="3:16" x14ac:dyDescent="0.3">
      <c r="C128" s="63"/>
      <c r="D128" s="64"/>
      <c r="E128" s="65"/>
      <c r="F128" s="66"/>
      <c r="G128" s="67"/>
      <c r="H128" s="67"/>
      <c r="I128" s="68"/>
      <c r="J128" s="69"/>
      <c r="K128" s="68"/>
      <c r="L128" s="68"/>
      <c r="M128" s="68"/>
      <c r="N128" s="68"/>
      <c r="O128" s="68"/>
      <c r="P128" s="68"/>
    </row>
    <row r="129" spans="3:16" x14ac:dyDescent="0.3">
      <c r="C129" s="63"/>
      <c r="D129" s="64"/>
      <c r="E129" s="65"/>
      <c r="F129" s="66"/>
      <c r="G129" s="67"/>
      <c r="H129" s="67"/>
      <c r="I129" s="68"/>
      <c r="J129" s="69"/>
      <c r="K129" s="68"/>
      <c r="L129" s="68"/>
      <c r="M129" s="68"/>
      <c r="N129" s="68"/>
      <c r="O129" s="68"/>
      <c r="P129" s="68"/>
    </row>
    <row r="130" spans="3:16" x14ac:dyDescent="0.3">
      <c r="C130" s="56"/>
      <c r="D130" s="57"/>
      <c r="E130" s="58"/>
      <c r="F130" s="59"/>
      <c r="G130" s="60"/>
      <c r="H130" s="60"/>
      <c r="I130" s="61"/>
      <c r="J130" s="62"/>
      <c r="K130" s="61"/>
      <c r="L130" s="61"/>
      <c r="M130" s="61"/>
      <c r="N130" s="61"/>
      <c r="O130" s="61"/>
      <c r="P130" s="61"/>
    </row>
    <row r="131" spans="3:16" x14ac:dyDescent="0.3">
      <c r="C131" s="63"/>
      <c r="D131" s="64"/>
      <c r="E131" s="65"/>
      <c r="F131" s="66"/>
      <c r="G131" s="67"/>
      <c r="H131" s="67"/>
      <c r="I131" s="68"/>
      <c r="J131" s="69"/>
      <c r="K131" s="68"/>
      <c r="L131" s="68"/>
      <c r="M131" s="68"/>
      <c r="N131" s="68"/>
      <c r="O131" s="68"/>
      <c r="P131" s="68"/>
    </row>
    <row r="132" spans="3:16" x14ac:dyDescent="0.3">
      <c r="C132" s="63"/>
      <c r="D132" s="64"/>
      <c r="E132" s="65"/>
      <c r="F132" s="66"/>
      <c r="G132" s="67"/>
      <c r="H132" s="67"/>
      <c r="I132" s="68"/>
      <c r="J132" s="69"/>
      <c r="K132" s="68"/>
      <c r="L132" s="68"/>
      <c r="M132" s="68"/>
      <c r="N132" s="68"/>
      <c r="O132" s="68"/>
      <c r="P132" s="68"/>
    </row>
  </sheetData>
  <autoFilter ref="C16:P52" xr:uid="{00000000-0009-0000-0000-00000C000000}"/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36865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36865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etrado13" filterMode="1"/>
  <dimension ref="A1:W231"/>
  <sheetViews>
    <sheetView view="pageBreakPreview" topLeftCell="A22" zoomScaleNormal="85" zoomScaleSheetLayoutView="100" workbookViewId="0">
      <selection activeCell="D30" sqref="D30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9.88671875" style="104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338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9.6" customHeight="1" x14ac:dyDescent="0.3">
      <c r="C16" s="300"/>
      <c r="D16" s="301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185">
        <v>1</v>
      </c>
      <c r="D18" s="366" t="s">
        <v>341</v>
      </c>
      <c r="E18" s="367"/>
      <c r="F18" s="280"/>
      <c r="G18" s="281"/>
      <c r="H18" s="281"/>
      <c r="I18" s="281"/>
      <c r="J18" s="282"/>
      <c r="K18" s="186"/>
      <c r="L18" s="186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59"/>
      <c r="K19" s="60"/>
      <c r="L19" s="60"/>
      <c r="M19" s="129"/>
      <c r="N19" s="129"/>
      <c r="O19" s="129"/>
      <c r="P19" s="129"/>
    </row>
    <row r="20" spans="1:16" s="110" customFormat="1" x14ac:dyDescent="0.2">
      <c r="A20" s="107">
        <v>2</v>
      </c>
      <c r="B20" s="108"/>
      <c r="C20" s="97" t="s">
        <v>397</v>
      </c>
      <c r="D20" s="98" t="s">
        <v>20</v>
      </c>
      <c r="E20" s="88"/>
      <c r="F20" s="51"/>
      <c r="G20" s="52"/>
      <c r="H20" s="52"/>
      <c r="I20" s="52"/>
      <c r="J20" s="59"/>
      <c r="K20" s="60"/>
      <c r="L20" s="60"/>
      <c r="M20" s="100"/>
      <c r="N20" s="100"/>
      <c r="O20" s="100"/>
      <c r="P20" s="100"/>
    </row>
    <row r="21" spans="1:16" s="150" customFormat="1" ht="12.75" customHeight="1" x14ac:dyDescent="0.2">
      <c r="A21" s="148">
        <v>3</v>
      </c>
      <c r="B21" s="149"/>
      <c r="C21" s="363" t="s">
        <v>401</v>
      </c>
      <c r="D21" s="362" t="s">
        <v>21</v>
      </c>
      <c r="E21" s="88"/>
      <c r="F21" s="51"/>
      <c r="G21" s="52"/>
      <c r="H21" s="52"/>
      <c r="I21" s="52"/>
      <c r="J21" s="59"/>
      <c r="K21" s="60"/>
      <c r="L21" s="60"/>
      <c r="M21" s="55"/>
      <c r="N21" s="55"/>
      <c r="O21" s="55"/>
      <c r="P21" s="55"/>
    </row>
    <row r="22" spans="1:16" ht="12.75" customHeight="1" x14ac:dyDescent="0.2">
      <c r="A22" s="429">
        <v>3</v>
      </c>
      <c r="B22" s="430"/>
      <c r="C22" s="48" t="s">
        <v>402</v>
      </c>
      <c r="D22" s="77" t="s">
        <v>388</v>
      </c>
      <c r="E22" s="50" t="s">
        <v>12</v>
      </c>
      <c r="F22" s="78"/>
      <c r="G22" s="53"/>
      <c r="H22" s="53"/>
      <c r="I22" s="53"/>
      <c r="J22" s="54"/>
      <c r="K22" s="55"/>
      <c r="L22" s="55"/>
      <c r="M22" s="55"/>
      <c r="N22" s="55"/>
      <c r="O22" s="55"/>
      <c r="P22" s="55">
        <f>SUM(L22:L49)</f>
        <v>213.32870000000003</v>
      </c>
    </row>
    <row r="23" spans="1:16" x14ac:dyDescent="0.3">
      <c r="C23" s="48"/>
      <c r="D23" s="79" t="s">
        <v>342</v>
      </c>
      <c r="E23" s="50"/>
      <c r="F23" s="66"/>
      <c r="G23" s="67"/>
      <c r="H23" s="67"/>
      <c r="I23" s="68"/>
      <c r="J23" s="69"/>
      <c r="K23" s="68"/>
      <c r="L23" s="68"/>
      <c r="M23" s="61"/>
      <c r="N23" s="61"/>
      <c r="O23" s="61"/>
      <c r="P23" s="122"/>
    </row>
    <row r="24" spans="1:16" x14ac:dyDescent="0.3">
      <c r="C24" s="63"/>
      <c r="D24" s="431" t="s">
        <v>343</v>
      </c>
      <c r="E24" s="73"/>
      <c r="F24" s="82"/>
      <c r="G24" s="74"/>
      <c r="H24" s="74"/>
      <c r="I24" s="74"/>
      <c r="J24" s="62"/>
      <c r="K24" s="61"/>
      <c r="L24" s="67"/>
      <c r="M24" s="68"/>
      <c r="N24" s="68"/>
      <c r="O24" s="68"/>
      <c r="P24" s="68"/>
    </row>
    <row r="25" spans="1:16" x14ac:dyDescent="0.3">
      <c r="C25" s="56"/>
      <c r="D25" s="80" t="s">
        <v>344</v>
      </c>
      <c r="E25" s="90" t="s">
        <v>12</v>
      </c>
      <c r="F25" s="66">
        <v>1</v>
      </c>
      <c r="G25" s="67">
        <v>13.63</v>
      </c>
      <c r="H25" s="67">
        <v>1.85</v>
      </c>
      <c r="I25" s="67"/>
      <c r="J25" s="66">
        <v>1</v>
      </c>
      <c r="K25" s="68"/>
      <c r="L25" s="68">
        <f t="shared" ref="L25:L26" si="0">IF(F25="","",PRODUCT(F25:J25))</f>
        <v>25.215500000000002</v>
      </c>
      <c r="M25" s="61"/>
      <c r="N25" s="61"/>
      <c r="O25" s="61"/>
      <c r="P25" s="61"/>
    </row>
    <row r="26" spans="1:16" x14ac:dyDescent="0.3">
      <c r="C26" s="56"/>
      <c r="D26" s="80" t="s">
        <v>345</v>
      </c>
      <c r="E26" s="90" t="s">
        <v>12</v>
      </c>
      <c r="F26" s="66">
        <v>1</v>
      </c>
      <c r="G26" s="67">
        <v>13</v>
      </c>
      <c r="H26" s="67">
        <v>1.85</v>
      </c>
      <c r="I26" s="67"/>
      <c r="J26" s="66">
        <v>1</v>
      </c>
      <c r="K26" s="68"/>
      <c r="L26" s="68">
        <f t="shared" si="0"/>
        <v>24.05</v>
      </c>
      <c r="M26" s="61"/>
      <c r="N26" s="61"/>
      <c r="O26" s="61"/>
      <c r="P26" s="61"/>
    </row>
    <row r="27" spans="1:16" s="150" customFormat="1" x14ac:dyDescent="0.2">
      <c r="A27" s="184"/>
      <c r="B27" s="149"/>
      <c r="C27" s="63"/>
      <c r="D27" s="80"/>
      <c r="E27" s="90"/>
      <c r="F27" s="66"/>
      <c r="G27" s="67"/>
      <c r="H27" s="67"/>
      <c r="I27" s="67"/>
      <c r="J27" s="69"/>
      <c r="K27" s="68"/>
      <c r="L27" s="68"/>
      <c r="M27" s="68"/>
      <c r="N27" s="68"/>
      <c r="O27" s="68"/>
      <c r="P27" s="68"/>
    </row>
    <row r="28" spans="1:16" s="150" customFormat="1" x14ac:dyDescent="0.2">
      <c r="A28" s="184"/>
      <c r="B28" s="149"/>
      <c r="C28" s="63"/>
      <c r="D28" s="79" t="s">
        <v>346</v>
      </c>
      <c r="E28" s="90"/>
      <c r="F28" s="66"/>
      <c r="G28" s="67"/>
      <c r="H28" s="67"/>
      <c r="I28" s="67"/>
      <c r="J28" s="69"/>
      <c r="K28" s="68"/>
      <c r="L28" s="68"/>
      <c r="M28" s="68"/>
      <c r="N28" s="68"/>
      <c r="O28" s="68"/>
      <c r="P28" s="68"/>
    </row>
    <row r="29" spans="1:16" s="150" customFormat="1" x14ac:dyDescent="0.2">
      <c r="A29" s="184"/>
      <c r="B29" s="149"/>
      <c r="C29" s="63"/>
      <c r="D29" s="431" t="s">
        <v>343</v>
      </c>
      <c r="E29" s="90"/>
      <c r="F29" s="66"/>
      <c r="G29" s="67"/>
      <c r="H29" s="67"/>
      <c r="I29" s="67"/>
      <c r="J29" s="69"/>
      <c r="K29" s="68"/>
      <c r="L29" s="68"/>
      <c r="M29" s="68"/>
      <c r="N29" s="68"/>
      <c r="O29" s="68"/>
      <c r="P29" s="68"/>
    </row>
    <row r="30" spans="1:16" s="150" customFormat="1" x14ac:dyDescent="0.2">
      <c r="A30" s="184"/>
      <c r="B30" s="149"/>
      <c r="C30" s="63"/>
      <c r="D30" s="80" t="s">
        <v>344</v>
      </c>
      <c r="E30" s="90" t="s">
        <v>12</v>
      </c>
      <c r="F30" s="66">
        <v>1</v>
      </c>
      <c r="G30" s="67">
        <v>13</v>
      </c>
      <c r="H30" s="67">
        <v>1.85</v>
      </c>
      <c r="I30" s="67"/>
      <c r="J30" s="66">
        <v>1</v>
      </c>
      <c r="K30" s="68"/>
      <c r="L30" s="68">
        <f t="shared" ref="L30:L31" si="1">IF(F30="","",PRODUCT(F30:J30))</f>
        <v>24.05</v>
      </c>
      <c r="M30" s="68"/>
      <c r="N30" s="68"/>
      <c r="O30" s="68"/>
      <c r="P30" s="68"/>
    </row>
    <row r="31" spans="1:16" s="150" customFormat="1" x14ac:dyDescent="0.2">
      <c r="A31" s="184"/>
      <c r="B31" s="149"/>
      <c r="C31" s="63"/>
      <c r="D31" s="80" t="s">
        <v>345</v>
      </c>
      <c r="E31" s="90" t="s">
        <v>12</v>
      </c>
      <c r="F31" s="66">
        <v>1</v>
      </c>
      <c r="G31" s="67">
        <v>13</v>
      </c>
      <c r="H31" s="67">
        <v>1.85</v>
      </c>
      <c r="I31" s="67"/>
      <c r="J31" s="66">
        <v>1</v>
      </c>
      <c r="K31" s="68"/>
      <c r="L31" s="68">
        <f t="shared" si="1"/>
        <v>24.05</v>
      </c>
      <c r="M31" s="68"/>
      <c r="N31" s="68"/>
      <c r="O31" s="68"/>
      <c r="P31" s="68"/>
    </row>
    <row r="32" spans="1:16" s="150" customFormat="1" x14ac:dyDescent="0.2">
      <c r="A32" s="184"/>
      <c r="B32" s="149"/>
      <c r="C32" s="63"/>
      <c r="D32" s="80"/>
      <c r="E32" s="90"/>
      <c r="F32" s="66"/>
      <c r="G32" s="67"/>
      <c r="H32" s="67"/>
      <c r="I32" s="67"/>
      <c r="J32" s="69"/>
      <c r="K32" s="68"/>
      <c r="L32" s="68"/>
      <c r="M32" s="68"/>
      <c r="N32" s="68"/>
      <c r="O32" s="68"/>
      <c r="P32" s="68"/>
    </row>
    <row r="33" spans="1:16" s="150" customFormat="1" x14ac:dyDescent="0.2">
      <c r="A33" s="184"/>
      <c r="B33" s="149"/>
      <c r="C33" s="63"/>
      <c r="D33" s="79" t="s">
        <v>112</v>
      </c>
      <c r="E33" s="90"/>
      <c r="F33" s="66"/>
      <c r="G33" s="67"/>
      <c r="H33" s="67"/>
      <c r="I33" s="67"/>
      <c r="J33" s="69"/>
      <c r="K33" s="68"/>
      <c r="L33" s="68"/>
      <c r="M33" s="68"/>
      <c r="N33" s="68"/>
      <c r="O33" s="68"/>
      <c r="P33" s="68"/>
    </row>
    <row r="34" spans="1:16" s="150" customFormat="1" x14ac:dyDescent="0.2">
      <c r="A34" s="184"/>
      <c r="B34" s="149"/>
      <c r="C34" s="63"/>
      <c r="D34" s="160" t="s">
        <v>347</v>
      </c>
      <c r="E34" s="90"/>
      <c r="F34" s="66"/>
      <c r="G34" s="67"/>
      <c r="H34" s="67"/>
      <c r="I34" s="67"/>
      <c r="J34" s="69"/>
      <c r="K34" s="68"/>
      <c r="L34" s="68"/>
      <c r="M34" s="68"/>
      <c r="N34" s="68"/>
      <c r="O34" s="68"/>
      <c r="P34" s="68"/>
    </row>
    <row r="35" spans="1:16" s="150" customFormat="1" x14ac:dyDescent="0.2">
      <c r="A35" s="184"/>
      <c r="B35" s="149"/>
      <c r="C35" s="63"/>
      <c r="D35" s="80" t="s">
        <v>344</v>
      </c>
      <c r="E35" s="90" t="s">
        <v>12</v>
      </c>
      <c r="F35" s="66">
        <v>1</v>
      </c>
      <c r="G35" s="67">
        <v>5.38</v>
      </c>
      <c r="H35" s="67">
        <v>1.9</v>
      </c>
      <c r="I35" s="67"/>
      <c r="J35" s="66">
        <v>1</v>
      </c>
      <c r="K35" s="68"/>
      <c r="L35" s="68">
        <f t="shared" ref="L35" si="2">IF(F35="","",PRODUCT(F35:J35))</f>
        <v>10.222</v>
      </c>
      <c r="M35" s="68"/>
      <c r="N35" s="68"/>
      <c r="O35" s="68"/>
      <c r="P35" s="68"/>
    </row>
    <row r="36" spans="1:16" s="150" customFormat="1" x14ac:dyDescent="0.2">
      <c r="A36" s="184"/>
      <c r="B36" s="149"/>
      <c r="C36" s="63"/>
      <c r="D36" s="160" t="s">
        <v>348</v>
      </c>
      <c r="E36" s="73"/>
      <c r="F36" s="82"/>
      <c r="G36" s="74"/>
      <c r="H36" s="74"/>
      <c r="I36" s="74"/>
      <c r="J36" s="62"/>
      <c r="K36" s="61"/>
      <c r="L36" s="67"/>
      <c r="M36" s="68"/>
      <c r="N36" s="68"/>
      <c r="O36" s="68"/>
      <c r="P36" s="68"/>
    </row>
    <row r="37" spans="1:16" s="150" customFormat="1" x14ac:dyDescent="0.2">
      <c r="A37" s="184"/>
      <c r="B37" s="149"/>
      <c r="C37" s="63"/>
      <c r="D37" s="80" t="s">
        <v>344</v>
      </c>
      <c r="E37" s="90" t="s">
        <v>12</v>
      </c>
      <c r="F37" s="66">
        <v>1</v>
      </c>
      <c r="G37" s="67">
        <v>10.68</v>
      </c>
      <c r="H37" s="67">
        <v>2.2200000000000002</v>
      </c>
      <c r="I37" s="67"/>
      <c r="J37" s="66">
        <v>1</v>
      </c>
      <c r="K37" s="68"/>
      <c r="L37" s="68">
        <f t="shared" ref="L37" si="3">IF(F37="","",PRODUCT(F37:J37))</f>
        <v>23.709600000000002</v>
      </c>
      <c r="M37" s="68"/>
      <c r="N37" s="68"/>
      <c r="O37" s="68"/>
      <c r="P37" s="68"/>
    </row>
    <row r="38" spans="1:16" s="150" customFormat="1" x14ac:dyDescent="0.2">
      <c r="A38" s="184"/>
      <c r="B38" s="149"/>
      <c r="C38" s="63"/>
      <c r="D38" s="80"/>
      <c r="E38" s="90"/>
      <c r="F38" s="66"/>
      <c r="G38" s="67"/>
      <c r="H38" s="67"/>
      <c r="I38" s="67"/>
      <c r="J38" s="69"/>
      <c r="K38" s="68"/>
      <c r="L38" s="68"/>
      <c r="M38" s="68"/>
      <c r="N38" s="68"/>
      <c r="O38" s="68"/>
      <c r="P38" s="68"/>
    </row>
    <row r="39" spans="1:16" x14ac:dyDescent="0.3">
      <c r="C39" s="63"/>
      <c r="D39" s="79" t="s">
        <v>349</v>
      </c>
      <c r="E39" s="73"/>
      <c r="F39" s="82"/>
      <c r="G39" s="74"/>
      <c r="H39" s="74"/>
      <c r="I39" s="74"/>
      <c r="J39" s="62"/>
      <c r="K39" s="61"/>
      <c r="L39" s="67"/>
      <c r="M39" s="68"/>
      <c r="N39" s="68"/>
      <c r="O39" s="68"/>
      <c r="P39" s="68"/>
    </row>
    <row r="40" spans="1:16" x14ac:dyDescent="0.3">
      <c r="C40" s="63"/>
      <c r="D40" s="160" t="s">
        <v>343</v>
      </c>
      <c r="E40" s="73"/>
      <c r="F40" s="82"/>
      <c r="G40" s="74"/>
      <c r="H40" s="74"/>
      <c r="I40" s="74"/>
      <c r="J40" s="62"/>
      <c r="K40" s="61"/>
      <c r="L40" s="67"/>
      <c r="M40" s="68"/>
      <c r="N40" s="68"/>
      <c r="O40" s="68"/>
      <c r="P40" s="68"/>
    </row>
    <row r="41" spans="1:16" x14ac:dyDescent="0.3">
      <c r="C41" s="63"/>
      <c r="D41" s="80" t="s">
        <v>344</v>
      </c>
      <c r="E41" s="90" t="s">
        <v>12</v>
      </c>
      <c r="F41" s="66">
        <v>1</v>
      </c>
      <c r="G41" s="67">
        <v>13</v>
      </c>
      <c r="H41" s="67">
        <v>1.85</v>
      </c>
      <c r="I41" s="67"/>
      <c r="J41" s="66">
        <v>1</v>
      </c>
      <c r="K41" s="68"/>
      <c r="L41" s="68">
        <f t="shared" ref="L41:L42" si="4">IF(F41="","",PRODUCT(F41:J41))</f>
        <v>24.05</v>
      </c>
      <c r="M41" s="68"/>
      <c r="N41" s="68"/>
      <c r="O41" s="68"/>
      <c r="P41" s="68"/>
    </row>
    <row r="42" spans="1:16" x14ac:dyDescent="0.3">
      <c r="C42" s="63"/>
      <c r="D42" s="80" t="s">
        <v>345</v>
      </c>
      <c r="E42" s="90" t="s">
        <v>12</v>
      </c>
      <c r="F42" s="66">
        <v>1</v>
      </c>
      <c r="G42" s="67">
        <v>13</v>
      </c>
      <c r="H42" s="67">
        <v>1.85</v>
      </c>
      <c r="I42" s="67"/>
      <c r="J42" s="66">
        <v>1</v>
      </c>
      <c r="K42" s="68"/>
      <c r="L42" s="68">
        <f t="shared" si="4"/>
        <v>24.05</v>
      </c>
      <c r="M42" s="68"/>
      <c r="N42" s="68"/>
      <c r="O42" s="68"/>
      <c r="P42" s="68"/>
    </row>
    <row r="43" spans="1:16" x14ac:dyDescent="0.3">
      <c r="C43" s="63"/>
      <c r="D43" s="79"/>
      <c r="E43" s="73"/>
      <c r="F43" s="82"/>
      <c r="G43" s="74"/>
      <c r="H43" s="74"/>
      <c r="I43" s="74"/>
      <c r="J43" s="62"/>
      <c r="K43" s="61"/>
      <c r="L43" s="67"/>
      <c r="M43" s="68"/>
      <c r="N43" s="68"/>
      <c r="O43" s="68"/>
      <c r="P43" s="68"/>
    </row>
    <row r="44" spans="1:16" x14ac:dyDescent="0.3">
      <c r="C44" s="63"/>
      <c r="D44" s="79" t="s">
        <v>107</v>
      </c>
      <c r="E44" s="73"/>
      <c r="F44" s="82"/>
      <c r="G44" s="74"/>
      <c r="H44" s="74"/>
      <c r="I44" s="74"/>
      <c r="J44" s="62"/>
      <c r="K44" s="61"/>
      <c r="L44" s="67"/>
      <c r="M44" s="68"/>
      <c r="N44" s="68"/>
      <c r="O44" s="68"/>
      <c r="P44" s="68"/>
    </row>
    <row r="45" spans="1:16" x14ac:dyDescent="0.3">
      <c r="C45" s="63"/>
      <c r="D45" s="160" t="s">
        <v>347</v>
      </c>
      <c r="E45" s="73"/>
      <c r="F45" s="82"/>
      <c r="G45" s="74"/>
      <c r="H45" s="74"/>
      <c r="I45" s="74"/>
      <c r="J45" s="62"/>
      <c r="K45" s="61"/>
      <c r="L45" s="67"/>
      <c r="M45" s="68"/>
      <c r="N45" s="68"/>
      <c r="O45" s="68"/>
      <c r="P45" s="68"/>
    </row>
    <row r="46" spans="1:16" x14ac:dyDescent="0.3">
      <c r="C46" s="63"/>
      <c r="D46" s="80" t="s">
        <v>344</v>
      </c>
      <c r="E46" s="90" t="s">
        <v>12</v>
      </c>
      <c r="F46" s="66">
        <v>1</v>
      </c>
      <c r="G46" s="67">
        <v>5.38</v>
      </c>
      <c r="H46" s="67">
        <v>1.9</v>
      </c>
      <c r="I46" s="67"/>
      <c r="J46" s="66">
        <v>1</v>
      </c>
      <c r="K46" s="68"/>
      <c r="L46" s="68">
        <f t="shared" ref="L46" si="5">IF(F46="","",PRODUCT(F46:J46))</f>
        <v>10.222</v>
      </c>
      <c r="M46" s="68"/>
      <c r="N46" s="68"/>
      <c r="O46" s="68"/>
      <c r="P46" s="68"/>
    </row>
    <row r="47" spans="1:16" x14ac:dyDescent="0.3">
      <c r="C47" s="63"/>
      <c r="D47" s="160" t="s">
        <v>348</v>
      </c>
      <c r="E47" s="73"/>
      <c r="F47" s="82"/>
      <c r="G47" s="74"/>
      <c r="H47" s="74"/>
      <c r="I47" s="74"/>
      <c r="J47" s="62"/>
      <c r="K47" s="61"/>
      <c r="L47" s="67"/>
      <c r="M47" s="68"/>
      <c r="N47" s="68"/>
      <c r="O47" s="68"/>
      <c r="P47" s="68"/>
    </row>
    <row r="48" spans="1:16" x14ac:dyDescent="0.3">
      <c r="C48" s="63"/>
      <c r="D48" s="80" t="s">
        <v>344</v>
      </c>
      <c r="E48" s="90" t="s">
        <v>12</v>
      </c>
      <c r="F48" s="66">
        <v>1</v>
      </c>
      <c r="G48" s="67">
        <v>10.68</v>
      </c>
      <c r="H48" s="67">
        <v>2.2200000000000002</v>
      </c>
      <c r="I48" s="67"/>
      <c r="J48" s="66">
        <v>1</v>
      </c>
      <c r="K48" s="68"/>
      <c r="L48" s="68">
        <f t="shared" ref="L48" si="6">IF(F48="","",PRODUCT(F48:J48))</f>
        <v>23.709600000000002</v>
      </c>
      <c r="M48" s="68"/>
      <c r="N48" s="68"/>
      <c r="O48" s="68"/>
      <c r="P48" s="68"/>
    </row>
    <row r="49" spans="1:16" s="150" customFormat="1" x14ac:dyDescent="0.2">
      <c r="A49" s="184"/>
      <c r="B49" s="149"/>
      <c r="C49" s="63"/>
      <c r="D49" s="80"/>
      <c r="E49" s="90"/>
      <c r="F49" s="66"/>
      <c r="G49" s="67"/>
      <c r="H49" s="67"/>
      <c r="I49" s="67"/>
      <c r="J49" s="69"/>
      <c r="K49" s="68"/>
      <c r="L49" s="68"/>
      <c r="M49" s="68"/>
      <c r="N49" s="68"/>
      <c r="O49" s="68"/>
      <c r="P49" s="68"/>
    </row>
    <row r="50" spans="1:16" x14ac:dyDescent="0.3">
      <c r="C50" s="373"/>
      <c r="D50" s="408"/>
      <c r="E50" s="409"/>
      <c r="F50" s="410"/>
      <c r="G50" s="377"/>
      <c r="H50" s="377"/>
      <c r="I50" s="377"/>
      <c r="J50" s="410"/>
      <c r="K50" s="378"/>
      <c r="L50" s="378"/>
      <c r="M50" s="378"/>
      <c r="N50" s="378"/>
      <c r="O50" s="378"/>
      <c r="P50" s="378"/>
    </row>
    <row r="51" spans="1:16" x14ac:dyDescent="0.3">
      <c r="C51" s="379"/>
      <c r="D51" s="402"/>
      <c r="E51" s="313"/>
      <c r="F51" s="317"/>
      <c r="G51" s="315"/>
      <c r="H51" s="315"/>
      <c r="I51" s="315"/>
      <c r="J51" s="317"/>
      <c r="K51" s="316"/>
      <c r="L51" s="316"/>
      <c r="M51" s="316"/>
      <c r="N51" s="316"/>
      <c r="O51" s="316"/>
      <c r="P51" s="316"/>
    </row>
    <row r="52" spans="1:16" x14ac:dyDescent="0.3">
      <c r="C52" s="432"/>
      <c r="D52" s="411"/>
      <c r="E52" s="412"/>
      <c r="F52" s="413"/>
      <c r="G52" s="384"/>
      <c r="H52" s="384"/>
      <c r="I52" s="384"/>
      <c r="J52" s="433"/>
      <c r="K52" s="392"/>
      <c r="L52" s="392"/>
      <c r="M52" s="392"/>
      <c r="N52" s="392"/>
      <c r="O52" s="392"/>
      <c r="P52" s="392"/>
    </row>
    <row r="53" spans="1:16" x14ac:dyDescent="0.3">
      <c r="C53" s="385"/>
      <c r="D53" s="403"/>
      <c r="E53" s="404"/>
      <c r="F53" s="405"/>
      <c r="G53" s="384"/>
      <c r="H53" s="384"/>
      <c r="I53" s="384"/>
      <c r="J53" s="434"/>
      <c r="K53" s="387"/>
      <c r="L53" s="387"/>
      <c r="M53" s="387"/>
      <c r="N53" s="387"/>
      <c r="O53" s="387"/>
      <c r="P53" s="387"/>
    </row>
    <row r="54" spans="1:16" x14ac:dyDescent="0.3">
      <c r="C54" s="381"/>
      <c r="D54" s="435"/>
      <c r="E54" s="406"/>
      <c r="F54" s="407"/>
      <c r="G54" s="384"/>
      <c r="H54" s="384"/>
      <c r="I54" s="384"/>
      <c r="J54" s="317"/>
      <c r="K54" s="316"/>
      <c r="L54" s="316"/>
      <c r="M54" s="316"/>
      <c r="N54" s="316"/>
      <c r="O54" s="316"/>
      <c r="P54" s="316"/>
    </row>
    <row r="55" spans="1:16" x14ac:dyDescent="0.3">
      <c r="C55" s="394"/>
      <c r="D55" s="419"/>
      <c r="E55" s="406"/>
      <c r="F55" s="407"/>
      <c r="G55" s="384"/>
      <c r="H55" s="384"/>
      <c r="I55" s="384"/>
      <c r="J55" s="317"/>
      <c r="K55" s="316"/>
      <c r="L55" s="316"/>
      <c r="M55" s="316"/>
      <c r="N55" s="316"/>
      <c r="O55" s="316"/>
      <c r="P55" s="316"/>
    </row>
    <row r="56" spans="1:16" x14ac:dyDescent="0.3">
      <c r="C56" s="373"/>
      <c r="D56" s="408"/>
      <c r="E56" s="409"/>
      <c r="F56" s="410"/>
      <c r="G56" s="377"/>
      <c r="H56" s="377"/>
      <c r="I56" s="377"/>
      <c r="J56" s="410"/>
      <c r="K56" s="378"/>
      <c r="L56" s="378"/>
      <c r="M56" s="378"/>
      <c r="N56" s="378"/>
      <c r="O56" s="378"/>
      <c r="P56" s="378"/>
    </row>
    <row r="57" spans="1:16" x14ac:dyDescent="0.3">
      <c r="C57" s="379"/>
      <c r="D57" s="402"/>
      <c r="E57" s="313"/>
      <c r="F57" s="317"/>
      <c r="G57" s="315"/>
      <c r="H57" s="315"/>
      <c r="I57" s="315"/>
      <c r="J57" s="317"/>
      <c r="K57" s="316"/>
      <c r="L57" s="316"/>
      <c r="M57" s="316"/>
      <c r="N57" s="316"/>
      <c r="O57" s="316"/>
      <c r="P57" s="316"/>
    </row>
    <row r="58" spans="1:16" x14ac:dyDescent="0.3">
      <c r="C58" s="432"/>
      <c r="D58" s="411"/>
      <c r="E58" s="412"/>
      <c r="F58" s="413"/>
      <c r="G58" s="384"/>
      <c r="H58" s="384"/>
      <c r="I58" s="384"/>
      <c r="J58" s="433"/>
      <c r="K58" s="392"/>
      <c r="L58" s="392"/>
      <c r="M58" s="392"/>
      <c r="N58" s="392"/>
      <c r="O58" s="392"/>
      <c r="P58" s="392"/>
    </row>
    <row r="59" spans="1:16" x14ac:dyDescent="0.3">
      <c r="C59" s="385"/>
      <c r="D59" s="403"/>
      <c r="E59" s="425"/>
      <c r="F59" s="405"/>
      <c r="G59" s="384"/>
      <c r="H59" s="384"/>
      <c r="I59" s="384"/>
      <c r="J59" s="434"/>
      <c r="K59" s="387"/>
      <c r="L59" s="387"/>
      <c r="M59" s="387"/>
      <c r="N59" s="387"/>
      <c r="O59" s="387"/>
      <c r="P59" s="387"/>
    </row>
    <row r="60" spans="1:16" x14ac:dyDescent="0.3">
      <c r="C60" s="381"/>
      <c r="D60" s="419"/>
      <c r="E60" s="406"/>
      <c r="F60" s="407"/>
      <c r="G60" s="384"/>
      <c r="H60" s="384"/>
      <c r="I60" s="384"/>
      <c r="J60" s="317"/>
      <c r="K60" s="316"/>
      <c r="L60" s="316"/>
      <c r="M60" s="316"/>
      <c r="N60" s="316"/>
      <c r="O60" s="316"/>
      <c r="P60" s="316"/>
    </row>
    <row r="61" spans="1:16" x14ac:dyDescent="0.3">
      <c r="C61" s="373"/>
      <c r="D61" s="408"/>
      <c r="E61" s="409"/>
      <c r="F61" s="410"/>
      <c r="G61" s="377"/>
      <c r="H61" s="377"/>
      <c r="I61" s="377"/>
      <c r="J61" s="410"/>
      <c r="K61" s="378"/>
      <c r="L61" s="378"/>
      <c r="M61" s="378"/>
      <c r="N61" s="378"/>
      <c r="O61" s="378"/>
      <c r="P61" s="378"/>
    </row>
    <row r="62" spans="1:16" x14ac:dyDescent="0.3">
      <c r="C62" s="381"/>
      <c r="D62" s="419"/>
      <c r="E62" s="406"/>
      <c r="F62" s="407"/>
      <c r="G62" s="384"/>
      <c r="H62" s="384"/>
      <c r="I62" s="384"/>
      <c r="J62" s="317"/>
      <c r="K62" s="316"/>
      <c r="L62" s="316"/>
      <c r="M62" s="316"/>
      <c r="N62" s="316"/>
      <c r="O62" s="316"/>
      <c r="P62" s="316"/>
    </row>
    <row r="63" spans="1:16" x14ac:dyDescent="0.3">
      <c r="C63" s="373"/>
      <c r="D63" s="408"/>
      <c r="E63" s="409"/>
      <c r="F63" s="410"/>
      <c r="G63" s="377"/>
      <c r="H63" s="377"/>
      <c r="I63" s="377"/>
      <c r="J63" s="410"/>
      <c r="K63" s="378"/>
      <c r="L63" s="378"/>
      <c r="M63" s="378"/>
      <c r="N63" s="378"/>
      <c r="O63" s="378"/>
      <c r="P63" s="378"/>
    </row>
    <row r="64" spans="1:16" x14ac:dyDescent="0.3">
      <c r="C64" s="381"/>
      <c r="D64" s="419"/>
      <c r="E64" s="406"/>
      <c r="F64" s="407"/>
      <c r="G64" s="384"/>
      <c r="H64" s="384"/>
      <c r="I64" s="384"/>
      <c r="J64" s="317"/>
      <c r="K64" s="316"/>
      <c r="L64" s="316"/>
      <c r="M64" s="316"/>
      <c r="N64" s="316"/>
      <c r="O64" s="316"/>
      <c r="P64" s="316"/>
    </row>
    <row r="65" spans="3:16" x14ac:dyDescent="0.3">
      <c r="C65" s="373"/>
      <c r="D65" s="408"/>
      <c r="E65" s="409"/>
      <c r="F65" s="410"/>
      <c r="G65" s="377"/>
      <c r="H65" s="377"/>
      <c r="I65" s="377"/>
      <c r="J65" s="410"/>
      <c r="K65" s="378"/>
      <c r="L65" s="378"/>
      <c r="M65" s="378"/>
      <c r="N65" s="378"/>
      <c r="O65" s="378"/>
      <c r="P65" s="378"/>
    </row>
    <row r="66" spans="3:16" x14ac:dyDescent="0.3">
      <c r="C66" s="381"/>
      <c r="D66" s="419"/>
      <c r="E66" s="406"/>
      <c r="F66" s="407"/>
      <c r="G66" s="384"/>
      <c r="H66" s="384"/>
      <c r="I66" s="384"/>
      <c r="J66" s="317"/>
      <c r="K66" s="316"/>
      <c r="L66" s="316"/>
      <c r="M66" s="316"/>
      <c r="N66" s="316"/>
      <c r="O66" s="316"/>
      <c r="P66" s="316"/>
    </row>
    <row r="67" spans="3:16" x14ac:dyDescent="0.3">
      <c r="C67" s="385"/>
      <c r="D67" s="403"/>
      <c r="E67" s="404"/>
      <c r="F67" s="405"/>
      <c r="G67" s="384"/>
      <c r="H67" s="384"/>
      <c r="I67" s="384"/>
      <c r="J67" s="434"/>
      <c r="K67" s="387"/>
      <c r="L67" s="387"/>
      <c r="M67" s="387"/>
      <c r="N67" s="387"/>
      <c r="O67" s="387"/>
      <c r="P67" s="387"/>
    </row>
    <row r="68" spans="3:16" x14ac:dyDescent="0.3">
      <c r="C68" s="395"/>
      <c r="D68" s="424"/>
      <c r="E68" s="313"/>
      <c r="F68" s="317"/>
      <c r="G68" s="315"/>
      <c r="H68" s="315"/>
      <c r="I68" s="315"/>
      <c r="J68" s="317"/>
      <c r="K68" s="316"/>
      <c r="L68" s="316"/>
      <c r="M68" s="316"/>
      <c r="N68" s="316"/>
      <c r="O68" s="316"/>
      <c r="P68" s="316"/>
    </row>
    <row r="69" spans="3:16" x14ac:dyDescent="0.3">
      <c r="C69" s="396"/>
      <c r="D69" s="408"/>
      <c r="E69" s="409"/>
      <c r="F69" s="410"/>
      <c r="G69" s="377"/>
      <c r="H69" s="377"/>
      <c r="I69" s="377"/>
      <c r="J69" s="410"/>
      <c r="K69" s="378"/>
      <c r="L69" s="378"/>
      <c r="M69" s="378"/>
      <c r="N69" s="378"/>
      <c r="O69" s="378"/>
      <c r="P69" s="378"/>
    </row>
    <row r="70" spans="3:16" x14ac:dyDescent="0.3">
      <c r="C70" s="379"/>
      <c r="D70" s="402"/>
      <c r="E70" s="313"/>
      <c r="F70" s="317"/>
      <c r="G70" s="315"/>
      <c r="H70" s="315"/>
      <c r="I70" s="315"/>
      <c r="J70" s="317"/>
      <c r="K70" s="316"/>
      <c r="L70" s="316"/>
      <c r="M70" s="316"/>
      <c r="N70" s="316"/>
      <c r="O70" s="316"/>
      <c r="P70" s="316"/>
    </row>
    <row r="71" spans="3:16" x14ac:dyDescent="0.3">
      <c r="C71" s="385"/>
      <c r="D71" s="403"/>
      <c r="E71" s="404"/>
      <c r="F71" s="405"/>
      <c r="G71" s="384"/>
      <c r="H71" s="384"/>
      <c r="I71" s="384"/>
      <c r="J71" s="434"/>
      <c r="K71" s="387"/>
      <c r="L71" s="387"/>
      <c r="M71" s="387"/>
      <c r="N71" s="387"/>
      <c r="O71" s="387"/>
      <c r="P71" s="387"/>
    </row>
    <row r="72" spans="3:16" x14ac:dyDescent="0.3">
      <c r="C72" s="426"/>
      <c r="D72" s="408"/>
      <c r="E72" s="427"/>
      <c r="F72" s="410"/>
      <c r="G72" s="377"/>
      <c r="H72" s="377"/>
      <c r="I72" s="377"/>
      <c r="J72" s="410"/>
      <c r="K72" s="378"/>
      <c r="L72" s="378"/>
      <c r="M72" s="378"/>
      <c r="N72" s="378"/>
      <c r="O72" s="378"/>
      <c r="P72" s="378"/>
    </row>
    <row r="73" spans="3:16" x14ac:dyDescent="0.3">
      <c r="C73" s="395"/>
      <c r="D73" s="402"/>
      <c r="E73" s="313"/>
      <c r="F73" s="317"/>
      <c r="G73" s="315"/>
      <c r="H73" s="315"/>
      <c r="I73" s="315"/>
      <c r="J73" s="317"/>
      <c r="K73" s="316"/>
      <c r="L73" s="316"/>
      <c r="M73" s="316"/>
      <c r="N73" s="316"/>
      <c r="O73" s="316"/>
      <c r="P73" s="316"/>
    </row>
    <row r="74" spans="3:16" x14ac:dyDescent="0.3">
      <c r="C74" s="379"/>
      <c r="D74" s="402"/>
      <c r="E74" s="313"/>
      <c r="F74" s="317"/>
      <c r="G74" s="315"/>
      <c r="H74" s="315"/>
      <c r="I74" s="315"/>
      <c r="J74" s="317"/>
      <c r="K74" s="316"/>
      <c r="L74" s="316"/>
      <c r="M74" s="316"/>
      <c r="N74" s="316"/>
      <c r="O74" s="316"/>
      <c r="P74" s="316"/>
    </row>
    <row r="75" spans="3:16" x14ac:dyDescent="0.3">
      <c r="C75" s="379"/>
      <c r="D75" s="402"/>
      <c r="E75" s="313"/>
      <c r="F75" s="317"/>
      <c r="G75" s="315"/>
      <c r="H75" s="315"/>
      <c r="I75" s="315"/>
      <c r="J75" s="317"/>
      <c r="K75" s="316"/>
      <c r="L75" s="316"/>
      <c r="M75" s="316"/>
      <c r="N75" s="316"/>
      <c r="O75" s="316"/>
      <c r="P75" s="316"/>
    </row>
    <row r="76" spans="3:16" x14ac:dyDescent="0.3">
      <c r="C76" s="379"/>
      <c r="D76" s="312"/>
      <c r="E76" s="313"/>
      <c r="F76" s="314"/>
      <c r="G76" s="315"/>
      <c r="H76" s="315"/>
      <c r="I76" s="316"/>
      <c r="J76" s="317"/>
      <c r="K76" s="316"/>
      <c r="L76" s="316"/>
      <c r="M76" s="316"/>
      <c r="N76" s="316"/>
      <c r="O76" s="316"/>
      <c r="P76" s="316"/>
    </row>
    <row r="77" spans="3:16" x14ac:dyDescent="0.3">
      <c r="C77" s="379"/>
      <c r="D77" s="312"/>
      <c r="E77" s="313"/>
      <c r="F77" s="314"/>
      <c r="G77" s="315"/>
      <c r="H77" s="315"/>
      <c r="I77" s="316"/>
      <c r="J77" s="317"/>
      <c r="K77" s="316"/>
      <c r="L77" s="316"/>
      <c r="M77" s="316"/>
      <c r="N77" s="316"/>
      <c r="O77" s="316"/>
      <c r="P77" s="316"/>
    </row>
    <row r="78" spans="3:16" x14ac:dyDescent="0.3">
      <c r="C78" s="379"/>
      <c r="D78" s="312"/>
      <c r="E78" s="313"/>
      <c r="F78" s="314"/>
      <c r="G78" s="315"/>
      <c r="H78" s="315"/>
      <c r="I78" s="316"/>
      <c r="J78" s="317"/>
      <c r="K78" s="316"/>
      <c r="L78" s="316"/>
      <c r="M78" s="316"/>
      <c r="N78" s="316"/>
      <c r="O78" s="316"/>
      <c r="P78" s="316"/>
    </row>
    <row r="79" spans="3:16" x14ac:dyDescent="0.3">
      <c r="C79" s="379"/>
      <c r="D79" s="312"/>
      <c r="E79" s="313"/>
      <c r="F79" s="314"/>
      <c r="G79" s="315"/>
      <c r="H79" s="315"/>
      <c r="I79" s="316"/>
      <c r="J79" s="317"/>
      <c r="K79" s="316"/>
      <c r="L79" s="316"/>
      <c r="M79" s="316"/>
      <c r="N79" s="316"/>
      <c r="O79" s="316"/>
      <c r="P79" s="316"/>
    </row>
    <row r="80" spans="3:16" x14ac:dyDescent="0.3">
      <c r="C80" s="379"/>
      <c r="D80" s="312"/>
      <c r="E80" s="313"/>
      <c r="F80" s="314"/>
      <c r="G80" s="315"/>
      <c r="H80" s="315"/>
      <c r="I80" s="316"/>
      <c r="J80" s="317"/>
      <c r="K80" s="316"/>
      <c r="L80" s="316"/>
      <c r="M80" s="316"/>
      <c r="N80" s="316"/>
      <c r="O80" s="316"/>
      <c r="P80" s="316"/>
    </row>
    <row r="81" spans="3:16" x14ac:dyDescent="0.3">
      <c r="C81" s="379"/>
      <c r="D81" s="312"/>
      <c r="E81" s="313"/>
      <c r="F81" s="314"/>
      <c r="G81" s="315"/>
      <c r="H81" s="315"/>
      <c r="I81" s="316"/>
      <c r="J81" s="317"/>
      <c r="K81" s="316"/>
      <c r="L81" s="316"/>
      <c r="M81" s="316"/>
      <c r="N81" s="316"/>
      <c r="O81" s="316"/>
      <c r="P81" s="316"/>
    </row>
    <row r="82" spans="3:16" x14ac:dyDescent="0.3">
      <c r="C82" s="379"/>
      <c r="D82" s="312"/>
      <c r="E82" s="313"/>
      <c r="F82" s="314"/>
      <c r="G82" s="315"/>
      <c r="H82" s="315"/>
      <c r="I82" s="316"/>
      <c r="J82" s="317"/>
      <c r="K82" s="316"/>
      <c r="L82" s="316"/>
      <c r="M82" s="316"/>
      <c r="N82" s="316"/>
      <c r="O82" s="316"/>
      <c r="P82" s="316"/>
    </row>
    <row r="83" spans="3:16" x14ac:dyDescent="0.3">
      <c r="C83" s="379"/>
      <c r="D83" s="312"/>
      <c r="E83" s="313"/>
      <c r="F83" s="314"/>
      <c r="G83" s="315"/>
      <c r="H83" s="315"/>
      <c r="I83" s="316"/>
      <c r="J83" s="317"/>
      <c r="K83" s="316"/>
      <c r="L83" s="316"/>
      <c r="M83" s="316"/>
      <c r="N83" s="316"/>
      <c r="O83" s="316"/>
      <c r="P83" s="316"/>
    </row>
    <row r="84" spans="3:16" x14ac:dyDescent="0.3">
      <c r="C84" s="379"/>
      <c r="D84" s="312"/>
      <c r="E84" s="313"/>
      <c r="F84" s="314"/>
      <c r="G84" s="315"/>
      <c r="H84" s="315"/>
      <c r="I84" s="316"/>
      <c r="J84" s="317"/>
      <c r="K84" s="316"/>
      <c r="L84" s="316"/>
      <c r="M84" s="316"/>
      <c r="N84" s="316"/>
      <c r="O84" s="316"/>
      <c r="P84" s="316"/>
    </row>
    <row r="85" spans="3:16" x14ac:dyDescent="0.3">
      <c r="C85" s="379"/>
      <c r="D85" s="312"/>
      <c r="E85" s="313"/>
      <c r="F85" s="314"/>
      <c r="G85" s="315"/>
      <c r="H85" s="315"/>
      <c r="I85" s="316"/>
      <c r="J85" s="317"/>
      <c r="K85" s="316"/>
      <c r="L85" s="316"/>
      <c r="M85" s="316"/>
      <c r="N85" s="316"/>
      <c r="O85" s="316"/>
      <c r="P85" s="316"/>
    </row>
    <row r="86" spans="3:16" x14ac:dyDescent="0.3">
      <c r="C86" s="379"/>
      <c r="D86" s="312"/>
      <c r="E86" s="313"/>
      <c r="F86" s="314"/>
      <c r="G86" s="315"/>
      <c r="H86" s="315"/>
      <c r="I86" s="316"/>
      <c r="J86" s="317"/>
      <c r="K86" s="316"/>
      <c r="L86" s="316"/>
      <c r="M86" s="316"/>
      <c r="N86" s="316"/>
      <c r="O86" s="316"/>
      <c r="P86" s="316"/>
    </row>
    <row r="87" spans="3:16" x14ac:dyDescent="0.3">
      <c r="C87" s="379"/>
      <c r="D87" s="312"/>
      <c r="E87" s="313"/>
      <c r="F87" s="314"/>
      <c r="G87" s="315"/>
      <c r="H87" s="315"/>
      <c r="I87" s="316"/>
      <c r="J87" s="317"/>
      <c r="K87" s="316"/>
      <c r="L87" s="316"/>
      <c r="M87" s="316"/>
      <c r="N87" s="316"/>
      <c r="O87" s="316"/>
      <c r="P87" s="316"/>
    </row>
    <row r="88" spans="3:16" x14ac:dyDescent="0.3">
      <c r="C88" s="379"/>
      <c r="D88" s="312"/>
      <c r="E88" s="313"/>
      <c r="F88" s="314"/>
      <c r="G88" s="315"/>
      <c r="H88" s="315"/>
      <c r="I88" s="316"/>
      <c r="J88" s="317"/>
      <c r="K88" s="316"/>
      <c r="L88" s="316"/>
      <c r="M88" s="316"/>
      <c r="N88" s="316"/>
      <c r="O88" s="316"/>
      <c r="P88" s="316"/>
    </row>
    <row r="89" spans="3:16" x14ac:dyDescent="0.3">
      <c r="C89" s="379"/>
      <c r="D89" s="312"/>
      <c r="E89" s="313"/>
      <c r="F89" s="314"/>
      <c r="G89" s="315"/>
      <c r="H89" s="315"/>
      <c r="I89" s="316"/>
      <c r="J89" s="317"/>
      <c r="K89" s="316"/>
      <c r="L89" s="316"/>
      <c r="M89" s="316"/>
      <c r="N89" s="316"/>
      <c r="O89" s="316"/>
      <c r="P89" s="316"/>
    </row>
    <row r="90" spans="3:16" x14ac:dyDescent="0.3">
      <c r="C90" s="379"/>
      <c r="D90" s="312"/>
      <c r="E90" s="313"/>
      <c r="F90" s="314"/>
      <c r="G90" s="315"/>
      <c r="H90" s="315"/>
      <c r="I90" s="316"/>
      <c r="J90" s="317"/>
      <c r="K90" s="316"/>
      <c r="L90" s="316"/>
      <c r="M90" s="316"/>
      <c r="N90" s="316"/>
      <c r="O90" s="316"/>
      <c r="P90" s="316"/>
    </row>
    <row r="91" spans="3:16" x14ac:dyDescent="0.3">
      <c r="C91" s="152"/>
      <c r="D91" s="312"/>
      <c r="E91" s="313"/>
      <c r="F91" s="314"/>
      <c r="G91" s="315"/>
      <c r="H91" s="315"/>
      <c r="I91" s="316"/>
      <c r="J91" s="317"/>
      <c r="K91" s="316"/>
      <c r="L91" s="316"/>
      <c r="M91" s="316"/>
      <c r="N91" s="316"/>
      <c r="O91" s="316"/>
      <c r="P91" s="316"/>
    </row>
    <row r="92" spans="3:16" x14ac:dyDescent="0.3">
      <c r="C92" s="152"/>
      <c r="D92" s="312"/>
      <c r="E92" s="313"/>
      <c r="F92" s="314"/>
      <c r="G92" s="315"/>
      <c r="H92" s="315"/>
      <c r="I92" s="316"/>
      <c r="J92" s="317"/>
      <c r="K92" s="316"/>
      <c r="L92" s="316"/>
      <c r="M92" s="316"/>
      <c r="N92" s="316"/>
      <c r="O92" s="316"/>
      <c r="P92" s="316"/>
    </row>
    <row r="93" spans="3:16" x14ac:dyDescent="0.3">
      <c r="C93" s="152"/>
      <c r="D93" s="312"/>
      <c r="E93" s="313"/>
      <c r="F93" s="314"/>
      <c r="G93" s="315"/>
      <c r="H93" s="315"/>
      <c r="I93" s="316"/>
      <c r="J93" s="317"/>
      <c r="K93" s="316"/>
      <c r="L93" s="316"/>
      <c r="M93" s="316"/>
      <c r="N93" s="316"/>
      <c r="O93" s="316"/>
      <c r="P93" s="316"/>
    </row>
    <row r="94" spans="3:16" x14ac:dyDescent="0.3">
      <c r="C94" s="152"/>
      <c r="D94" s="312"/>
      <c r="E94" s="313"/>
      <c r="F94" s="314"/>
      <c r="G94" s="315"/>
      <c r="H94" s="315"/>
      <c r="I94" s="316"/>
      <c r="J94" s="317"/>
      <c r="K94" s="316"/>
      <c r="L94" s="316"/>
      <c r="M94" s="316"/>
      <c r="N94" s="316"/>
      <c r="O94" s="316"/>
      <c r="P94" s="316"/>
    </row>
    <row r="95" spans="3:16" x14ac:dyDescent="0.3">
      <c r="C95" s="152"/>
      <c r="D95" s="312"/>
      <c r="E95" s="313"/>
      <c r="F95" s="314"/>
      <c r="G95" s="315"/>
      <c r="H95" s="315"/>
      <c r="I95" s="316"/>
      <c r="J95" s="317"/>
      <c r="K95" s="316"/>
      <c r="L95" s="316"/>
      <c r="M95" s="316"/>
      <c r="N95" s="316"/>
      <c r="O95" s="316"/>
      <c r="P95" s="316"/>
    </row>
    <row r="96" spans="3:16" x14ac:dyDescent="0.3">
      <c r="C96" s="152"/>
      <c r="D96" s="312"/>
      <c r="E96" s="313"/>
      <c r="F96" s="314"/>
      <c r="G96" s="315"/>
      <c r="H96" s="315"/>
      <c r="I96" s="316"/>
      <c r="J96" s="317"/>
      <c r="K96" s="316"/>
      <c r="L96" s="316"/>
      <c r="M96" s="316"/>
      <c r="N96" s="316"/>
      <c r="O96" s="316"/>
      <c r="P96" s="316"/>
    </row>
    <row r="97" spans="3:16" x14ac:dyDescent="0.3">
      <c r="C97" s="152"/>
      <c r="D97" s="312"/>
      <c r="E97" s="313"/>
      <c r="F97" s="314"/>
      <c r="G97" s="315"/>
      <c r="H97" s="315"/>
      <c r="I97" s="316"/>
      <c r="J97" s="317"/>
      <c r="K97" s="316"/>
      <c r="L97" s="316"/>
      <c r="M97" s="316"/>
      <c r="N97" s="316"/>
      <c r="O97" s="316"/>
      <c r="P97" s="316"/>
    </row>
    <row r="98" spans="3:16" x14ac:dyDescent="0.3">
      <c r="C98" s="152"/>
      <c r="D98" s="312"/>
      <c r="E98" s="313"/>
      <c r="F98" s="314"/>
      <c r="G98" s="315"/>
      <c r="H98" s="315"/>
      <c r="I98" s="316"/>
      <c r="J98" s="317"/>
      <c r="K98" s="316"/>
      <c r="L98" s="316"/>
      <c r="M98" s="316"/>
      <c r="N98" s="316"/>
      <c r="O98" s="316"/>
      <c r="P98" s="316"/>
    </row>
    <row r="99" spans="3:16" x14ac:dyDescent="0.3">
      <c r="C99" s="152"/>
      <c r="D99" s="312"/>
      <c r="E99" s="313"/>
      <c r="F99" s="314"/>
      <c r="G99" s="315"/>
      <c r="H99" s="315"/>
      <c r="I99" s="316"/>
      <c r="J99" s="317"/>
      <c r="K99" s="316"/>
      <c r="L99" s="316"/>
      <c r="M99" s="316"/>
      <c r="N99" s="316"/>
      <c r="O99" s="316"/>
      <c r="P99" s="316"/>
    </row>
    <row r="100" spans="3:16" x14ac:dyDescent="0.3">
      <c r="C100" s="152"/>
      <c r="D100" s="312"/>
      <c r="E100" s="313"/>
      <c r="F100" s="314"/>
      <c r="G100" s="315"/>
      <c r="H100" s="315"/>
      <c r="I100" s="316"/>
      <c r="J100" s="317"/>
      <c r="K100" s="316"/>
      <c r="L100" s="316"/>
      <c r="M100" s="316"/>
      <c r="N100" s="316"/>
      <c r="O100" s="316"/>
      <c r="P100" s="316"/>
    </row>
    <row r="101" spans="3:16" x14ac:dyDescent="0.3">
      <c r="C101" s="152"/>
      <c r="D101" s="312"/>
      <c r="E101" s="313"/>
      <c r="F101" s="314"/>
      <c r="G101" s="315"/>
      <c r="H101" s="315"/>
      <c r="I101" s="316"/>
      <c r="J101" s="317"/>
      <c r="K101" s="316"/>
      <c r="L101" s="316"/>
      <c r="M101" s="316"/>
      <c r="N101" s="316"/>
      <c r="O101" s="316"/>
      <c r="P101" s="316"/>
    </row>
    <row r="102" spans="3:16" x14ac:dyDescent="0.3">
      <c r="C102" s="152"/>
      <c r="D102" s="312"/>
      <c r="E102" s="313"/>
      <c r="F102" s="314"/>
      <c r="G102" s="315"/>
      <c r="H102" s="315"/>
      <c r="I102" s="316"/>
      <c r="J102" s="317"/>
      <c r="K102" s="316"/>
      <c r="L102" s="316"/>
      <c r="M102" s="316"/>
      <c r="N102" s="316"/>
      <c r="O102" s="316"/>
      <c r="P102" s="316"/>
    </row>
    <row r="103" spans="3:16" x14ac:dyDescent="0.3">
      <c r="C103" s="152"/>
      <c r="D103" s="312"/>
      <c r="E103" s="313"/>
      <c r="F103" s="314"/>
      <c r="G103" s="315"/>
      <c r="H103" s="315"/>
      <c r="I103" s="316"/>
      <c r="J103" s="317"/>
      <c r="K103" s="316"/>
      <c r="L103" s="316"/>
      <c r="M103" s="316"/>
      <c r="N103" s="316"/>
      <c r="O103" s="316"/>
      <c r="P103" s="316"/>
    </row>
    <row r="104" spans="3:16" x14ac:dyDescent="0.3">
      <c r="C104" s="152"/>
      <c r="D104" s="312"/>
      <c r="E104" s="313"/>
      <c r="F104" s="314"/>
      <c r="G104" s="315"/>
      <c r="H104" s="315"/>
      <c r="I104" s="316"/>
      <c r="J104" s="317"/>
      <c r="K104" s="316"/>
      <c r="L104" s="316"/>
      <c r="M104" s="316"/>
      <c r="N104" s="316"/>
      <c r="O104" s="316"/>
      <c r="P104" s="316"/>
    </row>
    <row r="105" spans="3:16" x14ac:dyDescent="0.3">
      <c r="C105" s="152"/>
      <c r="D105" s="312"/>
      <c r="E105" s="313"/>
      <c r="F105" s="314"/>
      <c r="G105" s="315"/>
      <c r="H105" s="315"/>
      <c r="I105" s="316"/>
      <c r="J105" s="317"/>
      <c r="K105" s="316"/>
      <c r="L105" s="316"/>
      <c r="M105" s="316"/>
      <c r="N105" s="316"/>
      <c r="O105" s="316"/>
      <c r="P105" s="316"/>
    </row>
    <row r="106" spans="3:16" x14ac:dyDescent="0.3">
      <c r="C106" s="152"/>
      <c r="D106" s="312"/>
      <c r="E106" s="313"/>
      <c r="F106" s="314"/>
      <c r="G106" s="315"/>
      <c r="H106" s="315"/>
      <c r="I106" s="316"/>
      <c r="J106" s="317"/>
      <c r="K106" s="316"/>
      <c r="L106" s="316"/>
      <c r="M106" s="316"/>
      <c r="N106" s="316"/>
      <c r="O106" s="316"/>
      <c r="P106" s="316"/>
    </row>
    <row r="107" spans="3:16" x14ac:dyDescent="0.3">
      <c r="C107" s="152"/>
      <c r="D107" s="312"/>
      <c r="E107" s="313"/>
      <c r="F107" s="314"/>
      <c r="G107" s="315"/>
      <c r="H107" s="315"/>
      <c r="I107" s="316"/>
      <c r="J107" s="317"/>
      <c r="K107" s="316"/>
      <c r="L107" s="316"/>
      <c r="M107" s="316"/>
      <c r="N107" s="316"/>
      <c r="O107" s="316"/>
      <c r="P107" s="316"/>
    </row>
    <row r="108" spans="3:16" x14ac:dyDescent="0.3">
      <c r="C108" s="152"/>
      <c r="D108" s="312"/>
      <c r="E108" s="313"/>
      <c r="F108" s="314"/>
      <c r="G108" s="315"/>
      <c r="H108" s="315"/>
      <c r="I108" s="316"/>
      <c r="J108" s="317"/>
      <c r="K108" s="316"/>
      <c r="L108" s="316"/>
      <c r="M108" s="316"/>
      <c r="N108" s="316"/>
      <c r="O108" s="316"/>
      <c r="P108" s="316"/>
    </row>
    <row r="109" spans="3:16" x14ac:dyDescent="0.3">
      <c r="C109" s="152"/>
      <c r="D109" s="312"/>
      <c r="E109" s="313"/>
      <c r="F109" s="314"/>
      <c r="G109" s="315"/>
      <c r="H109" s="315"/>
      <c r="I109" s="316"/>
      <c r="J109" s="317"/>
      <c r="K109" s="316"/>
      <c r="L109" s="316"/>
      <c r="M109" s="316"/>
      <c r="N109" s="316"/>
      <c r="O109" s="316"/>
      <c r="P109" s="316"/>
    </row>
    <row r="110" spans="3:16" x14ac:dyDescent="0.3">
      <c r="C110" s="152"/>
      <c r="D110" s="312"/>
      <c r="E110" s="313"/>
      <c r="F110" s="314"/>
      <c r="G110" s="315"/>
      <c r="H110" s="315"/>
      <c r="I110" s="316"/>
      <c r="J110" s="317"/>
      <c r="K110" s="316"/>
      <c r="L110" s="316"/>
      <c r="M110" s="316"/>
      <c r="N110" s="316"/>
      <c r="O110" s="316"/>
      <c r="P110" s="316"/>
    </row>
    <row r="111" spans="3:16" x14ac:dyDescent="0.3">
      <c r="C111" s="152"/>
      <c r="D111" s="312"/>
      <c r="E111" s="313"/>
      <c r="F111" s="314"/>
      <c r="G111" s="315"/>
      <c r="H111" s="315"/>
      <c r="I111" s="316"/>
      <c r="J111" s="317"/>
      <c r="K111" s="316"/>
      <c r="L111" s="316"/>
      <c r="M111" s="316"/>
      <c r="N111" s="316"/>
      <c r="O111" s="316"/>
      <c r="P111" s="316"/>
    </row>
    <row r="112" spans="3:16" x14ac:dyDescent="0.3">
      <c r="C112" s="152"/>
      <c r="D112" s="312"/>
      <c r="E112" s="313"/>
      <c r="F112" s="314"/>
      <c r="G112" s="315"/>
      <c r="H112" s="315"/>
      <c r="I112" s="316"/>
      <c r="J112" s="317"/>
      <c r="K112" s="316"/>
      <c r="L112" s="316"/>
      <c r="M112" s="316"/>
      <c r="N112" s="316"/>
      <c r="O112" s="316"/>
      <c r="P112" s="316"/>
    </row>
    <row r="113" spans="3:16" x14ac:dyDescent="0.3">
      <c r="C113" s="152"/>
      <c r="D113" s="312"/>
      <c r="E113" s="313"/>
      <c r="F113" s="314"/>
      <c r="G113" s="315"/>
      <c r="H113" s="315"/>
      <c r="I113" s="316"/>
      <c r="J113" s="317"/>
      <c r="K113" s="316"/>
      <c r="L113" s="316"/>
      <c r="M113" s="316"/>
      <c r="N113" s="316"/>
      <c r="O113" s="316"/>
      <c r="P113" s="316"/>
    </row>
    <row r="114" spans="3:16" x14ac:dyDescent="0.3">
      <c r="C114" s="152"/>
      <c r="D114" s="312"/>
      <c r="E114" s="313"/>
      <c r="F114" s="314"/>
      <c r="G114" s="315"/>
      <c r="H114" s="315"/>
      <c r="I114" s="316"/>
      <c r="J114" s="317"/>
      <c r="K114" s="316"/>
      <c r="L114" s="316"/>
      <c r="M114" s="316"/>
      <c r="N114" s="316"/>
      <c r="O114" s="316"/>
      <c r="P114" s="316"/>
    </row>
    <row r="115" spans="3:16" x14ac:dyDescent="0.3">
      <c r="C115" s="152"/>
      <c r="D115" s="312"/>
      <c r="E115" s="313"/>
      <c r="F115" s="314"/>
      <c r="G115" s="315"/>
      <c r="H115" s="315"/>
      <c r="I115" s="316"/>
      <c r="J115" s="317"/>
      <c r="K115" s="316"/>
      <c r="L115" s="316"/>
      <c r="M115" s="316"/>
      <c r="N115" s="316"/>
      <c r="O115" s="316"/>
      <c r="P115" s="316"/>
    </row>
    <row r="116" spans="3:16" x14ac:dyDescent="0.3">
      <c r="C116" s="152"/>
      <c r="D116" s="312"/>
      <c r="E116" s="313"/>
      <c r="F116" s="314"/>
      <c r="G116" s="315"/>
      <c r="H116" s="315"/>
      <c r="I116" s="316"/>
      <c r="J116" s="317"/>
      <c r="K116" s="316"/>
      <c r="L116" s="316"/>
      <c r="M116" s="316"/>
      <c r="N116" s="316"/>
      <c r="O116" s="316"/>
      <c r="P116" s="316"/>
    </row>
    <row r="117" spans="3:16" x14ac:dyDescent="0.3">
      <c r="C117" s="152"/>
      <c r="D117" s="312"/>
      <c r="E117" s="313"/>
      <c r="F117" s="314"/>
      <c r="G117" s="315"/>
      <c r="H117" s="315"/>
      <c r="I117" s="316"/>
      <c r="J117" s="317"/>
      <c r="K117" s="316"/>
      <c r="L117" s="316"/>
      <c r="M117" s="316"/>
      <c r="N117" s="316"/>
      <c r="O117" s="316"/>
      <c r="P117" s="316"/>
    </row>
    <row r="118" spans="3:16" x14ac:dyDescent="0.3">
      <c r="C118" s="152"/>
      <c r="D118" s="312"/>
      <c r="E118" s="313"/>
      <c r="F118" s="314"/>
      <c r="G118" s="315"/>
      <c r="H118" s="315"/>
      <c r="I118" s="316"/>
      <c r="J118" s="317"/>
      <c r="K118" s="316"/>
      <c r="L118" s="316"/>
      <c r="M118" s="316"/>
      <c r="N118" s="316"/>
      <c r="O118" s="316"/>
      <c r="P118" s="316"/>
    </row>
    <row r="119" spans="3:16" x14ac:dyDescent="0.3">
      <c r="C119" s="152"/>
      <c r="D119" s="312"/>
      <c r="E119" s="313"/>
      <c r="F119" s="314"/>
      <c r="G119" s="315"/>
      <c r="H119" s="315"/>
      <c r="I119" s="316"/>
      <c r="J119" s="317"/>
      <c r="K119" s="316"/>
      <c r="L119" s="316"/>
      <c r="M119" s="316"/>
      <c r="N119" s="316"/>
      <c r="O119" s="316"/>
      <c r="P119" s="316"/>
    </row>
    <row r="120" spans="3:16" x14ac:dyDescent="0.3">
      <c r="C120" s="152"/>
      <c r="D120" s="312"/>
      <c r="E120" s="313"/>
      <c r="F120" s="314"/>
      <c r="G120" s="315"/>
      <c r="H120" s="315"/>
      <c r="I120" s="316"/>
      <c r="J120" s="317"/>
      <c r="K120" s="316"/>
      <c r="L120" s="316"/>
      <c r="M120" s="316"/>
      <c r="N120" s="316"/>
      <c r="O120" s="316"/>
      <c r="P120" s="316"/>
    </row>
    <row r="121" spans="3:16" x14ac:dyDescent="0.3">
      <c r="C121" s="152"/>
      <c r="D121" s="312"/>
      <c r="E121" s="313"/>
      <c r="F121" s="314"/>
      <c r="G121" s="315"/>
      <c r="H121" s="315"/>
      <c r="I121" s="316"/>
      <c r="J121" s="317"/>
      <c r="K121" s="316"/>
      <c r="L121" s="316"/>
      <c r="M121" s="316"/>
      <c r="N121" s="316"/>
      <c r="O121" s="316"/>
      <c r="P121" s="316"/>
    </row>
    <row r="122" spans="3:16" x14ac:dyDescent="0.3">
      <c r="C122" s="152"/>
      <c r="D122" s="312"/>
      <c r="E122" s="313"/>
      <c r="F122" s="314"/>
      <c r="G122" s="315"/>
      <c r="H122" s="315"/>
      <c r="I122" s="316"/>
      <c r="J122" s="317"/>
      <c r="K122" s="316"/>
      <c r="L122" s="316"/>
      <c r="M122" s="316"/>
      <c r="N122" s="316"/>
      <c r="O122" s="316"/>
      <c r="P122" s="316"/>
    </row>
    <row r="123" spans="3:16" x14ac:dyDescent="0.3">
      <c r="C123" s="152"/>
      <c r="D123" s="312"/>
      <c r="E123" s="313"/>
      <c r="F123" s="314"/>
      <c r="G123" s="315"/>
      <c r="H123" s="315"/>
      <c r="I123" s="316"/>
      <c r="J123" s="317"/>
      <c r="K123" s="316"/>
      <c r="L123" s="316"/>
      <c r="M123" s="316"/>
      <c r="N123" s="316"/>
      <c r="O123" s="316"/>
      <c r="P123" s="316"/>
    </row>
    <row r="124" spans="3:16" x14ac:dyDescent="0.3">
      <c r="C124" s="152"/>
      <c r="D124" s="312"/>
      <c r="E124" s="313"/>
      <c r="F124" s="314"/>
      <c r="G124" s="315"/>
      <c r="H124" s="315"/>
      <c r="I124" s="316"/>
      <c r="J124" s="317"/>
      <c r="K124" s="316"/>
      <c r="L124" s="316"/>
      <c r="M124" s="316"/>
      <c r="N124" s="316"/>
      <c r="O124" s="316"/>
      <c r="P124" s="316"/>
    </row>
    <row r="125" spans="3:16" x14ac:dyDescent="0.3">
      <c r="C125" s="152"/>
      <c r="D125" s="312"/>
      <c r="E125" s="313"/>
      <c r="F125" s="314"/>
      <c r="G125" s="315"/>
      <c r="H125" s="315"/>
      <c r="I125" s="316"/>
      <c r="J125" s="317"/>
      <c r="K125" s="316"/>
      <c r="L125" s="316"/>
      <c r="M125" s="316"/>
      <c r="N125" s="316"/>
      <c r="O125" s="316"/>
      <c r="P125" s="316"/>
    </row>
    <row r="126" spans="3:16" x14ac:dyDescent="0.3">
      <c r="C126" s="152"/>
      <c r="D126" s="312"/>
      <c r="E126" s="313"/>
      <c r="F126" s="314"/>
      <c r="G126" s="315"/>
      <c r="H126" s="315"/>
      <c r="I126" s="316"/>
      <c r="J126" s="317"/>
      <c r="K126" s="316"/>
      <c r="L126" s="316"/>
      <c r="M126" s="316"/>
      <c r="N126" s="316"/>
      <c r="O126" s="316"/>
      <c r="P126" s="316"/>
    </row>
    <row r="127" spans="3:16" x14ac:dyDescent="0.3">
      <c r="C127" s="152"/>
      <c r="D127" s="312"/>
      <c r="E127" s="313"/>
      <c r="F127" s="314"/>
      <c r="G127" s="315"/>
      <c r="H127" s="315"/>
      <c r="I127" s="316"/>
      <c r="J127" s="317"/>
      <c r="K127" s="316"/>
      <c r="L127" s="316"/>
      <c r="M127" s="316"/>
      <c r="N127" s="316"/>
      <c r="O127" s="316"/>
      <c r="P127" s="316"/>
    </row>
    <row r="128" spans="3:16" x14ac:dyDescent="0.3">
      <c r="C128" s="152"/>
      <c r="D128" s="312"/>
      <c r="E128" s="313"/>
      <c r="F128" s="314"/>
      <c r="G128" s="315"/>
      <c r="H128" s="315"/>
      <c r="I128" s="316"/>
      <c r="J128" s="317"/>
      <c r="K128" s="316"/>
      <c r="L128" s="316"/>
      <c r="M128" s="316"/>
      <c r="N128" s="316"/>
      <c r="O128" s="316"/>
      <c r="P128" s="316"/>
    </row>
    <row r="129" spans="3:16" x14ac:dyDescent="0.3">
      <c r="C129" s="152"/>
      <c r="D129" s="312"/>
      <c r="E129" s="313"/>
      <c r="F129" s="314"/>
      <c r="G129" s="315"/>
      <c r="H129" s="315"/>
      <c r="I129" s="316"/>
      <c r="J129" s="317"/>
      <c r="K129" s="316"/>
      <c r="L129" s="316"/>
      <c r="M129" s="316"/>
      <c r="N129" s="316"/>
      <c r="O129" s="316"/>
      <c r="P129" s="316"/>
    </row>
    <row r="130" spans="3:16" x14ac:dyDescent="0.3">
      <c r="C130" s="152"/>
      <c r="D130" s="312"/>
      <c r="E130" s="313"/>
      <c r="F130" s="314"/>
      <c r="G130" s="315"/>
      <c r="H130" s="315"/>
      <c r="I130" s="316"/>
      <c r="J130" s="317"/>
      <c r="K130" s="316"/>
      <c r="L130" s="316"/>
      <c r="M130" s="316"/>
      <c r="N130" s="316"/>
      <c r="O130" s="316"/>
      <c r="P130" s="316"/>
    </row>
    <row r="131" spans="3:16" x14ac:dyDescent="0.3">
      <c r="C131" s="63"/>
      <c r="D131" s="64"/>
      <c r="E131" s="65"/>
      <c r="F131" s="66"/>
      <c r="G131" s="67"/>
      <c r="H131" s="67"/>
      <c r="I131" s="68"/>
      <c r="J131" s="69"/>
      <c r="K131" s="68"/>
      <c r="L131" s="68"/>
      <c r="M131" s="68"/>
      <c r="N131" s="68"/>
      <c r="O131" s="68"/>
      <c r="P131" s="68"/>
    </row>
    <row r="132" spans="3:16" x14ac:dyDescent="0.3">
      <c r="C132" s="63"/>
      <c r="D132" s="64"/>
      <c r="E132" s="65"/>
      <c r="F132" s="66"/>
      <c r="G132" s="67"/>
      <c r="H132" s="67"/>
      <c r="I132" s="68"/>
      <c r="J132" s="69"/>
      <c r="K132" s="68"/>
      <c r="L132" s="68"/>
      <c r="M132" s="68"/>
      <c r="N132" s="68"/>
      <c r="O132" s="68"/>
      <c r="P132" s="68"/>
    </row>
    <row r="133" spans="3:16" x14ac:dyDescent="0.3">
      <c r="C133" s="63"/>
      <c r="D133" s="64"/>
      <c r="E133" s="65"/>
      <c r="F133" s="66"/>
      <c r="G133" s="67"/>
      <c r="H133" s="67"/>
      <c r="I133" s="68"/>
      <c r="J133" s="69"/>
      <c r="K133" s="68"/>
      <c r="L133" s="68"/>
      <c r="M133" s="68"/>
      <c r="N133" s="68"/>
      <c r="O133" s="68"/>
      <c r="P133" s="68"/>
    </row>
    <row r="134" spans="3:16" x14ac:dyDescent="0.3">
      <c r="C134" s="63"/>
      <c r="D134" s="64"/>
      <c r="E134" s="65"/>
      <c r="F134" s="66"/>
      <c r="G134" s="67"/>
      <c r="H134" s="67"/>
      <c r="I134" s="68"/>
      <c r="J134" s="69"/>
      <c r="K134" s="68"/>
      <c r="L134" s="68"/>
      <c r="M134" s="68"/>
      <c r="N134" s="68"/>
      <c r="O134" s="68"/>
      <c r="P134" s="68"/>
    </row>
    <row r="135" spans="3:16" x14ac:dyDescent="0.3">
      <c r="C135" s="63"/>
      <c r="D135" s="64"/>
      <c r="E135" s="65"/>
      <c r="F135" s="66"/>
      <c r="G135" s="67"/>
      <c r="H135" s="67"/>
      <c r="I135" s="68"/>
      <c r="J135" s="69"/>
      <c r="K135" s="68"/>
      <c r="L135" s="68"/>
      <c r="M135" s="68"/>
      <c r="N135" s="68"/>
      <c r="O135" s="68"/>
      <c r="P135" s="68"/>
    </row>
    <row r="136" spans="3:16" x14ac:dyDescent="0.3">
      <c r="C136" s="63"/>
      <c r="D136" s="64"/>
      <c r="E136" s="65"/>
      <c r="F136" s="66"/>
      <c r="G136" s="67"/>
      <c r="H136" s="67"/>
      <c r="I136" s="68"/>
      <c r="J136" s="69"/>
      <c r="K136" s="68"/>
      <c r="L136" s="68"/>
      <c r="M136" s="68"/>
      <c r="N136" s="68"/>
      <c r="O136" s="68"/>
      <c r="P136" s="68"/>
    </row>
    <row r="137" spans="3:16" x14ac:dyDescent="0.3">
      <c r="C137" s="63"/>
      <c r="D137" s="64"/>
      <c r="E137" s="65"/>
      <c r="F137" s="66"/>
      <c r="G137" s="67"/>
      <c r="H137" s="67"/>
      <c r="I137" s="68"/>
      <c r="J137" s="69"/>
      <c r="K137" s="68"/>
      <c r="L137" s="68"/>
      <c r="M137" s="68"/>
      <c r="N137" s="68"/>
      <c r="O137" s="68"/>
      <c r="P137" s="68"/>
    </row>
    <row r="138" spans="3:16" x14ac:dyDescent="0.3">
      <c r="C138" s="63"/>
      <c r="D138" s="64"/>
      <c r="E138" s="65"/>
      <c r="F138" s="66"/>
      <c r="G138" s="67"/>
      <c r="H138" s="67"/>
      <c r="I138" s="68"/>
      <c r="J138" s="69"/>
      <c r="K138" s="68"/>
      <c r="L138" s="68"/>
      <c r="M138" s="68"/>
      <c r="N138" s="68"/>
      <c r="O138" s="68"/>
      <c r="P138" s="68"/>
    </row>
    <row r="139" spans="3:16" x14ac:dyDescent="0.3">
      <c r="C139" s="63"/>
      <c r="D139" s="64"/>
      <c r="E139" s="65"/>
      <c r="F139" s="66"/>
      <c r="G139" s="67"/>
      <c r="H139" s="67"/>
      <c r="I139" s="68"/>
      <c r="J139" s="69"/>
      <c r="K139" s="68"/>
      <c r="L139" s="68"/>
      <c r="M139" s="68"/>
      <c r="N139" s="68"/>
      <c r="O139" s="68"/>
      <c r="P139" s="68"/>
    </row>
    <row r="140" spans="3:16" x14ac:dyDescent="0.3">
      <c r="C140" s="63"/>
      <c r="D140" s="64"/>
      <c r="E140" s="65"/>
      <c r="F140" s="66"/>
      <c r="G140" s="67"/>
      <c r="H140" s="67"/>
      <c r="I140" s="68"/>
      <c r="J140" s="69"/>
      <c r="K140" s="68"/>
      <c r="L140" s="68"/>
      <c r="M140" s="68"/>
      <c r="N140" s="68"/>
      <c r="O140" s="68"/>
      <c r="P140" s="68"/>
    </row>
    <row r="141" spans="3:16" x14ac:dyDescent="0.3">
      <c r="C141" s="63"/>
      <c r="D141" s="64"/>
      <c r="E141" s="65"/>
      <c r="F141" s="66"/>
      <c r="G141" s="67"/>
      <c r="H141" s="67"/>
      <c r="I141" s="68"/>
      <c r="J141" s="69"/>
      <c r="K141" s="68"/>
      <c r="L141" s="68"/>
      <c r="M141" s="68"/>
      <c r="N141" s="68"/>
      <c r="O141" s="68"/>
      <c r="P141" s="68"/>
    </row>
    <row r="142" spans="3:16" x14ac:dyDescent="0.3">
      <c r="C142" s="63"/>
      <c r="D142" s="64"/>
      <c r="E142" s="65"/>
      <c r="F142" s="66"/>
      <c r="G142" s="67"/>
      <c r="H142" s="67"/>
      <c r="I142" s="68"/>
      <c r="J142" s="69"/>
      <c r="K142" s="68"/>
      <c r="L142" s="68"/>
      <c r="M142" s="68"/>
      <c r="N142" s="68"/>
      <c r="O142" s="68"/>
      <c r="P142" s="68"/>
    </row>
    <row r="143" spans="3:16" x14ac:dyDescent="0.3">
      <c r="C143" s="63"/>
      <c r="D143" s="64"/>
      <c r="E143" s="65"/>
      <c r="F143" s="66"/>
      <c r="G143" s="67"/>
      <c r="H143" s="67"/>
      <c r="I143" s="68"/>
      <c r="J143" s="69"/>
      <c r="K143" s="68"/>
      <c r="L143" s="68"/>
      <c r="M143" s="68"/>
      <c r="N143" s="68"/>
      <c r="O143" s="68"/>
      <c r="P143" s="68"/>
    </row>
    <row r="144" spans="3:16" x14ac:dyDescent="0.3">
      <c r="C144" s="63"/>
      <c r="D144" s="64"/>
      <c r="E144" s="65"/>
      <c r="F144" s="66"/>
      <c r="G144" s="67"/>
      <c r="H144" s="67"/>
      <c r="I144" s="68"/>
      <c r="J144" s="69"/>
      <c r="K144" s="68"/>
      <c r="L144" s="68"/>
      <c r="M144" s="68"/>
      <c r="N144" s="68"/>
      <c r="O144" s="68"/>
      <c r="P144" s="68"/>
    </row>
    <row r="145" spans="3:16" x14ac:dyDescent="0.3">
      <c r="C145" s="63"/>
      <c r="D145" s="64"/>
      <c r="E145" s="65"/>
      <c r="F145" s="66"/>
      <c r="G145" s="67"/>
      <c r="H145" s="67"/>
      <c r="I145" s="68"/>
      <c r="J145" s="69"/>
      <c r="K145" s="68"/>
      <c r="L145" s="68"/>
      <c r="M145" s="68"/>
      <c r="N145" s="68"/>
      <c r="O145" s="68"/>
      <c r="P145" s="68"/>
    </row>
    <row r="146" spans="3:16" x14ac:dyDescent="0.3">
      <c r="C146" s="63"/>
      <c r="D146" s="64"/>
      <c r="E146" s="65"/>
      <c r="F146" s="66"/>
      <c r="G146" s="67"/>
      <c r="H146" s="67"/>
      <c r="I146" s="68"/>
      <c r="J146" s="69"/>
      <c r="K146" s="68"/>
      <c r="L146" s="68"/>
      <c r="M146" s="68"/>
      <c r="N146" s="68"/>
      <c r="O146" s="68"/>
      <c r="P146" s="68"/>
    </row>
    <row r="147" spans="3:16" x14ac:dyDescent="0.3">
      <c r="C147" s="63"/>
      <c r="D147" s="64"/>
      <c r="E147" s="65"/>
      <c r="F147" s="66"/>
      <c r="G147" s="67"/>
      <c r="H147" s="67"/>
      <c r="I147" s="68"/>
      <c r="J147" s="69"/>
      <c r="K147" s="68"/>
      <c r="L147" s="68"/>
      <c r="M147" s="68"/>
      <c r="N147" s="68"/>
      <c r="O147" s="68"/>
      <c r="P147" s="68"/>
    </row>
    <row r="148" spans="3:16" x14ac:dyDescent="0.3">
      <c r="C148" s="63"/>
      <c r="D148" s="64"/>
      <c r="E148" s="65"/>
      <c r="F148" s="66"/>
      <c r="G148" s="67"/>
      <c r="H148" s="67"/>
      <c r="I148" s="68"/>
      <c r="J148" s="69"/>
      <c r="K148" s="68"/>
      <c r="L148" s="68"/>
      <c r="M148" s="68"/>
      <c r="N148" s="68"/>
      <c r="O148" s="68"/>
      <c r="P148" s="68"/>
    </row>
    <row r="149" spans="3:16" x14ac:dyDescent="0.3">
      <c r="C149" s="63"/>
      <c r="D149" s="64"/>
      <c r="E149" s="65"/>
      <c r="F149" s="66"/>
      <c r="G149" s="67"/>
      <c r="H149" s="67"/>
      <c r="I149" s="68"/>
      <c r="J149" s="69"/>
      <c r="K149" s="68"/>
      <c r="L149" s="68"/>
      <c r="M149" s="68"/>
      <c r="N149" s="68"/>
      <c r="O149" s="68"/>
      <c r="P149" s="68"/>
    </row>
    <row r="150" spans="3:16" x14ac:dyDescent="0.3">
      <c r="C150" s="63"/>
      <c r="D150" s="64"/>
      <c r="E150" s="65"/>
      <c r="F150" s="66"/>
      <c r="G150" s="67"/>
      <c r="H150" s="67"/>
      <c r="I150" s="68"/>
      <c r="J150" s="69"/>
      <c r="K150" s="68"/>
      <c r="L150" s="68"/>
      <c r="M150" s="68"/>
      <c r="N150" s="68"/>
      <c r="O150" s="68"/>
      <c r="P150" s="68"/>
    </row>
    <row r="151" spans="3:16" x14ac:dyDescent="0.3">
      <c r="C151" s="63"/>
      <c r="D151" s="64"/>
      <c r="E151" s="65"/>
      <c r="F151" s="66"/>
      <c r="G151" s="67"/>
      <c r="H151" s="67"/>
      <c r="I151" s="68"/>
      <c r="J151" s="69"/>
      <c r="K151" s="68"/>
      <c r="L151" s="68"/>
      <c r="M151" s="68"/>
      <c r="N151" s="68"/>
      <c r="O151" s="68"/>
      <c r="P151" s="68"/>
    </row>
    <row r="152" spans="3:16" x14ac:dyDescent="0.3">
      <c r="C152" s="63"/>
      <c r="D152" s="64"/>
      <c r="E152" s="65"/>
      <c r="F152" s="66"/>
      <c r="G152" s="67"/>
      <c r="H152" s="67"/>
      <c r="I152" s="68"/>
      <c r="J152" s="69"/>
      <c r="K152" s="68"/>
      <c r="L152" s="68"/>
      <c r="M152" s="68"/>
      <c r="N152" s="68"/>
      <c r="O152" s="68"/>
      <c r="P152" s="68"/>
    </row>
    <row r="153" spans="3:16" x14ac:dyDescent="0.3">
      <c r="C153" s="63"/>
      <c r="D153" s="64"/>
      <c r="E153" s="65"/>
      <c r="F153" s="66"/>
      <c r="G153" s="67"/>
      <c r="H153" s="67"/>
      <c r="I153" s="68"/>
      <c r="J153" s="69"/>
      <c r="K153" s="68"/>
      <c r="L153" s="68"/>
      <c r="M153" s="68"/>
      <c r="N153" s="68"/>
      <c r="O153" s="68"/>
      <c r="P153" s="68"/>
    </row>
    <row r="154" spans="3:16" x14ac:dyDescent="0.3">
      <c r="C154" s="63"/>
      <c r="D154" s="64"/>
      <c r="E154" s="65"/>
      <c r="F154" s="66"/>
      <c r="G154" s="67"/>
      <c r="H154" s="67"/>
      <c r="I154" s="68"/>
      <c r="J154" s="69"/>
      <c r="K154" s="68"/>
      <c r="L154" s="68"/>
      <c r="M154" s="68"/>
      <c r="N154" s="68"/>
      <c r="O154" s="68"/>
      <c r="P154" s="68"/>
    </row>
    <row r="155" spans="3:16" x14ac:dyDescent="0.3">
      <c r="C155" s="63"/>
      <c r="D155" s="64"/>
      <c r="E155" s="65"/>
      <c r="F155" s="66"/>
      <c r="G155" s="67"/>
      <c r="H155" s="67"/>
      <c r="I155" s="68"/>
      <c r="J155" s="69"/>
      <c r="K155" s="68"/>
      <c r="L155" s="68"/>
      <c r="M155" s="68"/>
      <c r="N155" s="68"/>
      <c r="O155" s="68"/>
      <c r="P155" s="68"/>
    </row>
    <row r="156" spans="3:16" x14ac:dyDescent="0.3">
      <c r="C156" s="63"/>
      <c r="D156" s="64"/>
      <c r="E156" s="65"/>
      <c r="F156" s="66"/>
      <c r="G156" s="67"/>
      <c r="H156" s="67"/>
      <c r="I156" s="68"/>
      <c r="J156" s="69"/>
      <c r="K156" s="68"/>
      <c r="L156" s="68"/>
      <c r="M156" s="68"/>
      <c r="N156" s="68"/>
      <c r="O156" s="68"/>
      <c r="P156" s="68"/>
    </row>
    <row r="157" spans="3:16" x14ac:dyDescent="0.3">
      <c r="C157" s="63"/>
      <c r="D157" s="64"/>
      <c r="E157" s="65"/>
      <c r="F157" s="66"/>
      <c r="G157" s="67"/>
      <c r="H157" s="67"/>
      <c r="I157" s="68"/>
      <c r="J157" s="69"/>
      <c r="K157" s="68"/>
      <c r="L157" s="68"/>
      <c r="M157" s="68"/>
      <c r="N157" s="68"/>
      <c r="O157" s="68"/>
      <c r="P157" s="68"/>
    </row>
    <row r="158" spans="3:16" x14ac:dyDescent="0.3">
      <c r="C158" s="63"/>
      <c r="D158" s="64"/>
      <c r="E158" s="65"/>
      <c r="F158" s="66"/>
      <c r="G158" s="67"/>
      <c r="H158" s="67"/>
      <c r="I158" s="68"/>
      <c r="J158" s="69"/>
      <c r="K158" s="68"/>
      <c r="L158" s="68"/>
      <c r="M158" s="68"/>
      <c r="N158" s="68"/>
      <c r="O158" s="68"/>
      <c r="P158" s="68"/>
    </row>
    <row r="159" spans="3:16" x14ac:dyDescent="0.3">
      <c r="C159" s="63"/>
      <c r="D159" s="64"/>
      <c r="E159" s="65"/>
      <c r="F159" s="66"/>
      <c r="G159" s="67"/>
      <c r="H159" s="67"/>
      <c r="I159" s="68"/>
      <c r="J159" s="69"/>
      <c r="K159" s="68"/>
      <c r="L159" s="68"/>
      <c r="M159" s="68"/>
      <c r="N159" s="68"/>
      <c r="O159" s="68"/>
      <c r="P159" s="68"/>
    </row>
    <row r="160" spans="3:16" x14ac:dyDescent="0.3">
      <c r="C160" s="63"/>
      <c r="D160" s="64"/>
      <c r="E160" s="65"/>
      <c r="F160" s="66"/>
      <c r="G160" s="67"/>
      <c r="H160" s="67"/>
      <c r="I160" s="68"/>
      <c r="J160" s="69"/>
      <c r="K160" s="68"/>
      <c r="L160" s="68"/>
      <c r="M160" s="68"/>
      <c r="N160" s="68"/>
      <c r="O160" s="68"/>
      <c r="P160" s="68"/>
    </row>
    <row r="161" spans="3:16" x14ac:dyDescent="0.3">
      <c r="C161" s="63"/>
      <c r="D161" s="64"/>
      <c r="E161" s="65"/>
      <c r="F161" s="66"/>
      <c r="G161" s="67"/>
      <c r="H161" s="67"/>
      <c r="I161" s="68"/>
      <c r="J161" s="69"/>
      <c r="K161" s="68"/>
      <c r="L161" s="68"/>
      <c r="M161" s="68"/>
      <c r="N161" s="68"/>
      <c r="O161" s="68"/>
      <c r="P161" s="68"/>
    </row>
    <row r="162" spans="3:16" x14ac:dyDescent="0.3">
      <c r="C162" s="63"/>
      <c r="D162" s="64"/>
      <c r="E162" s="65"/>
      <c r="F162" s="66"/>
      <c r="G162" s="67"/>
      <c r="H162" s="67"/>
      <c r="I162" s="68"/>
      <c r="J162" s="69"/>
      <c r="K162" s="68"/>
      <c r="L162" s="68"/>
      <c r="M162" s="68"/>
      <c r="N162" s="68"/>
      <c r="O162" s="68"/>
      <c r="P162" s="68"/>
    </row>
    <row r="163" spans="3:16" x14ac:dyDescent="0.3">
      <c r="C163" s="56"/>
      <c r="D163" s="57"/>
      <c r="E163" s="58"/>
      <c r="F163" s="59"/>
      <c r="G163" s="60"/>
      <c r="H163" s="60"/>
      <c r="I163" s="61"/>
      <c r="J163" s="62"/>
      <c r="K163" s="61"/>
      <c r="L163" s="61"/>
      <c r="M163" s="61"/>
      <c r="N163" s="61"/>
      <c r="O163" s="61"/>
      <c r="P163" s="61"/>
    </row>
    <row r="164" spans="3:16" x14ac:dyDescent="0.3">
      <c r="C164" s="63"/>
      <c r="D164" s="64"/>
      <c r="E164" s="65"/>
      <c r="F164" s="66"/>
      <c r="G164" s="67"/>
      <c r="H164" s="67"/>
      <c r="I164" s="68"/>
      <c r="J164" s="69"/>
      <c r="K164" s="68"/>
      <c r="L164" s="68"/>
      <c r="M164" s="68"/>
      <c r="N164" s="68"/>
      <c r="O164" s="68"/>
      <c r="P164" s="68"/>
    </row>
    <row r="165" spans="3:16" x14ac:dyDescent="0.3">
      <c r="C165" s="63"/>
      <c r="D165" s="64"/>
      <c r="E165" s="65"/>
      <c r="F165" s="66"/>
      <c r="G165" s="67"/>
      <c r="H165" s="67"/>
      <c r="I165" s="68"/>
      <c r="J165" s="69"/>
      <c r="K165" s="68"/>
      <c r="L165" s="68"/>
      <c r="M165" s="68"/>
      <c r="N165" s="68"/>
      <c r="O165" s="68"/>
      <c r="P165" s="68"/>
    </row>
    <row r="166" spans="3:16" x14ac:dyDescent="0.3">
      <c r="C166" s="63"/>
      <c r="D166" s="64"/>
      <c r="E166" s="65"/>
      <c r="F166" s="66"/>
      <c r="G166" s="67"/>
      <c r="H166" s="67"/>
      <c r="I166" s="68"/>
      <c r="J166" s="69"/>
      <c r="K166" s="68"/>
      <c r="L166" s="68"/>
      <c r="M166" s="68"/>
      <c r="N166" s="68"/>
      <c r="O166" s="68"/>
      <c r="P166" s="68"/>
    </row>
    <row r="167" spans="3:16" x14ac:dyDescent="0.3">
      <c r="C167" s="63"/>
      <c r="D167" s="64"/>
      <c r="E167" s="65"/>
      <c r="F167" s="66"/>
      <c r="G167" s="67"/>
      <c r="H167" s="67"/>
      <c r="I167" s="68"/>
      <c r="J167" s="69"/>
      <c r="K167" s="68"/>
      <c r="L167" s="68"/>
      <c r="M167" s="68"/>
      <c r="N167" s="68"/>
      <c r="O167" s="68"/>
      <c r="P167" s="68"/>
    </row>
    <row r="168" spans="3:16" x14ac:dyDescent="0.3">
      <c r="C168" s="63"/>
      <c r="D168" s="64"/>
      <c r="E168" s="65"/>
      <c r="F168" s="66"/>
      <c r="G168" s="67"/>
      <c r="H168" s="67"/>
      <c r="I168" s="68"/>
      <c r="J168" s="69"/>
      <c r="K168" s="68"/>
      <c r="L168" s="68"/>
      <c r="M168" s="68"/>
      <c r="N168" s="68"/>
      <c r="O168" s="68"/>
      <c r="P168" s="68"/>
    </row>
    <row r="169" spans="3:16" x14ac:dyDescent="0.3">
      <c r="C169" s="63"/>
      <c r="D169" s="64"/>
      <c r="E169" s="65"/>
      <c r="F169" s="66"/>
      <c r="G169" s="67"/>
      <c r="H169" s="67"/>
      <c r="I169" s="68"/>
      <c r="J169" s="69"/>
      <c r="K169" s="68"/>
      <c r="L169" s="68"/>
      <c r="M169" s="68"/>
      <c r="N169" s="68"/>
      <c r="O169" s="68"/>
      <c r="P169" s="68"/>
    </row>
    <row r="170" spans="3:16" x14ac:dyDescent="0.3">
      <c r="C170" s="63"/>
      <c r="D170" s="64"/>
      <c r="E170" s="65"/>
      <c r="F170" s="66"/>
      <c r="G170" s="67"/>
      <c r="H170" s="67"/>
      <c r="I170" s="68"/>
      <c r="J170" s="69"/>
      <c r="K170" s="68"/>
      <c r="L170" s="68"/>
      <c r="M170" s="68"/>
      <c r="N170" s="68"/>
      <c r="O170" s="68"/>
      <c r="P170" s="68"/>
    </row>
    <row r="171" spans="3:16" x14ac:dyDescent="0.3">
      <c r="C171" s="63"/>
      <c r="D171" s="64"/>
      <c r="E171" s="65"/>
      <c r="F171" s="66"/>
      <c r="G171" s="67"/>
      <c r="H171" s="67"/>
      <c r="I171" s="68"/>
      <c r="J171" s="69"/>
      <c r="K171" s="68"/>
      <c r="L171" s="68"/>
      <c r="M171" s="68"/>
      <c r="N171" s="68"/>
      <c r="O171" s="68"/>
      <c r="P171" s="68"/>
    </row>
    <row r="172" spans="3:16" x14ac:dyDescent="0.3">
      <c r="C172" s="63"/>
      <c r="D172" s="64"/>
      <c r="E172" s="65"/>
      <c r="F172" s="66"/>
      <c r="G172" s="67"/>
      <c r="H172" s="67"/>
      <c r="I172" s="68"/>
      <c r="J172" s="69"/>
      <c r="K172" s="68"/>
      <c r="L172" s="68"/>
      <c r="M172" s="68"/>
      <c r="N172" s="68"/>
      <c r="O172" s="68"/>
      <c r="P172" s="68"/>
    </row>
    <row r="173" spans="3:16" x14ac:dyDescent="0.3">
      <c r="C173" s="63"/>
      <c r="D173" s="64"/>
      <c r="E173" s="65"/>
      <c r="F173" s="66"/>
      <c r="G173" s="67"/>
      <c r="H173" s="67"/>
      <c r="I173" s="68"/>
      <c r="J173" s="69"/>
      <c r="K173" s="68"/>
      <c r="L173" s="68"/>
      <c r="M173" s="68"/>
      <c r="N173" s="68"/>
      <c r="O173" s="68"/>
      <c r="P173" s="68"/>
    </row>
    <row r="174" spans="3:16" x14ac:dyDescent="0.3">
      <c r="C174" s="63"/>
      <c r="D174" s="64"/>
      <c r="E174" s="65"/>
      <c r="F174" s="66"/>
      <c r="G174" s="67"/>
      <c r="H174" s="67"/>
      <c r="I174" s="68"/>
      <c r="J174" s="69"/>
      <c r="K174" s="68"/>
      <c r="L174" s="68"/>
      <c r="M174" s="68"/>
      <c r="N174" s="68"/>
      <c r="O174" s="68"/>
      <c r="P174" s="68"/>
    </row>
    <row r="175" spans="3:16" x14ac:dyDescent="0.3">
      <c r="C175" s="63"/>
      <c r="D175" s="64"/>
      <c r="E175" s="65"/>
      <c r="F175" s="66"/>
      <c r="G175" s="67"/>
      <c r="H175" s="67"/>
      <c r="I175" s="68"/>
      <c r="J175" s="69"/>
      <c r="K175" s="68"/>
      <c r="L175" s="68"/>
      <c r="M175" s="68"/>
      <c r="N175" s="68"/>
      <c r="O175" s="68"/>
      <c r="P175" s="68"/>
    </row>
    <row r="176" spans="3:16" x14ac:dyDescent="0.3">
      <c r="C176" s="63"/>
      <c r="D176" s="64"/>
      <c r="E176" s="65"/>
      <c r="F176" s="66"/>
      <c r="G176" s="67"/>
      <c r="H176" s="67"/>
      <c r="I176" s="68"/>
      <c r="J176" s="69"/>
      <c r="K176" s="68"/>
      <c r="L176" s="68"/>
      <c r="M176" s="68"/>
      <c r="N176" s="68"/>
      <c r="O176" s="68"/>
      <c r="P176" s="68"/>
    </row>
    <row r="177" spans="3:16" x14ac:dyDescent="0.3">
      <c r="C177" s="56"/>
      <c r="D177" s="57"/>
      <c r="E177" s="58"/>
      <c r="F177" s="59"/>
      <c r="G177" s="60"/>
      <c r="H177" s="60"/>
      <c r="I177" s="61"/>
      <c r="J177" s="62"/>
      <c r="K177" s="61"/>
      <c r="L177" s="61"/>
      <c r="M177" s="61"/>
      <c r="N177" s="61"/>
      <c r="O177" s="61"/>
      <c r="P177" s="61"/>
    </row>
    <row r="178" spans="3:16" x14ac:dyDescent="0.3">
      <c r="C178" s="63"/>
      <c r="D178" s="64"/>
      <c r="E178" s="65"/>
      <c r="F178" s="66"/>
      <c r="G178" s="67"/>
      <c r="H178" s="67"/>
      <c r="I178" s="68"/>
      <c r="J178" s="69"/>
      <c r="K178" s="68"/>
      <c r="L178" s="68"/>
      <c r="M178" s="68"/>
      <c r="N178" s="68"/>
      <c r="O178" s="68"/>
      <c r="P178" s="68"/>
    </row>
    <row r="179" spans="3:16" x14ac:dyDescent="0.3">
      <c r="C179" s="63"/>
      <c r="D179" s="64"/>
      <c r="E179" s="65"/>
      <c r="F179" s="66"/>
      <c r="G179" s="67"/>
      <c r="H179" s="67"/>
      <c r="I179" s="68"/>
      <c r="J179" s="69"/>
      <c r="K179" s="68"/>
      <c r="L179" s="68"/>
      <c r="M179" s="68"/>
      <c r="N179" s="68"/>
      <c r="O179" s="68"/>
      <c r="P179" s="68"/>
    </row>
    <row r="180" spans="3:16" x14ac:dyDescent="0.3">
      <c r="C180" s="63"/>
      <c r="D180" s="64"/>
      <c r="E180" s="65"/>
      <c r="F180" s="66"/>
      <c r="G180" s="67"/>
      <c r="H180" s="67"/>
      <c r="I180" s="68"/>
      <c r="J180" s="69"/>
      <c r="K180" s="68"/>
      <c r="L180" s="68"/>
      <c r="M180" s="68"/>
      <c r="N180" s="68"/>
      <c r="O180" s="68"/>
      <c r="P180" s="68"/>
    </row>
    <row r="181" spans="3:16" x14ac:dyDescent="0.3">
      <c r="C181" s="63"/>
      <c r="D181" s="64"/>
      <c r="E181" s="65"/>
      <c r="F181" s="66"/>
      <c r="G181" s="67"/>
      <c r="H181" s="67"/>
      <c r="I181" s="68"/>
      <c r="J181" s="69"/>
      <c r="K181" s="68"/>
      <c r="L181" s="68"/>
      <c r="M181" s="68"/>
      <c r="N181" s="68"/>
      <c r="O181" s="68"/>
      <c r="P181" s="68"/>
    </row>
    <row r="182" spans="3:16" x14ac:dyDescent="0.3">
      <c r="C182" s="63"/>
      <c r="D182" s="64"/>
      <c r="E182" s="65"/>
      <c r="F182" s="66"/>
      <c r="G182" s="67"/>
      <c r="H182" s="67"/>
      <c r="I182" s="68"/>
      <c r="J182" s="69"/>
      <c r="K182" s="68"/>
      <c r="L182" s="68"/>
      <c r="M182" s="68"/>
      <c r="N182" s="68"/>
      <c r="O182" s="68"/>
      <c r="P182" s="68"/>
    </row>
    <row r="183" spans="3:16" x14ac:dyDescent="0.3">
      <c r="C183" s="63"/>
      <c r="D183" s="64"/>
      <c r="E183" s="65"/>
      <c r="F183" s="66"/>
      <c r="G183" s="67"/>
      <c r="H183" s="67"/>
      <c r="I183" s="68"/>
      <c r="J183" s="69"/>
      <c r="K183" s="68"/>
      <c r="L183" s="68"/>
      <c r="M183" s="68"/>
      <c r="N183" s="68"/>
      <c r="O183" s="68"/>
      <c r="P183" s="68"/>
    </row>
    <row r="184" spans="3:16" x14ac:dyDescent="0.3">
      <c r="C184" s="63"/>
      <c r="D184" s="64"/>
      <c r="E184" s="65"/>
      <c r="F184" s="66"/>
      <c r="G184" s="67"/>
      <c r="H184" s="67"/>
      <c r="I184" s="68"/>
      <c r="J184" s="69"/>
      <c r="K184" s="68"/>
      <c r="L184" s="68"/>
      <c r="M184" s="68"/>
      <c r="N184" s="68"/>
      <c r="O184" s="68"/>
      <c r="P184" s="68"/>
    </row>
    <row r="185" spans="3:16" x14ac:dyDescent="0.3">
      <c r="C185" s="63"/>
      <c r="D185" s="64"/>
      <c r="E185" s="65"/>
      <c r="F185" s="66"/>
      <c r="G185" s="67"/>
      <c r="H185" s="67"/>
      <c r="I185" s="68"/>
      <c r="J185" s="69"/>
      <c r="K185" s="68"/>
      <c r="L185" s="68"/>
      <c r="M185" s="68"/>
      <c r="N185" s="68"/>
      <c r="O185" s="68"/>
      <c r="P185" s="68"/>
    </row>
    <row r="186" spans="3:16" x14ac:dyDescent="0.3">
      <c r="C186" s="63"/>
      <c r="D186" s="64"/>
      <c r="E186" s="65"/>
      <c r="F186" s="66"/>
      <c r="G186" s="67"/>
      <c r="H186" s="67"/>
      <c r="I186" s="68"/>
      <c r="J186" s="69"/>
      <c r="K186" s="68"/>
      <c r="L186" s="68"/>
      <c r="M186" s="68"/>
      <c r="N186" s="68"/>
      <c r="O186" s="68"/>
      <c r="P186" s="68"/>
    </row>
    <row r="187" spans="3:16" x14ac:dyDescent="0.3">
      <c r="C187" s="63"/>
      <c r="D187" s="64"/>
      <c r="E187" s="65"/>
      <c r="F187" s="66"/>
      <c r="G187" s="67"/>
      <c r="H187" s="67"/>
      <c r="I187" s="68"/>
      <c r="J187" s="69"/>
      <c r="K187" s="68"/>
      <c r="L187" s="68"/>
      <c r="M187" s="68"/>
      <c r="N187" s="68"/>
      <c r="O187" s="68"/>
      <c r="P187" s="68"/>
    </row>
    <row r="188" spans="3:16" x14ac:dyDescent="0.3">
      <c r="C188" s="63"/>
      <c r="D188" s="64"/>
      <c r="E188" s="65"/>
      <c r="F188" s="66"/>
      <c r="G188" s="67"/>
      <c r="H188" s="67"/>
      <c r="I188" s="68"/>
      <c r="J188" s="69"/>
      <c r="K188" s="68"/>
      <c r="L188" s="68"/>
      <c r="M188" s="68"/>
      <c r="N188" s="68"/>
      <c r="O188" s="68"/>
      <c r="P188" s="68"/>
    </row>
    <row r="189" spans="3:16" x14ac:dyDescent="0.3">
      <c r="C189" s="63"/>
      <c r="D189" s="64"/>
      <c r="E189" s="65"/>
      <c r="F189" s="66"/>
      <c r="G189" s="67"/>
      <c r="H189" s="67"/>
      <c r="I189" s="68"/>
      <c r="J189" s="69"/>
      <c r="K189" s="68"/>
      <c r="L189" s="68"/>
      <c r="M189" s="68"/>
      <c r="N189" s="68"/>
      <c r="O189" s="68"/>
      <c r="P189" s="68"/>
    </row>
    <row r="190" spans="3:16" x14ac:dyDescent="0.3">
      <c r="C190" s="63"/>
      <c r="D190" s="64"/>
      <c r="E190" s="65"/>
      <c r="F190" s="66"/>
      <c r="G190" s="67"/>
      <c r="H190" s="67"/>
      <c r="I190" s="68"/>
      <c r="J190" s="69"/>
      <c r="K190" s="68"/>
      <c r="L190" s="68"/>
      <c r="M190" s="68"/>
      <c r="N190" s="68"/>
      <c r="O190" s="68"/>
      <c r="P190" s="68"/>
    </row>
    <row r="191" spans="3:16" x14ac:dyDescent="0.3">
      <c r="C191" s="63"/>
      <c r="D191" s="64"/>
      <c r="E191" s="65"/>
      <c r="F191" s="66"/>
      <c r="G191" s="67"/>
      <c r="H191" s="67"/>
      <c r="I191" s="68"/>
      <c r="J191" s="69"/>
      <c r="K191" s="68"/>
      <c r="L191" s="68"/>
      <c r="M191" s="68"/>
      <c r="N191" s="68"/>
      <c r="O191" s="68"/>
      <c r="P191" s="68"/>
    </row>
    <row r="192" spans="3:16" x14ac:dyDescent="0.3">
      <c r="C192" s="63"/>
      <c r="D192" s="64"/>
      <c r="E192" s="65"/>
      <c r="F192" s="66"/>
      <c r="G192" s="67"/>
      <c r="H192" s="67"/>
      <c r="I192" s="68"/>
      <c r="J192" s="69"/>
      <c r="K192" s="68"/>
      <c r="L192" s="68"/>
      <c r="M192" s="68"/>
      <c r="N192" s="68"/>
      <c r="O192" s="68"/>
      <c r="P192" s="68"/>
    </row>
    <row r="193" spans="3:16" x14ac:dyDescent="0.3">
      <c r="C193" s="63"/>
      <c r="D193" s="64"/>
      <c r="E193" s="65"/>
      <c r="F193" s="66"/>
      <c r="G193" s="67"/>
      <c r="H193" s="67"/>
      <c r="I193" s="68"/>
      <c r="J193" s="69"/>
      <c r="K193" s="68"/>
      <c r="L193" s="68"/>
      <c r="M193" s="68"/>
      <c r="N193" s="68"/>
      <c r="O193" s="68"/>
      <c r="P193" s="68"/>
    </row>
    <row r="194" spans="3:16" x14ac:dyDescent="0.3">
      <c r="C194" s="63"/>
      <c r="D194" s="64"/>
      <c r="E194" s="65"/>
      <c r="F194" s="66"/>
      <c r="G194" s="67"/>
      <c r="H194" s="67"/>
      <c r="I194" s="68"/>
      <c r="J194" s="69"/>
      <c r="K194" s="68"/>
      <c r="L194" s="68"/>
      <c r="M194" s="68"/>
      <c r="N194" s="68"/>
      <c r="O194" s="68"/>
      <c r="P194" s="68"/>
    </row>
    <row r="195" spans="3:16" x14ac:dyDescent="0.3">
      <c r="C195" s="63"/>
      <c r="D195" s="64"/>
      <c r="E195" s="65"/>
      <c r="F195" s="66"/>
      <c r="G195" s="67"/>
      <c r="H195" s="67"/>
      <c r="I195" s="68"/>
      <c r="J195" s="69"/>
      <c r="K195" s="68"/>
      <c r="L195" s="68"/>
      <c r="M195" s="68"/>
      <c r="N195" s="68"/>
      <c r="O195" s="68"/>
      <c r="P195" s="68"/>
    </row>
    <row r="196" spans="3:16" x14ac:dyDescent="0.3">
      <c r="C196" s="63"/>
      <c r="D196" s="64"/>
      <c r="E196" s="65"/>
      <c r="F196" s="66"/>
      <c r="G196" s="67"/>
      <c r="H196" s="67"/>
      <c r="I196" s="68"/>
      <c r="J196" s="69"/>
      <c r="K196" s="68"/>
      <c r="L196" s="68"/>
      <c r="M196" s="68"/>
      <c r="N196" s="68"/>
      <c r="O196" s="68"/>
      <c r="P196" s="68"/>
    </row>
    <row r="197" spans="3:16" x14ac:dyDescent="0.3">
      <c r="C197" s="63"/>
      <c r="D197" s="64"/>
      <c r="E197" s="65"/>
      <c r="F197" s="66"/>
      <c r="G197" s="67"/>
      <c r="H197" s="67"/>
      <c r="I197" s="68"/>
      <c r="J197" s="69"/>
      <c r="K197" s="68"/>
      <c r="L197" s="68"/>
      <c r="M197" s="68"/>
      <c r="N197" s="68"/>
      <c r="O197" s="68"/>
      <c r="P197" s="68"/>
    </row>
    <row r="198" spans="3:16" x14ac:dyDescent="0.3">
      <c r="C198" s="63"/>
      <c r="D198" s="64"/>
      <c r="E198" s="65"/>
      <c r="F198" s="66"/>
      <c r="G198" s="67"/>
      <c r="H198" s="67"/>
      <c r="I198" s="68"/>
      <c r="J198" s="69"/>
      <c r="K198" s="68"/>
      <c r="L198" s="68"/>
      <c r="M198" s="68"/>
      <c r="N198" s="68"/>
      <c r="O198" s="68"/>
      <c r="P198" s="68"/>
    </row>
    <row r="199" spans="3:16" x14ac:dyDescent="0.3">
      <c r="C199" s="63"/>
      <c r="D199" s="64"/>
      <c r="E199" s="65"/>
      <c r="F199" s="66"/>
      <c r="G199" s="67"/>
      <c r="H199" s="67"/>
      <c r="I199" s="68"/>
      <c r="J199" s="69"/>
      <c r="K199" s="68"/>
      <c r="L199" s="68"/>
      <c r="M199" s="68"/>
      <c r="N199" s="68"/>
      <c r="O199" s="68"/>
      <c r="P199" s="68"/>
    </row>
    <row r="200" spans="3:16" x14ac:dyDescent="0.3">
      <c r="C200" s="63"/>
      <c r="D200" s="64"/>
      <c r="E200" s="65"/>
      <c r="F200" s="66"/>
      <c r="G200" s="67"/>
      <c r="H200" s="67"/>
      <c r="I200" s="68"/>
      <c r="J200" s="69"/>
      <c r="K200" s="68"/>
      <c r="L200" s="68"/>
      <c r="M200" s="68"/>
      <c r="N200" s="68"/>
      <c r="O200" s="68"/>
      <c r="P200" s="68"/>
    </row>
    <row r="201" spans="3:16" x14ac:dyDescent="0.3">
      <c r="C201" s="63"/>
      <c r="D201" s="64"/>
      <c r="E201" s="65"/>
      <c r="F201" s="66"/>
      <c r="G201" s="67"/>
      <c r="H201" s="67"/>
      <c r="I201" s="68"/>
      <c r="J201" s="69"/>
      <c r="K201" s="68"/>
      <c r="L201" s="68"/>
      <c r="M201" s="68"/>
      <c r="N201" s="68"/>
      <c r="O201" s="68"/>
      <c r="P201" s="68"/>
    </row>
    <row r="202" spans="3:16" x14ac:dyDescent="0.3">
      <c r="C202" s="63"/>
      <c r="D202" s="64"/>
      <c r="E202" s="65"/>
      <c r="F202" s="66"/>
      <c r="G202" s="67"/>
      <c r="H202" s="67"/>
      <c r="I202" s="68"/>
      <c r="J202" s="69"/>
      <c r="K202" s="68"/>
      <c r="L202" s="68"/>
      <c r="M202" s="68"/>
      <c r="N202" s="68"/>
      <c r="O202" s="68"/>
      <c r="P202" s="68"/>
    </row>
    <row r="203" spans="3:16" x14ac:dyDescent="0.3">
      <c r="C203" s="63"/>
      <c r="D203" s="64"/>
      <c r="E203" s="65"/>
      <c r="F203" s="66"/>
      <c r="G203" s="67"/>
      <c r="H203" s="67"/>
      <c r="I203" s="68"/>
      <c r="J203" s="69"/>
      <c r="K203" s="68"/>
      <c r="L203" s="68"/>
      <c r="M203" s="68"/>
      <c r="N203" s="68"/>
      <c r="O203" s="68"/>
      <c r="P203" s="68"/>
    </row>
    <row r="204" spans="3:16" x14ac:dyDescent="0.3">
      <c r="C204" s="63"/>
      <c r="D204" s="64"/>
      <c r="E204" s="65"/>
      <c r="F204" s="66"/>
      <c r="G204" s="67"/>
      <c r="H204" s="67"/>
      <c r="I204" s="68"/>
      <c r="J204" s="69"/>
      <c r="K204" s="68"/>
      <c r="L204" s="68"/>
      <c r="M204" s="68"/>
      <c r="N204" s="68"/>
      <c r="O204" s="68"/>
      <c r="P204" s="68"/>
    </row>
    <row r="205" spans="3:16" x14ac:dyDescent="0.3">
      <c r="C205" s="63"/>
      <c r="D205" s="64"/>
      <c r="E205" s="65"/>
      <c r="F205" s="66"/>
      <c r="G205" s="67"/>
      <c r="H205" s="67"/>
      <c r="I205" s="68"/>
      <c r="J205" s="69"/>
      <c r="K205" s="68"/>
      <c r="L205" s="68"/>
      <c r="M205" s="68"/>
      <c r="N205" s="68"/>
      <c r="O205" s="68"/>
      <c r="P205" s="68"/>
    </row>
    <row r="206" spans="3:16" x14ac:dyDescent="0.3">
      <c r="C206" s="63"/>
      <c r="D206" s="64"/>
      <c r="E206" s="65"/>
      <c r="F206" s="66"/>
      <c r="G206" s="67"/>
      <c r="H206" s="67"/>
      <c r="I206" s="68"/>
      <c r="J206" s="69"/>
      <c r="K206" s="68"/>
      <c r="L206" s="68"/>
      <c r="M206" s="68"/>
      <c r="N206" s="68"/>
      <c r="O206" s="68"/>
      <c r="P206" s="68"/>
    </row>
    <row r="207" spans="3:16" x14ac:dyDescent="0.3">
      <c r="C207" s="63"/>
      <c r="D207" s="64"/>
      <c r="E207" s="65"/>
      <c r="F207" s="66"/>
      <c r="G207" s="67"/>
      <c r="H207" s="67"/>
      <c r="I207" s="68"/>
      <c r="J207" s="69"/>
      <c r="K207" s="68"/>
      <c r="L207" s="68"/>
      <c r="M207" s="68"/>
      <c r="N207" s="68"/>
      <c r="O207" s="68"/>
      <c r="P207" s="68"/>
    </row>
    <row r="208" spans="3:16" x14ac:dyDescent="0.3">
      <c r="C208" s="63"/>
      <c r="D208" s="64"/>
      <c r="E208" s="65"/>
      <c r="F208" s="66"/>
      <c r="G208" s="67"/>
      <c r="H208" s="67"/>
      <c r="I208" s="68"/>
      <c r="J208" s="69"/>
      <c r="K208" s="68"/>
      <c r="L208" s="68"/>
      <c r="M208" s="68"/>
      <c r="N208" s="68"/>
      <c r="O208" s="68"/>
      <c r="P208" s="68"/>
    </row>
    <row r="209" spans="3:16" x14ac:dyDescent="0.3">
      <c r="C209" s="63"/>
      <c r="D209" s="64"/>
      <c r="E209" s="65"/>
      <c r="F209" s="66"/>
      <c r="G209" s="67"/>
      <c r="H209" s="67"/>
      <c r="I209" s="68"/>
      <c r="J209" s="69"/>
      <c r="K209" s="68"/>
      <c r="L209" s="68"/>
      <c r="M209" s="68"/>
      <c r="N209" s="68"/>
      <c r="O209" s="68"/>
      <c r="P209" s="68"/>
    </row>
    <row r="210" spans="3:16" x14ac:dyDescent="0.3">
      <c r="C210" s="63"/>
      <c r="D210" s="64"/>
      <c r="E210" s="65"/>
      <c r="F210" s="66"/>
      <c r="G210" s="67"/>
      <c r="H210" s="67"/>
      <c r="I210" s="68"/>
      <c r="J210" s="69"/>
      <c r="K210" s="68"/>
      <c r="L210" s="68"/>
      <c r="M210" s="68"/>
      <c r="N210" s="68"/>
      <c r="O210" s="68"/>
      <c r="P210" s="68"/>
    </row>
    <row r="211" spans="3:16" x14ac:dyDescent="0.3">
      <c r="C211" s="63"/>
      <c r="D211" s="64"/>
      <c r="E211" s="65"/>
      <c r="F211" s="66"/>
      <c r="G211" s="67"/>
      <c r="H211" s="67"/>
      <c r="I211" s="68"/>
      <c r="J211" s="69"/>
      <c r="K211" s="68"/>
      <c r="L211" s="68"/>
      <c r="M211" s="68"/>
      <c r="N211" s="68"/>
      <c r="O211" s="68"/>
      <c r="P211" s="68"/>
    </row>
    <row r="212" spans="3:16" x14ac:dyDescent="0.3">
      <c r="C212" s="63"/>
      <c r="D212" s="64"/>
      <c r="E212" s="65"/>
      <c r="F212" s="66"/>
      <c r="G212" s="67"/>
      <c r="H212" s="67"/>
      <c r="I212" s="68"/>
      <c r="J212" s="69"/>
      <c r="K212" s="68"/>
      <c r="L212" s="68"/>
      <c r="M212" s="68"/>
      <c r="N212" s="68"/>
      <c r="O212" s="68"/>
      <c r="P212" s="68"/>
    </row>
    <row r="213" spans="3:16" x14ac:dyDescent="0.3">
      <c r="C213" s="63"/>
      <c r="D213" s="64"/>
      <c r="E213" s="65"/>
      <c r="F213" s="66"/>
      <c r="G213" s="67"/>
      <c r="H213" s="67"/>
      <c r="I213" s="68"/>
      <c r="J213" s="69"/>
      <c r="K213" s="68"/>
      <c r="L213" s="68"/>
      <c r="M213" s="68"/>
      <c r="N213" s="68"/>
      <c r="O213" s="68"/>
      <c r="P213" s="68"/>
    </row>
    <row r="214" spans="3:16" x14ac:dyDescent="0.3">
      <c r="C214" s="63"/>
      <c r="D214" s="64"/>
      <c r="E214" s="65"/>
      <c r="F214" s="66"/>
      <c r="G214" s="67"/>
      <c r="H214" s="67"/>
      <c r="I214" s="68"/>
      <c r="J214" s="69"/>
      <c r="K214" s="68"/>
      <c r="L214" s="68"/>
      <c r="M214" s="68"/>
      <c r="N214" s="68"/>
      <c r="O214" s="68"/>
      <c r="P214" s="68"/>
    </row>
    <row r="215" spans="3:16" x14ac:dyDescent="0.3">
      <c r="C215" s="56"/>
      <c r="D215" s="57"/>
      <c r="E215" s="58"/>
      <c r="F215" s="59"/>
      <c r="G215" s="60"/>
      <c r="H215" s="60"/>
      <c r="I215" s="61"/>
      <c r="J215" s="62"/>
      <c r="K215" s="61"/>
      <c r="L215" s="61"/>
      <c r="M215" s="61"/>
      <c r="N215" s="61"/>
      <c r="O215" s="61"/>
      <c r="P215" s="61"/>
    </row>
    <row r="216" spans="3:16" x14ac:dyDescent="0.3">
      <c r="C216" s="63"/>
      <c r="D216" s="64"/>
      <c r="E216" s="65"/>
      <c r="F216" s="66"/>
      <c r="G216" s="67"/>
      <c r="H216" s="67"/>
      <c r="I216" s="68"/>
      <c r="J216" s="69"/>
      <c r="K216" s="68"/>
      <c r="L216" s="68"/>
      <c r="M216" s="68"/>
      <c r="N216" s="68"/>
      <c r="O216" s="68"/>
      <c r="P216" s="68"/>
    </row>
    <row r="217" spans="3:16" x14ac:dyDescent="0.3">
      <c r="C217" s="63"/>
      <c r="D217" s="64"/>
      <c r="E217" s="65"/>
      <c r="F217" s="66"/>
      <c r="G217" s="67"/>
      <c r="H217" s="67"/>
      <c r="I217" s="68"/>
      <c r="J217" s="69"/>
      <c r="K217" s="68"/>
      <c r="L217" s="68"/>
      <c r="M217" s="68"/>
      <c r="N217" s="68"/>
      <c r="O217" s="68"/>
      <c r="P217" s="68"/>
    </row>
    <row r="218" spans="3:16" x14ac:dyDescent="0.3">
      <c r="C218" s="63"/>
      <c r="D218" s="64"/>
      <c r="E218" s="65"/>
      <c r="F218" s="66"/>
      <c r="G218" s="67"/>
      <c r="H218" s="67"/>
      <c r="I218" s="68"/>
      <c r="J218" s="69"/>
      <c r="K218" s="68"/>
      <c r="L218" s="68"/>
      <c r="M218" s="68"/>
      <c r="N218" s="68"/>
      <c r="O218" s="68"/>
      <c r="P218" s="68"/>
    </row>
    <row r="219" spans="3:16" x14ac:dyDescent="0.3">
      <c r="C219" s="63"/>
      <c r="D219" s="64"/>
      <c r="E219" s="65"/>
      <c r="F219" s="66"/>
      <c r="G219" s="67"/>
      <c r="H219" s="67"/>
      <c r="I219" s="68"/>
      <c r="J219" s="69"/>
      <c r="K219" s="68"/>
      <c r="L219" s="68"/>
      <c r="M219" s="68"/>
      <c r="N219" s="68"/>
      <c r="O219" s="68"/>
      <c r="P219" s="68"/>
    </row>
    <row r="220" spans="3:16" x14ac:dyDescent="0.3">
      <c r="C220" s="63"/>
      <c r="D220" s="64"/>
      <c r="E220" s="65"/>
      <c r="F220" s="66"/>
      <c r="G220" s="67"/>
      <c r="H220" s="67"/>
      <c r="I220" s="68"/>
      <c r="J220" s="69"/>
      <c r="K220" s="68"/>
      <c r="L220" s="68"/>
      <c r="M220" s="68"/>
      <c r="N220" s="68"/>
      <c r="O220" s="68"/>
      <c r="P220" s="68"/>
    </row>
    <row r="221" spans="3:16" x14ac:dyDescent="0.3">
      <c r="C221" s="63"/>
      <c r="D221" s="64"/>
      <c r="E221" s="65"/>
      <c r="F221" s="66"/>
      <c r="G221" s="67"/>
      <c r="H221" s="67"/>
      <c r="I221" s="68"/>
      <c r="J221" s="69"/>
      <c r="K221" s="68"/>
      <c r="L221" s="68"/>
      <c r="M221" s="68"/>
      <c r="N221" s="68"/>
      <c r="O221" s="68"/>
      <c r="P221" s="68"/>
    </row>
    <row r="222" spans="3:16" x14ac:dyDescent="0.3">
      <c r="C222" s="63"/>
      <c r="D222" s="64"/>
      <c r="E222" s="65"/>
      <c r="F222" s="66"/>
      <c r="G222" s="67"/>
      <c r="H222" s="67"/>
      <c r="I222" s="68"/>
      <c r="J222" s="69"/>
      <c r="K222" s="68"/>
      <c r="L222" s="68"/>
      <c r="M222" s="68"/>
      <c r="N222" s="68"/>
      <c r="O222" s="68"/>
      <c r="P222" s="68"/>
    </row>
    <row r="223" spans="3:16" x14ac:dyDescent="0.3">
      <c r="C223" s="63"/>
      <c r="D223" s="64"/>
      <c r="E223" s="65"/>
      <c r="F223" s="66"/>
      <c r="G223" s="67"/>
      <c r="H223" s="67"/>
      <c r="I223" s="68"/>
      <c r="J223" s="69"/>
      <c r="K223" s="68"/>
      <c r="L223" s="68"/>
      <c r="M223" s="68"/>
      <c r="N223" s="68"/>
      <c r="O223" s="68"/>
      <c r="P223" s="68"/>
    </row>
    <row r="224" spans="3:16" x14ac:dyDescent="0.3">
      <c r="C224" s="63"/>
      <c r="D224" s="64"/>
      <c r="E224" s="65"/>
      <c r="F224" s="66"/>
      <c r="G224" s="67"/>
      <c r="H224" s="67"/>
      <c r="I224" s="68"/>
      <c r="J224" s="69"/>
      <c r="K224" s="68"/>
      <c r="L224" s="68"/>
      <c r="M224" s="68"/>
      <c r="N224" s="68"/>
      <c r="O224" s="68"/>
      <c r="P224" s="68"/>
    </row>
    <row r="225" spans="3:16" x14ac:dyDescent="0.3">
      <c r="C225" s="63"/>
      <c r="D225" s="64"/>
      <c r="E225" s="65"/>
      <c r="F225" s="66"/>
      <c r="G225" s="67"/>
      <c r="H225" s="67"/>
      <c r="I225" s="68"/>
      <c r="J225" s="69"/>
      <c r="K225" s="68"/>
      <c r="L225" s="68"/>
      <c r="M225" s="68"/>
      <c r="N225" s="68"/>
      <c r="O225" s="68"/>
      <c r="P225" s="68"/>
    </row>
    <row r="226" spans="3:16" x14ac:dyDescent="0.3">
      <c r="C226" s="63"/>
      <c r="D226" s="64"/>
      <c r="E226" s="65"/>
      <c r="F226" s="66"/>
      <c r="G226" s="67"/>
      <c r="H226" s="67"/>
      <c r="I226" s="68"/>
      <c r="J226" s="69"/>
      <c r="K226" s="68"/>
      <c r="L226" s="68"/>
      <c r="M226" s="68"/>
      <c r="N226" s="68"/>
      <c r="O226" s="68"/>
      <c r="P226" s="68"/>
    </row>
    <row r="227" spans="3:16" x14ac:dyDescent="0.3">
      <c r="C227" s="63"/>
      <c r="D227" s="64"/>
      <c r="E227" s="65"/>
      <c r="F227" s="66"/>
      <c r="G227" s="67"/>
      <c r="H227" s="67"/>
      <c r="I227" s="68"/>
      <c r="J227" s="69"/>
      <c r="K227" s="68"/>
      <c r="L227" s="68"/>
      <c r="M227" s="68"/>
      <c r="N227" s="68"/>
      <c r="O227" s="68"/>
      <c r="P227" s="68"/>
    </row>
    <row r="228" spans="3:16" x14ac:dyDescent="0.3">
      <c r="C228" s="63"/>
      <c r="D228" s="64"/>
      <c r="E228" s="65"/>
      <c r="F228" s="66"/>
      <c r="G228" s="67"/>
      <c r="H228" s="67"/>
      <c r="I228" s="68"/>
      <c r="J228" s="69"/>
      <c r="K228" s="68"/>
      <c r="L228" s="68"/>
      <c r="M228" s="68"/>
      <c r="N228" s="68"/>
      <c r="O228" s="68"/>
      <c r="P228" s="68"/>
    </row>
    <row r="229" spans="3:16" x14ac:dyDescent="0.3">
      <c r="C229" s="56"/>
      <c r="D229" s="57"/>
      <c r="E229" s="58"/>
      <c r="F229" s="59"/>
      <c r="G229" s="60"/>
      <c r="H229" s="60"/>
      <c r="I229" s="61"/>
      <c r="J229" s="62"/>
      <c r="K229" s="61"/>
      <c r="L229" s="61"/>
      <c r="M229" s="61"/>
      <c r="N229" s="61"/>
      <c r="O229" s="61"/>
      <c r="P229" s="61"/>
    </row>
    <row r="230" spans="3:16" x14ac:dyDescent="0.3">
      <c r="C230" s="63"/>
      <c r="D230" s="64"/>
      <c r="E230" s="65"/>
      <c r="F230" s="66"/>
      <c r="G230" s="67"/>
      <c r="H230" s="67"/>
      <c r="I230" s="68"/>
      <c r="J230" s="69"/>
      <c r="K230" s="68"/>
      <c r="L230" s="68"/>
      <c r="M230" s="68"/>
      <c r="N230" s="68"/>
      <c r="O230" s="68"/>
      <c r="P230" s="68"/>
    </row>
    <row r="231" spans="3:16" x14ac:dyDescent="0.3">
      <c r="C231" s="63"/>
      <c r="D231" s="64"/>
      <c r="E231" s="65"/>
      <c r="F231" s="66"/>
      <c r="G231" s="67"/>
      <c r="H231" s="67"/>
      <c r="I231" s="68"/>
      <c r="J231" s="69"/>
      <c r="K231" s="68"/>
      <c r="L231" s="68"/>
      <c r="M231" s="68"/>
      <c r="N231" s="68"/>
      <c r="O231" s="68"/>
      <c r="P231" s="68"/>
    </row>
  </sheetData>
  <autoFilter ref="C16:P21" xr:uid="{00000000-0009-0000-0000-00000D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24577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24577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etrado14" filterMode="1"/>
  <dimension ref="A1:W201"/>
  <sheetViews>
    <sheetView view="pageBreakPreview" topLeftCell="A13" zoomScaleNormal="85" zoomScaleSheetLayoutView="100" workbookViewId="0">
      <selection activeCell="C42" sqref="C42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9.88671875" style="104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117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0.95" customHeight="1" x14ac:dyDescent="0.3">
      <c r="C16" s="300"/>
      <c r="D16" s="436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185">
        <v>1</v>
      </c>
      <c r="D18" s="366" t="s">
        <v>351</v>
      </c>
      <c r="E18" s="367"/>
      <c r="F18" s="280"/>
      <c r="G18" s="281"/>
      <c r="H18" s="281"/>
      <c r="I18" s="281"/>
      <c r="J18" s="282"/>
      <c r="K18" s="186"/>
      <c r="L18" s="186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128"/>
      <c r="K19" s="129"/>
      <c r="L19" s="129"/>
      <c r="M19" s="129"/>
      <c r="N19" s="129"/>
      <c r="O19" s="129"/>
      <c r="P19" s="129"/>
    </row>
    <row r="20" spans="1:16" s="130" customFormat="1" x14ac:dyDescent="0.2">
      <c r="A20" s="123"/>
      <c r="B20" s="124"/>
      <c r="C20" s="147" t="s">
        <v>396</v>
      </c>
      <c r="D20" s="135" t="s">
        <v>18</v>
      </c>
      <c r="E20" s="88"/>
      <c r="F20" s="51"/>
      <c r="G20" s="52"/>
      <c r="H20" s="52"/>
      <c r="I20" s="52"/>
      <c r="J20" s="128"/>
      <c r="K20" s="61"/>
      <c r="L20" s="61"/>
      <c r="M20" s="61"/>
      <c r="N20" s="129"/>
      <c r="O20" s="129"/>
      <c r="P20" s="129"/>
    </row>
    <row r="21" spans="1:16" x14ac:dyDescent="0.3">
      <c r="C21" s="48" t="s">
        <v>399</v>
      </c>
      <c r="D21" s="77" t="s">
        <v>148</v>
      </c>
      <c r="E21" s="88" t="s">
        <v>12</v>
      </c>
      <c r="F21" s="332"/>
      <c r="G21" s="333"/>
      <c r="H21" s="333"/>
      <c r="I21" s="333"/>
      <c r="J21" s="344"/>
      <c r="K21" s="61"/>
      <c r="L21" s="61"/>
      <c r="M21" s="61"/>
      <c r="N21" s="333"/>
      <c r="O21" s="168"/>
      <c r="P21" s="61">
        <f>SUM(L21:L24)</f>
        <v>22.271999999999998</v>
      </c>
    </row>
    <row r="22" spans="1:16" x14ac:dyDescent="0.3">
      <c r="C22" s="56"/>
      <c r="D22" s="79" t="s">
        <v>140</v>
      </c>
      <c r="E22" s="89"/>
      <c r="F22" s="59"/>
      <c r="G22" s="60"/>
      <c r="H22" s="60"/>
      <c r="I22" s="60"/>
      <c r="J22" s="62"/>
      <c r="K22" s="61"/>
      <c r="L22" s="61"/>
      <c r="M22" s="61"/>
      <c r="N22" s="61"/>
      <c r="O22" s="61"/>
      <c r="P22" s="61"/>
    </row>
    <row r="23" spans="1:16" x14ac:dyDescent="0.3">
      <c r="C23" s="56"/>
      <c r="D23" s="80" t="s">
        <v>137</v>
      </c>
      <c r="E23" s="90" t="s">
        <v>12</v>
      </c>
      <c r="F23" s="66">
        <v>4</v>
      </c>
      <c r="G23" s="67">
        <v>1.92</v>
      </c>
      <c r="H23" s="67"/>
      <c r="I23" s="67">
        <v>2.9</v>
      </c>
      <c r="J23" s="69"/>
      <c r="K23" s="68"/>
      <c r="L23" s="68">
        <f>IF(F23="","",PRODUCT(F23:J23))</f>
        <v>22.271999999999998</v>
      </c>
      <c r="M23" s="68"/>
      <c r="N23" s="68"/>
      <c r="O23" s="68"/>
      <c r="P23" s="68"/>
    </row>
    <row r="24" spans="1:16" x14ac:dyDescent="0.3">
      <c r="C24" s="56"/>
      <c r="D24" s="80"/>
      <c r="E24" s="90"/>
      <c r="F24" s="66"/>
      <c r="G24" s="67"/>
      <c r="H24" s="67"/>
      <c r="I24" s="67"/>
      <c r="J24" s="69"/>
      <c r="K24" s="61"/>
      <c r="L24" s="61"/>
      <c r="M24" s="61"/>
      <c r="N24" s="68"/>
      <c r="O24" s="68"/>
      <c r="P24" s="68"/>
    </row>
    <row r="25" spans="1:16" x14ac:dyDescent="0.3">
      <c r="C25" s="48" t="s">
        <v>400</v>
      </c>
      <c r="D25" s="77" t="s">
        <v>149</v>
      </c>
      <c r="E25" s="88" t="s">
        <v>12</v>
      </c>
      <c r="F25" s="332"/>
      <c r="G25" s="333"/>
      <c r="H25" s="333"/>
      <c r="I25" s="333"/>
      <c r="J25" s="344"/>
      <c r="K25" s="61"/>
      <c r="L25" s="61"/>
      <c r="M25" s="61"/>
      <c r="N25" s="333"/>
      <c r="O25" s="168"/>
      <c r="P25" s="61">
        <f>SUM(L25:L38)</f>
        <v>779.548</v>
      </c>
    </row>
    <row r="26" spans="1:16" x14ac:dyDescent="0.3">
      <c r="C26" s="56"/>
      <c r="D26" s="79" t="s">
        <v>140</v>
      </c>
      <c r="E26" s="437"/>
      <c r="F26" s="54"/>
      <c r="G26" s="55"/>
      <c r="H26" s="55"/>
      <c r="I26" s="55"/>
      <c r="J26" s="54"/>
      <c r="K26" s="55"/>
      <c r="L26" s="55"/>
      <c r="M26" s="61"/>
      <c r="N26" s="61"/>
      <c r="O26" s="61"/>
      <c r="P26" s="61"/>
    </row>
    <row r="27" spans="1:16" x14ac:dyDescent="0.3">
      <c r="C27" s="56"/>
      <c r="D27" s="160" t="s">
        <v>15</v>
      </c>
      <c r="E27" s="73"/>
      <c r="F27" s="82"/>
      <c r="G27" s="74"/>
      <c r="H27" s="74"/>
      <c r="I27" s="74"/>
      <c r="J27" s="62"/>
      <c r="K27" s="61"/>
      <c r="L27" s="61"/>
      <c r="M27" s="68"/>
      <c r="N27" s="68"/>
      <c r="O27" s="68"/>
      <c r="P27" s="68"/>
    </row>
    <row r="28" spans="1:16" x14ac:dyDescent="0.3">
      <c r="C28" s="56"/>
      <c r="D28" s="164" t="s">
        <v>352</v>
      </c>
      <c r="E28" s="165" t="s">
        <v>12</v>
      </c>
      <c r="F28" s="166">
        <v>1</v>
      </c>
      <c r="G28" s="111" t="s">
        <v>63</v>
      </c>
      <c r="H28" s="111">
        <f>393.95-0.28*4</f>
        <v>392.83</v>
      </c>
      <c r="I28" s="111"/>
      <c r="J28" s="166">
        <v>1</v>
      </c>
      <c r="K28" s="111"/>
      <c r="L28" s="111">
        <f t="shared" ref="L28" si="0">IF(F28="","",PRODUCT(F28:J28))</f>
        <v>392.83</v>
      </c>
      <c r="M28" s="68"/>
      <c r="N28" s="68"/>
      <c r="O28" s="68"/>
      <c r="P28" s="68"/>
    </row>
    <row r="29" spans="1:16" x14ac:dyDescent="0.3">
      <c r="C29" s="56"/>
      <c r="D29" s="164" t="s">
        <v>353</v>
      </c>
      <c r="E29" s="165" t="s">
        <v>12</v>
      </c>
      <c r="F29" s="69">
        <f>111+60+130+60+104</f>
        <v>465</v>
      </c>
      <c r="G29" s="67">
        <v>2.2000000000000002</v>
      </c>
      <c r="H29" s="67"/>
      <c r="I29" s="67">
        <v>0.3</v>
      </c>
      <c r="J29" s="66">
        <v>1</v>
      </c>
      <c r="K29" s="68"/>
      <c r="L29" s="68">
        <f t="shared" ref="L29:L37" si="1">((I29)+H29)*F29*G29*J29</f>
        <v>306.90000000000003</v>
      </c>
      <c r="M29" s="68"/>
      <c r="N29" s="68"/>
      <c r="O29" s="68"/>
      <c r="P29" s="68"/>
    </row>
    <row r="30" spans="1:16" x14ac:dyDescent="0.3">
      <c r="C30" s="56"/>
      <c r="D30" s="164"/>
      <c r="E30" s="165" t="s">
        <v>12</v>
      </c>
      <c r="F30" s="69">
        <f>26+19</f>
        <v>45</v>
      </c>
      <c r="G30" s="67">
        <v>2.0499999999999998</v>
      </c>
      <c r="H30" s="67"/>
      <c r="I30" s="67">
        <v>0.3</v>
      </c>
      <c r="J30" s="66">
        <v>1</v>
      </c>
      <c r="K30" s="68"/>
      <c r="L30" s="68">
        <f t="shared" si="1"/>
        <v>27.674999999999997</v>
      </c>
      <c r="M30" s="68"/>
      <c r="N30" s="68"/>
      <c r="O30" s="68"/>
      <c r="P30" s="68"/>
    </row>
    <row r="31" spans="1:16" x14ac:dyDescent="0.3">
      <c r="C31" s="56"/>
      <c r="D31" s="164"/>
      <c r="E31" s="165" t="s">
        <v>12</v>
      </c>
      <c r="F31" s="69">
        <v>20</v>
      </c>
      <c r="G31" s="67">
        <v>1.87</v>
      </c>
      <c r="H31" s="67"/>
      <c r="I31" s="67">
        <v>0.3</v>
      </c>
      <c r="J31" s="66">
        <v>1</v>
      </c>
      <c r="K31" s="68"/>
      <c r="L31" s="68">
        <f t="shared" si="1"/>
        <v>11.22</v>
      </c>
      <c r="M31" s="68"/>
      <c r="N31" s="68"/>
      <c r="O31" s="68"/>
      <c r="P31" s="68"/>
    </row>
    <row r="32" spans="1:16" x14ac:dyDescent="0.3">
      <c r="C32" s="56"/>
      <c r="D32" s="164"/>
      <c r="E32" s="165" t="s">
        <v>12</v>
      </c>
      <c r="F32" s="69">
        <f>26+26</f>
        <v>52</v>
      </c>
      <c r="G32" s="67">
        <v>1.7</v>
      </c>
      <c r="H32" s="67"/>
      <c r="I32" s="67">
        <v>0.3</v>
      </c>
      <c r="J32" s="66">
        <v>1</v>
      </c>
      <c r="K32" s="68"/>
      <c r="L32" s="68">
        <f t="shared" si="1"/>
        <v>26.52</v>
      </c>
      <c r="M32" s="68"/>
      <c r="N32" s="68"/>
      <c r="O32" s="68"/>
      <c r="P32" s="68"/>
    </row>
    <row r="33" spans="3:16" x14ac:dyDescent="0.3">
      <c r="C33" s="56"/>
      <c r="D33" s="164"/>
      <c r="E33" s="165" t="s">
        <v>12</v>
      </c>
      <c r="F33" s="69">
        <v>19</v>
      </c>
      <c r="G33" s="67">
        <v>1.95</v>
      </c>
      <c r="H33" s="67"/>
      <c r="I33" s="67">
        <v>0.3</v>
      </c>
      <c r="J33" s="66">
        <v>1</v>
      </c>
      <c r="K33" s="68"/>
      <c r="L33" s="68">
        <f t="shared" si="1"/>
        <v>11.115</v>
      </c>
      <c r="M33" s="68"/>
      <c r="N33" s="68"/>
      <c r="O33" s="68"/>
      <c r="P33" s="68"/>
    </row>
    <row r="34" spans="3:16" x14ac:dyDescent="0.3">
      <c r="C34" s="56"/>
      <c r="D34" s="164"/>
      <c r="E34" s="165" t="s">
        <v>12</v>
      </c>
      <c r="F34" s="69">
        <v>2</v>
      </c>
      <c r="G34" s="67">
        <v>1.8</v>
      </c>
      <c r="H34" s="67"/>
      <c r="I34" s="67">
        <v>0.3</v>
      </c>
      <c r="J34" s="66">
        <v>1</v>
      </c>
      <c r="K34" s="68"/>
      <c r="L34" s="68">
        <f t="shared" si="1"/>
        <v>1.08</v>
      </c>
      <c r="M34" s="68"/>
      <c r="N34" s="68"/>
      <c r="O34" s="68"/>
      <c r="P34" s="68"/>
    </row>
    <row r="35" spans="3:16" x14ac:dyDescent="0.3">
      <c r="C35" s="56"/>
      <c r="D35" s="164"/>
      <c r="E35" s="165" t="s">
        <v>12</v>
      </c>
      <c r="F35" s="69">
        <v>2</v>
      </c>
      <c r="G35" s="67">
        <v>1.45</v>
      </c>
      <c r="H35" s="67"/>
      <c r="I35" s="67">
        <v>0.3</v>
      </c>
      <c r="J35" s="66">
        <v>1</v>
      </c>
      <c r="K35" s="68"/>
      <c r="L35" s="68">
        <f t="shared" si="1"/>
        <v>0.87</v>
      </c>
      <c r="M35" s="68"/>
      <c r="N35" s="68"/>
      <c r="O35" s="68"/>
      <c r="P35" s="68"/>
    </row>
    <row r="36" spans="3:16" x14ac:dyDescent="0.3">
      <c r="C36" s="56"/>
      <c r="D36" s="164"/>
      <c r="E36" s="165" t="s">
        <v>12</v>
      </c>
      <c r="F36" s="69">
        <v>2</v>
      </c>
      <c r="G36" s="67">
        <v>1.37</v>
      </c>
      <c r="H36" s="67"/>
      <c r="I36" s="67">
        <v>0.3</v>
      </c>
      <c r="J36" s="66">
        <v>1</v>
      </c>
      <c r="K36" s="68"/>
      <c r="L36" s="68">
        <f t="shared" si="1"/>
        <v>0.82200000000000006</v>
      </c>
      <c r="M36" s="68"/>
      <c r="N36" s="68"/>
      <c r="O36" s="68"/>
      <c r="P36" s="68"/>
    </row>
    <row r="37" spans="3:16" x14ac:dyDescent="0.3">
      <c r="C37" s="56"/>
      <c r="D37" s="164"/>
      <c r="E37" s="165" t="s">
        <v>12</v>
      </c>
      <c r="F37" s="69">
        <v>1</v>
      </c>
      <c r="G37" s="67">
        <v>1.72</v>
      </c>
      <c r="H37" s="67"/>
      <c r="I37" s="67">
        <v>0.3</v>
      </c>
      <c r="J37" s="66">
        <v>1</v>
      </c>
      <c r="K37" s="68"/>
      <c r="L37" s="68">
        <f t="shared" si="1"/>
        <v>0.51600000000000001</v>
      </c>
      <c r="M37" s="68"/>
      <c r="N37" s="68"/>
      <c r="O37" s="68"/>
      <c r="P37" s="68"/>
    </row>
    <row r="38" spans="3:16" x14ac:dyDescent="0.3">
      <c r="C38" s="56"/>
      <c r="D38" s="167"/>
      <c r="E38" s="90"/>
      <c r="F38" s="168"/>
      <c r="G38" s="168"/>
      <c r="H38" s="168"/>
      <c r="I38" s="168"/>
      <c r="J38" s="168"/>
      <c r="K38" s="168"/>
      <c r="L38" s="168"/>
      <c r="M38" s="61"/>
      <c r="N38" s="61"/>
      <c r="O38" s="61"/>
      <c r="P38" s="61"/>
    </row>
    <row r="39" spans="3:16" x14ac:dyDescent="0.3">
      <c r="C39" s="147" t="s">
        <v>404</v>
      </c>
      <c r="D39" s="135" t="s">
        <v>22</v>
      </c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</row>
    <row r="40" spans="3:16" x14ac:dyDescent="0.3">
      <c r="C40" s="363" t="s">
        <v>405</v>
      </c>
      <c r="D40" s="169" t="s">
        <v>23</v>
      </c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287"/>
    </row>
    <row r="41" spans="3:16" x14ac:dyDescent="0.3">
      <c r="C41" s="48" t="s">
        <v>415</v>
      </c>
      <c r="D41" s="170" t="s">
        <v>153</v>
      </c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61">
        <f>SUM(K41:K44)</f>
        <v>69.77</v>
      </c>
    </row>
    <row r="42" spans="3:16" x14ac:dyDescent="0.3">
      <c r="C42" s="63"/>
      <c r="D42" s="79" t="s">
        <v>140</v>
      </c>
      <c r="E42" s="58"/>
      <c r="F42" s="59"/>
      <c r="G42" s="60"/>
      <c r="H42" s="60"/>
      <c r="I42" s="61"/>
      <c r="J42" s="62"/>
      <c r="K42" s="61"/>
      <c r="L42" s="68" t="str">
        <f t="shared" ref="L42" si="2">IF(F42="","",PRODUCT(F42:J42))</f>
        <v/>
      </c>
      <c r="M42" s="68"/>
      <c r="N42" s="68"/>
      <c r="O42" s="68"/>
      <c r="P42" s="68"/>
    </row>
    <row r="43" spans="3:16" x14ac:dyDescent="0.3">
      <c r="C43" s="63"/>
      <c r="D43" s="164" t="s">
        <v>117</v>
      </c>
      <c r="E43" s="65" t="s">
        <v>13</v>
      </c>
      <c r="F43" s="69">
        <v>1</v>
      </c>
      <c r="G43" s="67" t="s">
        <v>114</v>
      </c>
      <c r="H43" s="171">
        <v>69.77</v>
      </c>
      <c r="I43" s="111"/>
      <c r="J43" s="166">
        <v>1</v>
      </c>
      <c r="K43" s="68">
        <f t="shared" ref="K43" si="3">IF(F43="","",PRODUCT(F43:J43))</f>
        <v>69.77</v>
      </c>
      <c r="L43" s="104"/>
      <c r="M43" s="68"/>
      <c r="N43" s="68"/>
      <c r="O43" s="68"/>
      <c r="P43" s="68"/>
    </row>
    <row r="44" spans="3:16" x14ac:dyDescent="0.3">
      <c r="C44" s="173"/>
      <c r="D44" s="80"/>
      <c r="E44" s="172"/>
      <c r="F44" s="168"/>
      <c r="G44" s="168"/>
      <c r="H44" s="168"/>
      <c r="I44" s="168"/>
      <c r="J44" s="168"/>
      <c r="K44" s="168"/>
      <c r="L44" s="68"/>
      <c r="M44" s="168"/>
      <c r="N44" s="168"/>
      <c r="O44" s="168"/>
      <c r="P44" s="168"/>
    </row>
    <row r="45" spans="3:16" x14ac:dyDescent="0.3">
      <c r="D45" s="104"/>
      <c r="E45" s="104"/>
      <c r="F45" s="104"/>
      <c r="G45" s="104"/>
      <c r="H45" s="104"/>
      <c r="I45" s="104"/>
      <c r="J45" s="104"/>
      <c r="K45" s="104"/>
      <c r="L45" s="316"/>
      <c r="M45" s="316"/>
      <c r="N45" s="316"/>
      <c r="O45" s="316"/>
      <c r="P45" s="316"/>
    </row>
    <row r="46" spans="3:16" x14ac:dyDescent="0.3">
      <c r="D46" s="104"/>
      <c r="E46" s="104"/>
      <c r="F46" s="104"/>
      <c r="G46" s="104"/>
      <c r="H46" s="104"/>
      <c r="I46" s="104"/>
      <c r="J46" s="104"/>
      <c r="K46" s="104"/>
      <c r="L46" s="316"/>
      <c r="M46" s="316"/>
      <c r="N46" s="316"/>
      <c r="O46" s="316"/>
      <c r="P46" s="316"/>
    </row>
    <row r="47" spans="3:16" x14ac:dyDescent="0.3">
      <c r="D47" s="104"/>
      <c r="E47" s="104"/>
      <c r="F47" s="104"/>
      <c r="G47" s="104"/>
      <c r="H47" s="104"/>
      <c r="I47" s="104"/>
      <c r="J47" s="104"/>
      <c r="K47" s="104"/>
      <c r="L47" s="316"/>
      <c r="M47" s="316"/>
      <c r="N47" s="316"/>
      <c r="O47" s="316"/>
      <c r="P47" s="316"/>
    </row>
    <row r="48" spans="3:16" x14ac:dyDescent="0.3">
      <c r="D48" s="104"/>
      <c r="E48" s="104"/>
      <c r="F48" s="104"/>
      <c r="G48" s="104"/>
      <c r="H48" s="104"/>
      <c r="I48" s="104"/>
      <c r="J48" s="104"/>
      <c r="K48" s="104"/>
      <c r="L48" s="316"/>
      <c r="M48" s="316"/>
      <c r="N48" s="316"/>
      <c r="O48" s="316"/>
      <c r="P48" s="104"/>
    </row>
    <row r="49" spans="3:16" x14ac:dyDescent="0.3">
      <c r="C49" s="379"/>
      <c r="D49" s="312"/>
      <c r="E49" s="313"/>
      <c r="F49" s="314"/>
      <c r="G49" s="315"/>
      <c r="H49" s="315"/>
      <c r="I49" s="316"/>
      <c r="J49" s="317"/>
      <c r="K49" s="316"/>
      <c r="L49" s="316"/>
      <c r="M49" s="316"/>
      <c r="N49" s="316"/>
      <c r="O49" s="316"/>
      <c r="P49" s="316"/>
    </row>
    <row r="50" spans="3:16" x14ac:dyDescent="0.3">
      <c r="C50" s="379"/>
      <c r="D50" s="312"/>
      <c r="E50" s="313"/>
      <c r="F50" s="314"/>
      <c r="G50" s="315"/>
      <c r="H50" s="315"/>
      <c r="I50" s="316"/>
      <c r="J50" s="317"/>
      <c r="K50" s="316"/>
      <c r="L50" s="316"/>
      <c r="M50" s="316"/>
      <c r="N50" s="316"/>
      <c r="O50" s="316"/>
      <c r="P50" s="316"/>
    </row>
    <row r="51" spans="3:16" x14ac:dyDescent="0.3">
      <c r="C51" s="379"/>
      <c r="D51" s="312"/>
      <c r="E51" s="313"/>
      <c r="F51" s="314"/>
      <c r="G51" s="315"/>
      <c r="H51" s="315"/>
      <c r="I51" s="316"/>
      <c r="J51" s="317"/>
      <c r="K51" s="316"/>
      <c r="L51" s="316"/>
      <c r="M51" s="316"/>
      <c r="N51" s="316"/>
      <c r="O51" s="316"/>
      <c r="P51" s="316"/>
    </row>
    <row r="52" spans="3:16" x14ac:dyDescent="0.3">
      <c r="C52" s="379"/>
      <c r="D52" s="312"/>
      <c r="E52" s="313"/>
      <c r="F52" s="314"/>
      <c r="G52" s="315"/>
      <c r="H52" s="315"/>
      <c r="I52" s="316"/>
      <c r="J52" s="317"/>
      <c r="K52" s="316"/>
      <c r="L52" s="316"/>
      <c r="M52" s="316"/>
      <c r="N52" s="316"/>
      <c r="O52" s="316"/>
      <c r="P52" s="316"/>
    </row>
    <row r="53" spans="3:16" x14ac:dyDescent="0.3">
      <c r="C53" s="379"/>
      <c r="D53" s="312"/>
      <c r="E53" s="313"/>
      <c r="F53" s="314"/>
      <c r="G53" s="315"/>
      <c r="H53" s="315"/>
      <c r="I53" s="316"/>
      <c r="J53" s="317"/>
      <c r="K53" s="316"/>
      <c r="L53" s="316"/>
      <c r="M53" s="316"/>
      <c r="N53" s="316"/>
      <c r="O53" s="316"/>
      <c r="P53" s="316"/>
    </row>
    <row r="54" spans="3:16" x14ac:dyDescent="0.3">
      <c r="C54" s="379"/>
      <c r="D54" s="312"/>
      <c r="E54" s="313"/>
      <c r="F54" s="314"/>
      <c r="G54" s="315"/>
      <c r="H54" s="315"/>
      <c r="I54" s="316"/>
      <c r="J54" s="317"/>
      <c r="K54" s="316"/>
      <c r="L54" s="316"/>
      <c r="M54" s="316"/>
      <c r="N54" s="316"/>
      <c r="O54" s="316"/>
      <c r="P54" s="316"/>
    </row>
    <row r="55" spans="3:16" x14ac:dyDescent="0.3">
      <c r="C55" s="379"/>
      <c r="D55" s="312"/>
      <c r="E55" s="313"/>
      <c r="F55" s="314"/>
      <c r="G55" s="315"/>
      <c r="H55" s="315"/>
      <c r="I55" s="316"/>
      <c r="J55" s="317"/>
      <c r="K55" s="316"/>
      <c r="L55" s="316"/>
      <c r="M55" s="316"/>
      <c r="N55" s="316"/>
      <c r="O55" s="316"/>
      <c r="P55" s="316"/>
    </row>
    <row r="56" spans="3:16" x14ac:dyDescent="0.3">
      <c r="C56" s="379"/>
      <c r="D56" s="312"/>
      <c r="E56" s="313"/>
      <c r="F56" s="314"/>
      <c r="G56" s="315"/>
      <c r="H56" s="315"/>
      <c r="I56" s="316"/>
      <c r="J56" s="317"/>
      <c r="K56" s="316"/>
      <c r="L56" s="316"/>
      <c r="M56" s="316"/>
      <c r="N56" s="316"/>
      <c r="O56" s="316"/>
      <c r="P56" s="316"/>
    </row>
    <row r="57" spans="3:16" x14ac:dyDescent="0.3">
      <c r="C57" s="379"/>
      <c r="D57" s="312"/>
      <c r="E57" s="313"/>
      <c r="F57" s="314"/>
      <c r="G57" s="315"/>
      <c r="H57" s="315"/>
      <c r="I57" s="316"/>
      <c r="J57" s="317"/>
      <c r="K57" s="316"/>
      <c r="L57" s="316"/>
      <c r="M57" s="316"/>
      <c r="N57" s="316"/>
      <c r="O57" s="316"/>
      <c r="P57" s="316"/>
    </row>
    <row r="58" spans="3:16" x14ac:dyDescent="0.3">
      <c r="C58" s="379"/>
      <c r="D58" s="312"/>
      <c r="E58" s="313"/>
      <c r="F58" s="314"/>
      <c r="G58" s="315"/>
      <c r="H58" s="315"/>
      <c r="I58" s="316"/>
      <c r="J58" s="317"/>
      <c r="K58" s="316"/>
      <c r="L58" s="316"/>
      <c r="M58" s="316"/>
      <c r="N58" s="316"/>
      <c r="O58" s="316"/>
      <c r="P58" s="316"/>
    </row>
    <row r="59" spans="3:16" x14ac:dyDescent="0.3">
      <c r="C59" s="379"/>
      <c r="D59" s="312"/>
      <c r="E59" s="313"/>
      <c r="F59" s="314"/>
      <c r="G59" s="315"/>
      <c r="H59" s="315"/>
      <c r="I59" s="316"/>
      <c r="J59" s="317"/>
      <c r="K59" s="316"/>
      <c r="L59" s="316"/>
      <c r="M59" s="316"/>
      <c r="N59" s="316"/>
      <c r="O59" s="316"/>
      <c r="P59" s="316"/>
    </row>
    <row r="60" spans="3:16" x14ac:dyDescent="0.3">
      <c r="C60" s="379"/>
      <c r="D60" s="312"/>
      <c r="E60" s="313"/>
      <c r="F60" s="314"/>
      <c r="G60" s="315"/>
      <c r="H60" s="315"/>
      <c r="I60" s="316"/>
      <c r="J60" s="317"/>
      <c r="K60" s="316"/>
      <c r="L60" s="316"/>
      <c r="M60" s="316"/>
      <c r="N60" s="316"/>
      <c r="O60" s="316"/>
      <c r="P60" s="316"/>
    </row>
    <row r="61" spans="3:16" x14ac:dyDescent="0.3">
      <c r="C61" s="152"/>
      <c r="D61" s="312"/>
      <c r="E61" s="313"/>
      <c r="F61" s="314"/>
      <c r="G61" s="315"/>
      <c r="H61" s="315"/>
      <c r="I61" s="316"/>
      <c r="J61" s="317"/>
      <c r="K61" s="316"/>
      <c r="L61" s="316"/>
      <c r="M61" s="316"/>
      <c r="N61" s="316"/>
      <c r="O61" s="316"/>
      <c r="P61" s="316"/>
    </row>
    <row r="62" spans="3:16" x14ac:dyDescent="0.3">
      <c r="C62" s="152"/>
      <c r="D62" s="312"/>
      <c r="E62" s="313"/>
      <c r="F62" s="314"/>
      <c r="G62" s="315"/>
      <c r="H62" s="315"/>
      <c r="I62" s="316"/>
      <c r="J62" s="317"/>
      <c r="K62" s="316"/>
      <c r="L62" s="316"/>
      <c r="M62" s="316"/>
      <c r="N62" s="316"/>
      <c r="O62" s="316"/>
      <c r="P62" s="316"/>
    </row>
    <row r="63" spans="3:16" x14ac:dyDescent="0.3">
      <c r="C63" s="152"/>
      <c r="D63" s="312"/>
      <c r="E63" s="313"/>
      <c r="F63" s="314"/>
      <c r="G63" s="315"/>
      <c r="H63" s="315"/>
      <c r="I63" s="316"/>
      <c r="J63" s="317"/>
      <c r="K63" s="316"/>
      <c r="L63" s="316"/>
      <c r="M63" s="316"/>
      <c r="N63" s="316"/>
      <c r="O63" s="316"/>
      <c r="P63" s="316"/>
    </row>
    <row r="64" spans="3:16" x14ac:dyDescent="0.3">
      <c r="C64" s="152"/>
      <c r="D64" s="312"/>
      <c r="E64" s="313"/>
      <c r="F64" s="314"/>
      <c r="G64" s="315"/>
      <c r="H64" s="315"/>
      <c r="I64" s="316"/>
      <c r="J64" s="317"/>
      <c r="K64" s="316"/>
      <c r="L64" s="316"/>
      <c r="M64" s="316"/>
      <c r="N64" s="316"/>
      <c r="O64" s="316"/>
      <c r="P64" s="316"/>
    </row>
    <row r="65" spans="3:16" x14ac:dyDescent="0.3">
      <c r="C65" s="152"/>
      <c r="D65" s="312"/>
      <c r="E65" s="313"/>
      <c r="F65" s="314"/>
      <c r="G65" s="315"/>
      <c r="H65" s="315"/>
      <c r="I65" s="316"/>
      <c r="J65" s="317"/>
      <c r="K65" s="316"/>
      <c r="L65" s="316"/>
      <c r="M65" s="316"/>
      <c r="N65" s="316"/>
      <c r="O65" s="316"/>
      <c r="P65" s="316"/>
    </row>
    <row r="66" spans="3:16" x14ac:dyDescent="0.3">
      <c r="C66" s="152"/>
      <c r="D66" s="312"/>
      <c r="E66" s="313"/>
      <c r="F66" s="314"/>
      <c r="G66" s="315"/>
      <c r="H66" s="315"/>
      <c r="I66" s="316"/>
      <c r="J66" s="317"/>
      <c r="K66" s="316"/>
      <c r="L66" s="316"/>
      <c r="M66" s="316"/>
      <c r="N66" s="316"/>
      <c r="O66" s="316"/>
      <c r="P66" s="316"/>
    </row>
    <row r="67" spans="3:16" x14ac:dyDescent="0.3">
      <c r="C67" s="152"/>
      <c r="D67" s="312"/>
      <c r="E67" s="313"/>
      <c r="F67" s="314"/>
      <c r="G67" s="315"/>
      <c r="H67" s="315"/>
      <c r="I67" s="316"/>
      <c r="J67" s="317"/>
      <c r="K67" s="316"/>
      <c r="L67" s="316"/>
      <c r="M67" s="316"/>
      <c r="N67" s="316"/>
      <c r="O67" s="316"/>
      <c r="P67" s="316"/>
    </row>
    <row r="68" spans="3:16" x14ac:dyDescent="0.3">
      <c r="C68" s="152"/>
      <c r="D68" s="312"/>
      <c r="E68" s="313"/>
      <c r="F68" s="314"/>
      <c r="G68" s="315"/>
      <c r="H68" s="315"/>
      <c r="I68" s="316"/>
      <c r="J68" s="317"/>
      <c r="K68" s="316"/>
      <c r="L68" s="316"/>
      <c r="M68" s="316"/>
      <c r="N68" s="316"/>
      <c r="O68" s="316"/>
      <c r="P68" s="316"/>
    </row>
    <row r="69" spans="3:16" x14ac:dyDescent="0.3">
      <c r="C69" s="152"/>
      <c r="D69" s="312"/>
      <c r="E69" s="313"/>
      <c r="F69" s="314"/>
      <c r="G69" s="315"/>
      <c r="H69" s="315"/>
      <c r="I69" s="316"/>
      <c r="J69" s="317"/>
      <c r="K69" s="316"/>
      <c r="L69" s="316"/>
      <c r="M69" s="316"/>
      <c r="N69" s="316"/>
      <c r="O69" s="316"/>
      <c r="P69" s="316"/>
    </row>
    <row r="70" spans="3:16" x14ac:dyDescent="0.3">
      <c r="C70" s="152"/>
      <c r="D70" s="312"/>
      <c r="E70" s="313"/>
      <c r="F70" s="314"/>
      <c r="G70" s="315"/>
      <c r="H70" s="315"/>
      <c r="I70" s="316"/>
      <c r="J70" s="317"/>
      <c r="K70" s="316"/>
      <c r="L70" s="316"/>
      <c r="M70" s="316"/>
      <c r="N70" s="316"/>
      <c r="O70" s="316"/>
      <c r="P70" s="316"/>
    </row>
    <row r="71" spans="3:16" x14ac:dyDescent="0.3">
      <c r="C71" s="152"/>
      <c r="D71" s="312"/>
      <c r="E71" s="313"/>
      <c r="F71" s="314"/>
      <c r="G71" s="315"/>
      <c r="H71" s="315"/>
      <c r="I71" s="316"/>
      <c r="J71" s="317"/>
      <c r="K71" s="316"/>
      <c r="L71" s="316"/>
      <c r="M71" s="316"/>
      <c r="N71" s="316"/>
      <c r="O71" s="316"/>
      <c r="P71" s="316"/>
    </row>
    <row r="72" spans="3:16" x14ac:dyDescent="0.3">
      <c r="C72" s="152"/>
      <c r="D72" s="312"/>
      <c r="E72" s="313"/>
      <c r="F72" s="314"/>
      <c r="G72" s="315"/>
      <c r="H72" s="315"/>
      <c r="I72" s="316"/>
      <c r="J72" s="317"/>
      <c r="K72" s="316"/>
      <c r="L72" s="316"/>
      <c r="M72" s="316"/>
      <c r="N72" s="316"/>
      <c r="O72" s="316"/>
      <c r="P72" s="316"/>
    </row>
    <row r="73" spans="3:16" x14ac:dyDescent="0.3">
      <c r="C73" s="152"/>
      <c r="D73" s="312"/>
      <c r="E73" s="313"/>
      <c r="F73" s="314"/>
      <c r="G73" s="315"/>
      <c r="H73" s="315"/>
      <c r="I73" s="316"/>
      <c r="J73" s="317"/>
      <c r="K73" s="316"/>
      <c r="L73" s="316"/>
      <c r="M73" s="316"/>
      <c r="N73" s="316"/>
      <c r="O73" s="316"/>
      <c r="P73" s="316"/>
    </row>
    <row r="74" spans="3:16" x14ac:dyDescent="0.3">
      <c r="C74" s="152"/>
      <c r="D74" s="312"/>
      <c r="E74" s="313"/>
      <c r="F74" s="314"/>
      <c r="G74" s="315"/>
      <c r="H74" s="315"/>
      <c r="I74" s="316"/>
      <c r="J74" s="317"/>
      <c r="K74" s="316"/>
      <c r="L74" s="316"/>
      <c r="M74" s="316"/>
      <c r="N74" s="316"/>
      <c r="O74" s="316"/>
      <c r="P74" s="316"/>
    </row>
    <row r="75" spans="3:16" x14ac:dyDescent="0.3">
      <c r="C75" s="152"/>
      <c r="D75" s="312"/>
      <c r="E75" s="313"/>
      <c r="F75" s="314"/>
      <c r="G75" s="315"/>
      <c r="H75" s="315"/>
      <c r="I75" s="316"/>
      <c r="J75" s="317"/>
      <c r="K75" s="316"/>
      <c r="L75" s="316"/>
      <c r="M75" s="316"/>
      <c r="N75" s="316"/>
      <c r="O75" s="316"/>
      <c r="P75" s="316"/>
    </row>
    <row r="76" spans="3:16" x14ac:dyDescent="0.3">
      <c r="C76" s="152"/>
      <c r="D76" s="312"/>
      <c r="E76" s="313"/>
      <c r="F76" s="314"/>
      <c r="G76" s="315"/>
      <c r="H76" s="315"/>
      <c r="I76" s="316"/>
      <c r="J76" s="317"/>
      <c r="K76" s="316"/>
      <c r="L76" s="316"/>
      <c r="M76" s="316"/>
      <c r="N76" s="316"/>
      <c r="O76" s="316"/>
      <c r="P76" s="316"/>
    </row>
    <row r="77" spans="3:16" x14ac:dyDescent="0.3">
      <c r="C77" s="152"/>
      <c r="D77" s="312"/>
      <c r="E77" s="313"/>
      <c r="F77" s="314"/>
      <c r="G77" s="315"/>
      <c r="H77" s="315"/>
      <c r="I77" s="316"/>
      <c r="J77" s="317"/>
      <c r="K77" s="316"/>
      <c r="L77" s="316"/>
      <c r="M77" s="316"/>
      <c r="N77" s="316"/>
      <c r="O77" s="316"/>
      <c r="P77" s="316"/>
    </row>
    <row r="78" spans="3:16" x14ac:dyDescent="0.3">
      <c r="C78" s="152"/>
      <c r="D78" s="312"/>
      <c r="E78" s="313"/>
      <c r="F78" s="314"/>
      <c r="G78" s="315"/>
      <c r="H78" s="315"/>
      <c r="I78" s="316"/>
      <c r="J78" s="317"/>
      <c r="K78" s="316"/>
      <c r="L78" s="316"/>
      <c r="M78" s="316"/>
      <c r="N78" s="316"/>
      <c r="O78" s="316"/>
      <c r="P78" s="316"/>
    </row>
    <row r="79" spans="3:16" x14ac:dyDescent="0.3">
      <c r="C79" s="152"/>
      <c r="D79" s="312"/>
      <c r="E79" s="313"/>
      <c r="F79" s="314"/>
      <c r="G79" s="315"/>
      <c r="H79" s="315"/>
      <c r="I79" s="316"/>
      <c r="J79" s="317"/>
      <c r="K79" s="316"/>
      <c r="L79" s="316"/>
      <c r="M79" s="316"/>
      <c r="N79" s="316"/>
      <c r="O79" s="316"/>
      <c r="P79" s="316"/>
    </row>
    <row r="80" spans="3:16" x14ac:dyDescent="0.3">
      <c r="C80" s="152"/>
      <c r="D80" s="312"/>
      <c r="E80" s="313"/>
      <c r="F80" s="314"/>
      <c r="G80" s="315"/>
      <c r="H80" s="315"/>
      <c r="I80" s="316"/>
      <c r="J80" s="317"/>
      <c r="K80" s="316"/>
      <c r="L80" s="316"/>
      <c r="M80" s="316"/>
      <c r="N80" s="316"/>
      <c r="O80" s="316"/>
      <c r="P80" s="316"/>
    </row>
    <row r="81" spans="3:16" x14ac:dyDescent="0.3">
      <c r="C81" s="152"/>
      <c r="D81" s="312"/>
      <c r="E81" s="313"/>
      <c r="F81" s="314"/>
      <c r="G81" s="315"/>
      <c r="H81" s="315"/>
      <c r="I81" s="316"/>
      <c r="J81" s="317"/>
      <c r="K81" s="316"/>
      <c r="L81" s="316"/>
      <c r="M81" s="316"/>
      <c r="N81" s="316"/>
      <c r="O81" s="316"/>
      <c r="P81" s="316"/>
    </row>
    <row r="82" spans="3:16" x14ac:dyDescent="0.3">
      <c r="C82" s="152"/>
      <c r="D82" s="312"/>
      <c r="E82" s="313"/>
      <c r="F82" s="314"/>
      <c r="G82" s="315"/>
      <c r="H82" s="315"/>
      <c r="I82" s="316"/>
      <c r="J82" s="317"/>
      <c r="K82" s="316"/>
      <c r="L82" s="316"/>
      <c r="M82" s="316"/>
      <c r="N82" s="316"/>
      <c r="O82" s="316"/>
      <c r="P82" s="316"/>
    </row>
    <row r="83" spans="3:16" x14ac:dyDescent="0.3">
      <c r="C83" s="152"/>
      <c r="D83" s="312"/>
      <c r="E83" s="313"/>
      <c r="F83" s="314"/>
      <c r="G83" s="315"/>
      <c r="H83" s="315"/>
      <c r="I83" s="316"/>
      <c r="J83" s="317"/>
      <c r="K83" s="316"/>
      <c r="L83" s="316"/>
      <c r="M83" s="316"/>
      <c r="N83" s="316"/>
      <c r="O83" s="316"/>
      <c r="P83" s="316"/>
    </row>
    <row r="84" spans="3:16" x14ac:dyDescent="0.3">
      <c r="C84" s="152"/>
      <c r="D84" s="312"/>
      <c r="E84" s="313"/>
      <c r="F84" s="314"/>
      <c r="G84" s="315"/>
      <c r="H84" s="315"/>
      <c r="I84" s="316"/>
      <c r="J84" s="317"/>
      <c r="K84" s="316"/>
      <c r="L84" s="316"/>
      <c r="M84" s="316"/>
      <c r="N84" s="316"/>
      <c r="O84" s="316"/>
      <c r="P84" s="316"/>
    </row>
    <row r="85" spans="3:16" x14ac:dyDescent="0.3">
      <c r="C85" s="152"/>
      <c r="D85" s="312"/>
      <c r="E85" s="313"/>
      <c r="F85" s="314"/>
      <c r="G85" s="315"/>
      <c r="H85" s="315"/>
      <c r="I85" s="316"/>
      <c r="J85" s="317"/>
      <c r="K85" s="316"/>
      <c r="L85" s="316"/>
      <c r="M85" s="316"/>
      <c r="N85" s="316"/>
      <c r="O85" s="316"/>
      <c r="P85" s="316"/>
    </row>
    <row r="86" spans="3:16" x14ac:dyDescent="0.3">
      <c r="C86" s="152"/>
      <c r="D86" s="312"/>
      <c r="E86" s="313"/>
      <c r="F86" s="314"/>
      <c r="G86" s="315"/>
      <c r="H86" s="315"/>
      <c r="I86" s="316"/>
      <c r="J86" s="317"/>
      <c r="K86" s="316"/>
      <c r="L86" s="316"/>
      <c r="M86" s="316"/>
      <c r="N86" s="316"/>
      <c r="O86" s="316"/>
      <c r="P86" s="316"/>
    </row>
    <row r="87" spans="3:16" x14ac:dyDescent="0.3">
      <c r="C87" s="152"/>
      <c r="D87" s="312"/>
      <c r="E87" s="313"/>
      <c r="F87" s="314"/>
      <c r="G87" s="315"/>
      <c r="H87" s="315"/>
      <c r="I87" s="316"/>
      <c r="J87" s="317"/>
      <c r="K87" s="316"/>
      <c r="L87" s="316"/>
      <c r="M87" s="316"/>
      <c r="N87" s="316"/>
      <c r="O87" s="316"/>
      <c r="P87" s="316"/>
    </row>
    <row r="88" spans="3:16" x14ac:dyDescent="0.3">
      <c r="C88" s="152"/>
      <c r="D88" s="312"/>
      <c r="E88" s="313"/>
      <c r="F88" s="314"/>
      <c r="G88" s="315"/>
      <c r="H88" s="315"/>
      <c r="I88" s="316"/>
      <c r="J88" s="317"/>
      <c r="K88" s="316"/>
      <c r="L88" s="316"/>
      <c r="M88" s="316"/>
      <c r="N88" s="316"/>
      <c r="O88" s="316"/>
      <c r="P88" s="316"/>
    </row>
    <row r="89" spans="3:16" x14ac:dyDescent="0.3">
      <c r="C89" s="152"/>
      <c r="D89" s="312"/>
      <c r="E89" s="313"/>
      <c r="F89" s="314"/>
      <c r="G89" s="315"/>
      <c r="H89" s="315"/>
      <c r="I89" s="316"/>
      <c r="J89" s="317"/>
      <c r="K89" s="316"/>
      <c r="L89" s="316"/>
      <c r="M89" s="316"/>
      <c r="N89" s="316"/>
      <c r="O89" s="316"/>
      <c r="P89" s="316"/>
    </row>
    <row r="90" spans="3:16" x14ac:dyDescent="0.3">
      <c r="C90" s="152"/>
      <c r="D90" s="312"/>
      <c r="E90" s="313"/>
      <c r="F90" s="314"/>
      <c r="G90" s="315"/>
      <c r="H90" s="315"/>
      <c r="I90" s="316"/>
      <c r="J90" s="317"/>
      <c r="K90" s="316"/>
      <c r="L90" s="316"/>
      <c r="M90" s="316"/>
      <c r="N90" s="316"/>
      <c r="O90" s="316"/>
      <c r="P90" s="316"/>
    </row>
    <row r="91" spans="3:16" x14ac:dyDescent="0.3">
      <c r="C91" s="152"/>
      <c r="D91" s="312"/>
      <c r="E91" s="313"/>
      <c r="F91" s="314"/>
      <c r="G91" s="315"/>
      <c r="H91" s="315"/>
      <c r="I91" s="316"/>
      <c r="J91" s="317"/>
      <c r="K91" s="316"/>
      <c r="L91" s="316"/>
      <c r="M91" s="316"/>
      <c r="N91" s="316"/>
      <c r="O91" s="316"/>
      <c r="P91" s="316"/>
    </row>
    <row r="92" spans="3:16" x14ac:dyDescent="0.3">
      <c r="C92" s="152"/>
      <c r="D92" s="312"/>
      <c r="E92" s="313"/>
      <c r="F92" s="314"/>
      <c r="G92" s="315"/>
      <c r="H92" s="315"/>
      <c r="I92" s="316"/>
      <c r="J92" s="317"/>
      <c r="K92" s="316"/>
      <c r="L92" s="316"/>
      <c r="M92" s="316"/>
      <c r="N92" s="316"/>
      <c r="O92" s="316"/>
      <c r="P92" s="316"/>
    </row>
    <row r="93" spans="3:16" x14ac:dyDescent="0.3">
      <c r="C93" s="152"/>
      <c r="D93" s="312"/>
      <c r="E93" s="313"/>
      <c r="F93" s="314"/>
      <c r="G93" s="315"/>
      <c r="H93" s="315"/>
      <c r="I93" s="316"/>
      <c r="J93" s="317"/>
      <c r="K93" s="316"/>
      <c r="L93" s="316"/>
      <c r="M93" s="316"/>
      <c r="N93" s="316"/>
      <c r="O93" s="316"/>
      <c r="P93" s="316"/>
    </row>
    <row r="94" spans="3:16" x14ac:dyDescent="0.3">
      <c r="C94" s="152"/>
      <c r="D94" s="312"/>
      <c r="E94" s="313"/>
      <c r="F94" s="314"/>
      <c r="G94" s="315"/>
      <c r="H94" s="315"/>
      <c r="I94" s="316"/>
      <c r="J94" s="317"/>
      <c r="K94" s="316"/>
      <c r="L94" s="316"/>
      <c r="M94" s="316"/>
      <c r="N94" s="316"/>
      <c r="O94" s="316"/>
      <c r="P94" s="316"/>
    </row>
    <row r="95" spans="3:16" x14ac:dyDescent="0.3">
      <c r="C95" s="152"/>
      <c r="D95" s="312"/>
      <c r="E95" s="313"/>
      <c r="F95" s="314"/>
      <c r="G95" s="315"/>
      <c r="H95" s="315"/>
      <c r="I95" s="316"/>
      <c r="J95" s="317"/>
      <c r="K95" s="316"/>
      <c r="L95" s="316"/>
      <c r="M95" s="316"/>
      <c r="N95" s="316"/>
      <c r="O95" s="316"/>
      <c r="P95" s="316"/>
    </row>
    <row r="96" spans="3:16" x14ac:dyDescent="0.3">
      <c r="C96" s="152"/>
      <c r="D96" s="312"/>
      <c r="E96" s="313"/>
      <c r="F96" s="314"/>
      <c r="G96" s="315"/>
      <c r="H96" s="315"/>
      <c r="I96" s="316"/>
      <c r="J96" s="317"/>
      <c r="K96" s="316"/>
      <c r="L96" s="316"/>
      <c r="M96" s="316"/>
      <c r="N96" s="316"/>
      <c r="O96" s="316"/>
      <c r="P96" s="316"/>
    </row>
    <row r="97" spans="3:16" x14ac:dyDescent="0.3">
      <c r="C97" s="152"/>
      <c r="D97" s="312"/>
      <c r="E97" s="313"/>
      <c r="F97" s="314"/>
      <c r="G97" s="315"/>
      <c r="H97" s="315"/>
      <c r="I97" s="316"/>
      <c r="J97" s="317"/>
      <c r="K97" s="316"/>
      <c r="L97" s="316"/>
      <c r="M97" s="316"/>
      <c r="N97" s="316"/>
      <c r="O97" s="316"/>
      <c r="P97" s="316"/>
    </row>
    <row r="98" spans="3:16" x14ac:dyDescent="0.3">
      <c r="C98" s="152"/>
      <c r="D98" s="312"/>
      <c r="E98" s="313"/>
      <c r="F98" s="314"/>
      <c r="G98" s="315"/>
      <c r="H98" s="315"/>
      <c r="I98" s="316"/>
      <c r="J98" s="317"/>
      <c r="K98" s="316"/>
      <c r="L98" s="316"/>
      <c r="M98" s="316"/>
      <c r="N98" s="316"/>
      <c r="O98" s="316"/>
      <c r="P98" s="316"/>
    </row>
    <row r="99" spans="3:16" x14ac:dyDescent="0.3">
      <c r="C99" s="152"/>
      <c r="D99" s="312"/>
      <c r="E99" s="313"/>
      <c r="F99" s="314"/>
      <c r="G99" s="315"/>
      <c r="H99" s="315"/>
      <c r="I99" s="316"/>
      <c r="J99" s="317"/>
      <c r="K99" s="316"/>
      <c r="L99" s="316"/>
      <c r="M99" s="316"/>
      <c r="N99" s="316"/>
      <c r="O99" s="316"/>
      <c r="P99" s="316"/>
    </row>
    <row r="100" spans="3:16" x14ac:dyDescent="0.3">
      <c r="C100" s="152"/>
      <c r="D100" s="312"/>
      <c r="E100" s="313"/>
      <c r="F100" s="314"/>
      <c r="G100" s="315"/>
      <c r="H100" s="315"/>
      <c r="I100" s="316"/>
      <c r="J100" s="317"/>
      <c r="K100" s="316"/>
      <c r="L100" s="316"/>
      <c r="M100" s="316"/>
      <c r="N100" s="316"/>
      <c r="O100" s="316"/>
      <c r="P100" s="316"/>
    </row>
    <row r="101" spans="3:16" x14ac:dyDescent="0.3">
      <c r="C101" s="63"/>
      <c r="D101" s="64"/>
      <c r="E101" s="65"/>
      <c r="F101" s="66"/>
      <c r="G101" s="67"/>
      <c r="H101" s="67"/>
      <c r="I101" s="68"/>
      <c r="J101" s="69"/>
      <c r="K101" s="68"/>
      <c r="L101" s="68"/>
      <c r="M101" s="68"/>
      <c r="N101" s="68"/>
      <c r="O101" s="68"/>
      <c r="P101" s="68"/>
    </row>
    <row r="102" spans="3:16" x14ac:dyDescent="0.3">
      <c r="C102" s="63"/>
      <c r="D102" s="64"/>
      <c r="E102" s="65"/>
      <c r="F102" s="66"/>
      <c r="G102" s="67"/>
      <c r="H102" s="67"/>
      <c r="I102" s="68"/>
      <c r="J102" s="69"/>
      <c r="K102" s="68"/>
      <c r="L102" s="68"/>
      <c r="M102" s="68"/>
      <c r="N102" s="68"/>
      <c r="O102" s="68"/>
      <c r="P102" s="68"/>
    </row>
    <row r="103" spans="3:16" x14ac:dyDescent="0.3">
      <c r="C103" s="63"/>
      <c r="D103" s="64"/>
      <c r="E103" s="65"/>
      <c r="F103" s="66"/>
      <c r="G103" s="67"/>
      <c r="H103" s="67"/>
      <c r="I103" s="68"/>
      <c r="J103" s="69"/>
      <c r="K103" s="68"/>
      <c r="L103" s="68"/>
      <c r="M103" s="68"/>
      <c r="N103" s="68"/>
      <c r="O103" s="68"/>
      <c r="P103" s="68"/>
    </row>
    <row r="104" spans="3:16" x14ac:dyDescent="0.3">
      <c r="C104" s="63"/>
      <c r="D104" s="64"/>
      <c r="E104" s="65"/>
      <c r="F104" s="66"/>
      <c r="G104" s="67"/>
      <c r="H104" s="67"/>
      <c r="I104" s="68"/>
      <c r="J104" s="69"/>
      <c r="K104" s="68"/>
      <c r="L104" s="68"/>
      <c r="M104" s="68"/>
      <c r="N104" s="68"/>
      <c r="O104" s="68"/>
      <c r="P104" s="68"/>
    </row>
    <row r="105" spans="3:16" x14ac:dyDescent="0.3">
      <c r="C105" s="63"/>
      <c r="D105" s="64"/>
      <c r="E105" s="65"/>
      <c r="F105" s="66"/>
      <c r="G105" s="67"/>
      <c r="H105" s="67"/>
      <c r="I105" s="68"/>
      <c r="J105" s="69"/>
      <c r="K105" s="68"/>
      <c r="L105" s="68"/>
      <c r="M105" s="68"/>
      <c r="N105" s="68"/>
      <c r="O105" s="68"/>
      <c r="P105" s="68"/>
    </row>
    <row r="106" spans="3:16" x14ac:dyDescent="0.3">
      <c r="C106" s="63"/>
      <c r="D106" s="64"/>
      <c r="E106" s="65"/>
      <c r="F106" s="66"/>
      <c r="G106" s="67"/>
      <c r="H106" s="67"/>
      <c r="I106" s="68"/>
      <c r="J106" s="69"/>
      <c r="K106" s="68"/>
      <c r="L106" s="68"/>
      <c r="M106" s="68"/>
      <c r="N106" s="68"/>
      <c r="O106" s="68"/>
      <c r="P106" s="68"/>
    </row>
    <row r="107" spans="3:16" x14ac:dyDescent="0.3">
      <c r="C107" s="63"/>
      <c r="D107" s="64"/>
      <c r="E107" s="65"/>
      <c r="F107" s="66"/>
      <c r="G107" s="67"/>
      <c r="H107" s="67"/>
      <c r="I107" s="68"/>
      <c r="J107" s="69"/>
      <c r="K107" s="68"/>
      <c r="L107" s="68"/>
      <c r="M107" s="68"/>
      <c r="N107" s="68"/>
      <c r="O107" s="68"/>
      <c r="P107" s="68"/>
    </row>
    <row r="108" spans="3:16" x14ac:dyDescent="0.3">
      <c r="C108" s="63"/>
      <c r="D108" s="64"/>
      <c r="E108" s="65"/>
      <c r="F108" s="66"/>
      <c r="G108" s="67"/>
      <c r="H108" s="67"/>
      <c r="I108" s="68"/>
      <c r="J108" s="69"/>
      <c r="K108" s="68"/>
      <c r="L108" s="68"/>
      <c r="M108" s="68"/>
      <c r="N108" s="68"/>
      <c r="O108" s="68"/>
      <c r="P108" s="68"/>
    </row>
    <row r="109" spans="3:16" x14ac:dyDescent="0.3">
      <c r="C109" s="63"/>
      <c r="D109" s="64"/>
      <c r="E109" s="65"/>
      <c r="F109" s="66"/>
      <c r="G109" s="67"/>
      <c r="H109" s="67"/>
      <c r="I109" s="68"/>
      <c r="J109" s="69"/>
      <c r="K109" s="68"/>
      <c r="L109" s="68"/>
      <c r="M109" s="68"/>
      <c r="N109" s="68"/>
      <c r="O109" s="68"/>
      <c r="P109" s="68"/>
    </row>
    <row r="110" spans="3:16" x14ac:dyDescent="0.3">
      <c r="C110" s="63"/>
      <c r="D110" s="64"/>
      <c r="E110" s="65"/>
      <c r="F110" s="66"/>
      <c r="G110" s="67"/>
      <c r="H110" s="67"/>
      <c r="I110" s="68"/>
      <c r="J110" s="69"/>
      <c r="K110" s="68"/>
      <c r="L110" s="68"/>
      <c r="M110" s="68"/>
      <c r="N110" s="68"/>
      <c r="O110" s="68"/>
      <c r="P110" s="68"/>
    </row>
    <row r="111" spans="3:16" x14ac:dyDescent="0.3">
      <c r="C111" s="63"/>
      <c r="D111" s="64"/>
      <c r="E111" s="65"/>
      <c r="F111" s="66"/>
      <c r="G111" s="67"/>
      <c r="H111" s="67"/>
      <c r="I111" s="68"/>
      <c r="J111" s="69"/>
      <c r="K111" s="68"/>
      <c r="L111" s="68"/>
      <c r="M111" s="68"/>
      <c r="N111" s="68"/>
      <c r="O111" s="68"/>
      <c r="P111" s="68"/>
    </row>
    <row r="112" spans="3:16" x14ac:dyDescent="0.3">
      <c r="C112" s="63"/>
      <c r="D112" s="64"/>
      <c r="E112" s="65"/>
      <c r="F112" s="66"/>
      <c r="G112" s="67"/>
      <c r="H112" s="67"/>
      <c r="I112" s="68"/>
      <c r="J112" s="69"/>
      <c r="K112" s="68"/>
      <c r="L112" s="68"/>
      <c r="M112" s="68"/>
      <c r="N112" s="68"/>
      <c r="O112" s="68"/>
      <c r="P112" s="68"/>
    </row>
    <row r="113" spans="3:16" x14ac:dyDescent="0.3">
      <c r="C113" s="63"/>
      <c r="D113" s="64"/>
      <c r="E113" s="65"/>
      <c r="F113" s="66"/>
      <c r="G113" s="67"/>
      <c r="H113" s="67"/>
      <c r="I113" s="68"/>
      <c r="J113" s="69"/>
      <c r="K113" s="68"/>
      <c r="L113" s="68"/>
      <c r="M113" s="68"/>
      <c r="N113" s="68"/>
      <c r="O113" s="68"/>
      <c r="P113" s="68"/>
    </row>
    <row r="114" spans="3:16" x14ac:dyDescent="0.3">
      <c r="C114" s="63"/>
      <c r="D114" s="64"/>
      <c r="E114" s="65"/>
      <c r="F114" s="66"/>
      <c r="G114" s="67"/>
      <c r="H114" s="67"/>
      <c r="I114" s="68"/>
      <c r="J114" s="69"/>
      <c r="K114" s="68"/>
      <c r="L114" s="68"/>
      <c r="M114" s="68"/>
      <c r="N114" s="68"/>
      <c r="O114" s="68"/>
      <c r="P114" s="68"/>
    </row>
    <row r="115" spans="3:16" x14ac:dyDescent="0.3">
      <c r="C115" s="63"/>
      <c r="D115" s="64"/>
      <c r="E115" s="65"/>
      <c r="F115" s="66"/>
      <c r="G115" s="67"/>
      <c r="H115" s="67"/>
      <c r="I115" s="68"/>
      <c r="J115" s="69"/>
      <c r="K115" s="68"/>
      <c r="L115" s="68"/>
      <c r="M115" s="68"/>
      <c r="N115" s="68"/>
      <c r="O115" s="68"/>
      <c r="P115" s="68"/>
    </row>
    <row r="116" spans="3:16" x14ac:dyDescent="0.3">
      <c r="C116" s="63"/>
      <c r="D116" s="64"/>
      <c r="E116" s="65"/>
      <c r="F116" s="66"/>
      <c r="G116" s="67"/>
      <c r="H116" s="67"/>
      <c r="I116" s="68"/>
      <c r="J116" s="69"/>
      <c r="K116" s="68"/>
      <c r="L116" s="68"/>
      <c r="M116" s="68"/>
      <c r="N116" s="68"/>
      <c r="O116" s="68"/>
      <c r="P116" s="68"/>
    </row>
    <row r="117" spans="3:16" x14ac:dyDescent="0.3">
      <c r="C117" s="63"/>
      <c r="D117" s="64"/>
      <c r="E117" s="65"/>
      <c r="F117" s="66"/>
      <c r="G117" s="67"/>
      <c r="H117" s="67"/>
      <c r="I117" s="68"/>
      <c r="J117" s="69"/>
      <c r="K117" s="68"/>
      <c r="L117" s="68"/>
      <c r="M117" s="68"/>
      <c r="N117" s="68"/>
      <c r="O117" s="68"/>
      <c r="P117" s="68"/>
    </row>
    <row r="118" spans="3:16" x14ac:dyDescent="0.3">
      <c r="C118" s="63"/>
      <c r="D118" s="64"/>
      <c r="E118" s="65"/>
      <c r="F118" s="66"/>
      <c r="G118" s="67"/>
      <c r="H118" s="67"/>
      <c r="I118" s="68"/>
      <c r="J118" s="69"/>
      <c r="K118" s="68"/>
      <c r="L118" s="68"/>
      <c r="M118" s="68"/>
      <c r="N118" s="68"/>
      <c r="O118" s="68"/>
      <c r="P118" s="68"/>
    </row>
    <row r="119" spans="3:16" x14ac:dyDescent="0.3">
      <c r="C119" s="63"/>
      <c r="D119" s="64"/>
      <c r="E119" s="65"/>
      <c r="F119" s="66"/>
      <c r="G119" s="67"/>
      <c r="H119" s="67"/>
      <c r="I119" s="68"/>
      <c r="J119" s="69"/>
      <c r="K119" s="68"/>
      <c r="L119" s="68"/>
      <c r="M119" s="68"/>
      <c r="N119" s="68"/>
      <c r="O119" s="68"/>
      <c r="P119" s="68"/>
    </row>
    <row r="120" spans="3:16" x14ac:dyDescent="0.3">
      <c r="C120" s="63"/>
      <c r="D120" s="64"/>
      <c r="E120" s="65"/>
      <c r="F120" s="66"/>
      <c r="G120" s="67"/>
      <c r="H120" s="67"/>
      <c r="I120" s="68"/>
      <c r="J120" s="69"/>
      <c r="K120" s="68"/>
      <c r="L120" s="68"/>
      <c r="M120" s="68"/>
      <c r="N120" s="68"/>
      <c r="O120" s="68"/>
      <c r="P120" s="68"/>
    </row>
    <row r="121" spans="3:16" x14ac:dyDescent="0.3">
      <c r="C121" s="63"/>
      <c r="D121" s="64"/>
      <c r="E121" s="65"/>
      <c r="F121" s="66"/>
      <c r="G121" s="67"/>
      <c r="H121" s="67"/>
      <c r="I121" s="68"/>
      <c r="J121" s="69"/>
      <c r="K121" s="68"/>
      <c r="L121" s="68"/>
      <c r="M121" s="68"/>
      <c r="N121" s="68"/>
      <c r="O121" s="68"/>
      <c r="P121" s="68"/>
    </row>
    <row r="122" spans="3:16" x14ac:dyDescent="0.3">
      <c r="C122" s="63"/>
      <c r="D122" s="64"/>
      <c r="E122" s="65"/>
      <c r="F122" s="66"/>
      <c r="G122" s="67"/>
      <c r="H122" s="67"/>
      <c r="I122" s="68"/>
      <c r="J122" s="69"/>
      <c r="K122" s="68"/>
      <c r="L122" s="68"/>
      <c r="M122" s="68"/>
      <c r="N122" s="68"/>
      <c r="O122" s="68"/>
      <c r="P122" s="68"/>
    </row>
    <row r="123" spans="3:16" x14ac:dyDescent="0.3">
      <c r="C123" s="63"/>
      <c r="D123" s="64"/>
      <c r="E123" s="65"/>
      <c r="F123" s="66"/>
      <c r="G123" s="67"/>
      <c r="H123" s="67"/>
      <c r="I123" s="68"/>
      <c r="J123" s="69"/>
      <c r="K123" s="68"/>
      <c r="L123" s="68"/>
      <c r="M123" s="68"/>
      <c r="N123" s="68"/>
      <c r="O123" s="68"/>
      <c r="P123" s="68"/>
    </row>
    <row r="124" spans="3:16" x14ac:dyDescent="0.3">
      <c r="C124" s="63"/>
      <c r="D124" s="64"/>
      <c r="E124" s="65"/>
      <c r="F124" s="66"/>
      <c r="G124" s="67"/>
      <c r="H124" s="67"/>
      <c r="I124" s="68"/>
      <c r="J124" s="69"/>
      <c r="K124" s="68"/>
      <c r="L124" s="68"/>
      <c r="M124" s="68"/>
      <c r="N124" s="68"/>
      <c r="O124" s="68"/>
      <c r="P124" s="68"/>
    </row>
    <row r="125" spans="3:16" x14ac:dyDescent="0.3">
      <c r="C125" s="63"/>
      <c r="D125" s="64"/>
      <c r="E125" s="65"/>
      <c r="F125" s="66"/>
      <c r="G125" s="67"/>
      <c r="H125" s="67"/>
      <c r="I125" s="68"/>
      <c r="J125" s="69"/>
      <c r="K125" s="68"/>
      <c r="L125" s="68"/>
      <c r="M125" s="68"/>
      <c r="N125" s="68"/>
      <c r="O125" s="68"/>
      <c r="P125" s="68"/>
    </row>
    <row r="126" spans="3:16" x14ac:dyDescent="0.3">
      <c r="C126" s="63"/>
      <c r="D126" s="64"/>
      <c r="E126" s="65"/>
      <c r="F126" s="66"/>
      <c r="G126" s="67"/>
      <c r="H126" s="67"/>
      <c r="I126" s="68"/>
      <c r="J126" s="69"/>
      <c r="K126" s="68"/>
      <c r="L126" s="68"/>
      <c r="M126" s="68"/>
      <c r="N126" s="68"/>
      <c r="O126" s="68"/>
      <c r="P126" s="68"/>
    </row>
    <row r="127" spans="3:16" x14ac:dyDescent="0.3">
      <c r="C127" s="63"/>
      <c r="D127" s="64"/>
      <c r="E127" s="65"/>
      <c r="F127" s="66"/>
      <c r="G127" s="67"/>
      <c r="H127" s="67"/>
      <c r="I127" s="68"/>
      <c r="J127" s="69"/>
      <c r="K127" s="68"/>
      <c r="L127" s="68"/>
      <c r="M127" s="68"/>
      <c r="N127" s="68"/>
      <c r="O127" s="68"/>
      <c r="P127" s="68"/>
    </row>
    <row r="128" spans="3:16" x14ac:dyDescent="0.3">
      <c r="C128" s="63"/>
      <c r="D128" s="64"/>
      <c r="E128" s="65"/>
      <c r="F128" s="66"/>
      <c r="G128" s="67"/>
      <c r="H128" s="67"/>
      <c r="I128" s="68"/>
      <c r="J128" s="69"/>
      <c r="K128" s="68"/>
      <c r="L128" s="68"/>
      <c r="M128" s="68"/>
      <c r="N128" s="68"/>
      <c r="O128" s="68"/>
      <c r="P128" s="68"/>
    </row>
    <row r="129" spans="3:16" x14ac:dyDescent="0.3">
      <c r="C129" s="63"/>
      <c r="D129" s="64"/>
      <c r="E129" s="65"/>
      <c r="F129" s="66"/>
      <c r="G129" s="67"/>
      <c r="H129" s="67"/>
      <c r="I129" s="68"/>
      <c r="J129" s="69"/>
      <c r="K129" s="68"/>
      <c r="L129" s="68"/>
      <c r="M129" s="68"/>
      <c r="N129" s="68"/>
      <c r="O129" s="68"/>
      <c r="P129" s="68"/>
    </row>
    <row r="130" spans="3:16" x14ac:dyDescent="0.3">
      <c r="C130" s="63"/>
      <c r="D130" s="64"/>
      <c r="E130" s="65"/>
      <c r="F130" s="66"/>
      <c r="G130" s="67"/>
      <c r="H130" s="67"/>
      <c r="I130" s="68"/>
      <c r="J130" s="69"/>
      <c r="K130" s="68"/>
      <c r="L130" s="68"/>
      <c r="M130" s="68"/>
      <c r="N130" s="68"/>
      <c r="O130" s="68"/>
      <c r="P130" s="68"/>
    </row>
    <row r="131" spans="3:16" x14ac:dyDescent="0.3">
      <c r="C131" s="63"/>
      <c r="D131" s="64"/>
      <c r="E131" s="65"/>
      <c r="F131" s="66"/>
      <c r="G131" s="67"/>
      <c r="H131" s="67"/>
      <c r="I131" s="68"/>
      <c r="J131" s="69"/>
      <c r="K131" s="68"/>
      <c r="L131" s="68"/>
      <c r="M131" s="68"/>
      <c r="N131" s="68"/>
      <c r="O131" s="68"/>
      <c r="P131" s="68"/>
    </row>
    <row r="132" spans="3:16" x14ac:dyDescent="0.3">
      <c r="C132" s="63"/>
      <c r="D132" s="64"/>
      <c r="E132" s="65"/>
      <c r="F132" s="66"/>
      <c r="G132" s="67"/>
      <c r="H132" s="67"/>
      <c r="I132" s="68"/>
      <c r="J132" s="69"/>
      <c r="K132" s="68"/>
      <c r="L132" s="68"/>
      <c r="M132" s="68"/>
      <c r="N132" s="68"/>
      <c r="O132" s="68"/>
      <c r="P132" s="68"/>
    </row>
    <row r="133" spans="3:16" x14ac:dyDescent="0.3">
      <c r="C133" s="56"/>
      <c r="D133" s="57"/>
      <c r="E133" s="58"/>
      <c r="F133" s="59"/>
      <c r="G133" s="60"/>
      <c r="H133" s="60"/>
      <c r="I133" s="61"/>
      <c r="J133" s="62"/>
      <c r="K133" s="61"/>
      <c r="L133" s="61"/>
      <c r="M133" s="61"/>
      <c r="N133" s="61"/>
      <c r="O133" s="61"/>
      <c r="P133" s="61"/>
    </row>
    <row r="134" spans="3:16" x14ac:dyDescent="0.3">
      <c r="C134" s="63"/>
      <c r="D134" s="64"/>
      <c r="E134" s="65"/>
      <c r="F134" s="66"/>
      <c r="G134" s="67"/>
      <c r="H134" s="67"/>
      <c r="I134" s="68"/>
      <c r="J134" s="69"/>
      <c r="K134" s="68"/>
      <c r="L134" s="68"/>
      <c r="M134" s="68"/>
      <c r="N134" s="68"/>
      <c r="O134" s="68"/>
      <c r="P134" s="68"/>
    </row>
    <row r="135" spans="3:16" x14ac:dyDescent="0.3">
      <c r="C135" s="63"/>
      <c r="D135" s="64"/>
      <c r="E135" s="65"/>
      <c r="F135" s="66"/>
      <c r="G135" s="67"/>
      <c r="H135" s="67"/>
      <c r="I135" s="68"/>
      <c r="J135" s="69"/>
      <c r="K135" s="68"/>
      <c r="L135" s="68"/>
      <c r="M135" s="68"/>
      <c r="N135" s="68"/>
      <c r="O135" s="68"/>
      <c r="P135" s="68"/>
    </row>
    <row r="136" spans="3:16" x14ac:dyDescent="0.3">
      <c r="C136" s="63"/>
      <c r="D136" s="64"/>
      <c r="E136" s="65"/>
      <c r="F136" s="66"/>
      <c r="G136" s="67"/>
      <c r="H136" s="67"/>
      <c r="I136" s="68"/>
      <c r="J136" s="69"/>
      <c r="K136" s="68"/>
      <c r="L136" s="68"/>
      <c r="M136" s="68"/>
      <c r="N136" s="68"/>
      <c r="O136" s="68"/>
      <c r="P136" s="68"/>
    </row>
    <row r="137" spans="3:16" x14ac:dyDescent="0.3">
      <c r="C137" s="63"/>
      <c r="D137" s="64"/>
      <c r="E137" s="65"/>
      <c r="F137" s="66"/>
      <c r="G137" s="67"/>
      <c r="H137" s="67"/>
      <c r="I137" s="68"/>
      <c r="J137" s="69"/>
      <c r="K137" s="68"/>
      <c r="L137" s="68"/>
      <c r="M137" s="68"/>
      <c r="N137" s="68"/>
      <c r="O137" s="68"/>
      <c r="P137" s="68"/>
    </row>
    <row r="138" spans="3:16" x14ac:dyDescent="0.3">
      <c r="C138" s="63"/>
      <c r="D138" s="64"/>
      <c r="E138" s="65"/>
      <c r="F138" s="66"/>
      <c r="G138" s="67"/>
      <c r="H138" s="67"/>
      <c r="I138" s="68"/>
      <c r="J138" s="69"/>
      <c r="K138" s="68"/>
      <c r="L138" s="68"/>
      <c r="M138" s="68"/>
      <c r="N138" s="68"/>
      <c r="O138" s="68"/>
      <c r="P138" s="68"/>
    </row>
    <row r="139" spans="3:16" x14ac:dyDescent="0.3">
      <c r="C139" s="63"/>
      <c r="D139" s="64"/>
      <c r="E139" s="65"/>
      <c r="F139" s="66"/>
      <c r="G139" s="67"/>
      <c r="H139" s="67"/>
      <c r="I139" s="68"/>
      <c r="J139" s="69"/>
      <c r="K139" s="68"/>
      <c r="L139" s="68"/>
      <c r="M139" s="68"/>
      <c r="N139" s="68"/>
      <c r="O139" s="68"/>
      <c r="P139" s="68"/>
    </row>
    <row r="140" spans="3:16" x14ac:dyDescent="0.3">
      <c r="C140" s="63"/>
      <c r="D140" s="64"/>
      <c r="E140" s="65"/>
      <c r="F140" s="66"/>
      <c r="G140" s="67"/>
      <c r="H140" s="67"/>
      <c r="I140" s="68"/>
      <c r="J140" s="69"/>
      <c r="K140" s="68"/>
      <c r="L140" s="68"/>
      <c r="M140" s="68"/>
      <c r="N140" s="68"/>
      <c r="O140" s="68"/>
      <c r="P140" s="68"/>
    </row>
    <row r="141" spans="3:16" x14ac:dyDescent="0.3">
      <c r="C141" s="63"/>
      <c r="D141" s="64"/>
      <c r="E141" s="65"/>
      <c r="F141" s="66"/>
      <c r="G141" s="67"/>
      <c r="H141" s="67"/>
      <c r="I141" s="68"/>
      <c r="J141" s="69"/>
      <c r="K141" s="68"/>
      <c r="L141" s="68"/>
      <c r="M141" s="68"/>
      <c r="N141" s="68"/>
      <c r="O141" s="68"/>
      <c r="P141" s="68"/>
    </row>
    <row r="142" spans="3:16" x14ac:dyDescent="0.3">
      <c r="C142" s="63"/>
      <c r="D142" s="64"/>
      <c r="E142" s="65"/>
      <c r="F142" s="66"/>
      <c r="G142" s="67"/>
      <c r="H142" s="67"/>
      <c r="I142" s="68"/>
      <c r="J142" s="69"/>
      <c r="K142" s="68"/>
      <c r="L142" s="68"/>
      <c r="M142" s="68"/>
      <c r="N142" s="68"/>
      <c r="O142" s="68"/>
      <c r="P142" s="68"/>
    </row>
    <row r="143" spans="3:16" x14ac:dyDescent="0.3">
      <c r="C143" s="63"/>
      <c r="D143" s="64"/>
      <c r="E143" s="65"/>
      <c r="F143" s="66"/>
      <c r="G143" s="67"/>
      <c r="H143" s="67"/>
      <c r="I143" s="68"/>
      <c r="J143" s="69"/>
      <c r="K143" s="68"/>
      <c r="L143" s="68"/>
      <c r="M143" s="68"/>
      <c r="N143" s="68"/>
      <c r="O143" s="68"/>
      <c r="P143" s="68"/>
    </row>
    <row r="144" spans="3:16" x14ac:dyDescent="0.3">
      <c r="C144" s="63"/>
      <c r="D144" s="64"/>
      <c r="E144" s="65"/>
      <c r="F144" s="66"/>
      <c r="G144" s="67"/>
      <c r="H144" s="67"/>
      <c r="I144" s="68"/>
      <c r="J144" s="69"/>
      <c r="K144" s="68"/>
      <c r="L144" s="68"/>
      <c r="M144" s="68"/>
      <c r="N144" s="68"/>
      <c r="O144" s="68"/>
      <c r="P144" s="68"/>
    </row>
    <row r="145" spans="3:16" x14ac:dyDescent="0.3">
      <c r="C145" s="63"/>
      <c r="D145" s="64"/>
      <c r="E145" s="65"/>
      <c r="F145" s="66"/>
      <c r="G145" s="67"/>
      <c r="H145" s="67"/>
      <c r="I145" s="68"/>
      <c r="J145" s="69"/>
      <c r="K145" s="68"/>
      <c r="L145" s="68"/>
      <c r="M145" s="68"/>
      <c r="N145" s="68"/>
      <c r="O145" s="68"/>
      <c r="P145" s="68"/>
    </row>
    <row r="146" spans="3:16" x14ac:dyDescent="0.3">
      <c r="C146" s="63"/>
      <c r="D146" s="64"/>
      <c r="E146" s="65"/>
      <c r="F146" s="66"/>
      <c r="G146" s="67"/>
      <c r="H146" s="67"/>
      <c r="I146" s="68"/>
      <c r="J146" s="69"/>
      <c r="K146" s="68"/>
      <c r="L146" s="68"/>
      <c r="M146" s="68"/>
      <c r="N146" s="68"/>
      <c r="O146" s="68"/>
      <c r="P146" s="68"/>
    </row>
    <row r="147" spans="3:16" x14ac:dyDescent="0.3">
      <c r="C147" s="56"/>
      <c r="D147" s="57"/>
      <c r="E147" s="58"/>
      <c r="F147" s="59"/>
      <c r="G147" s="60"/>
      <c r="H147" s="60"/>
      <c r="I147" s="61"/>
      <c r="J147" s="62"/>
      <c r="K147" s="61"/>
      <c r="L147" s="61"/>
      <c r="M147" s="61"/>
      <c r="N147" s="61"/>
      <c r="O147" s="61"/>
      <c r="P147" s="61"/>
    </row>
    <row r="148" spans="3:16" x14ac:dyDescent="0.3">
      <c r="C148" s="63"/>
      <c r="D148" s="64"/>
      <c r="E148" s="65"/>
      <c r="F148" s="66"/>
      <c r="G148" s="67"/>
      <c r="H148" s="67"/>
      <c r="I148" s="68"/>
      <c r="J148" s="69"/>
      <c r="K148" s="68"/>
      <c r="L148" s="68"/>
      <c r="M148" s="68"/>
      <c r="N148" s="68"/>
      <c r="O148" s="68"/>
      <c r="P148" s="68"/>
    </row>
    <row r="149" spans="3:16" x14ac:dyDescent="0.3">
      <c r="C149" s="63"/>
      <c r="D149" s="64"/>
      <c r="E149" s="65"/>
      <c r="F149" s="66"/>
      <c r="G149" s="67"/>
      <c r="H149" s="67"/>
      <c r="I149" s="68"/>
      <c r="J149" s="69"/>
      <c r="K149" s="68"/>
      <c r="L149" s="68"/>
      <c r="M149" s="68"/>
      <c r="N149" s="68"/>
      <c r="O149" s="68"/>
      <c r="P149" s="68"/>
    </row>
    <row r="150" spans="3:16" x14ac:dyDescent="0.3">
      <c r="C150" s="63"/>
      <c r="D150" s="64"/>
      <c r="E150" s="65"/>
      <c r="F150" s="66"/>
      <c r="G150" s="67"/>
      <c r="H150" s="67"/>
      <c r="I150" s="68"/>
      <c r="J150" s="69"/>
      <c r="K150" s="68"/>
      <c r="L150" s="68"/>
      <c r="M150" s="68"/>
      <c r="N150" s="68"/>
      <c r="O150" s="68"/>
      <c r="P150" s="68"/>
    </row>
    <row r="151" spans="3:16" x14ac:dyDescent="0.3">
      <c r="C151" s="63"/>
      <c r="D151" s="64"/>
      <c r="E151" s="65"/>
      <c r="F151" s="66"/>
      <c r="G151" s="67"/>
      <c r="H151" s="67"/>
      <c r="I151" s="68"/>
      <c r="J151" s="69"/>
      <c r="K151" s="68"/>
      <c r="L151" s="68"/>
      <c r="M151" s="68"/>
      <c r="N151" s="68"/>
      <c r="O151" s="68"/>
      <c r="P151" s="68"/>
    </row>
    <row r="152" spans="3:16" x14ac:dyDescent="0.3">
      <c r="C152" s="63"/>
      <c r="D152" s="64"/>
      <c r="E152" s="65"/>
      <c r="F152" s="66"/>
      <c r="G152" s="67"/>
      <c r="H152" s="67"/>
      <c r="I152" s="68"/>
      <c r="J152" s="69"/>
      <c r="K152" s="68"/>
      <c r="L152" s="68"/>
      <c r="M152" s="68"/>
      <c r="N152" s="68"/>
      <c r="O152" s="68"/>
      <c r="P152" s="68"/>
    </row>
    <row r="153" spans="3:16" x14ac:dyDescent="0.3">
      <c r="C153" s="63"/>
      <c r="D153" s="64"/>
      <c r="E153" s="65"/>
      <c r="F153" s="66"/>
      <c r="G153" s="67"/>
      <c r="H153" s="67"/>
      <c r="I153" s="68"/>
      <c r="J153" s="69"/>
      <c r="K153" s="68"/>
      <c r="L153" s="68"/>
      <c r="M153" s="68"/>
      <c r="N153" s="68"/>
      <c r="O153" s="68"/>
      <c r="P153" s="68"/>
    </row>
    <row r="154" spans="3:16" x14ac:dyDescent="0.3">
      <c r="C154" s="63"/>
      <c r="D154" s="64"/>
      <c r="E154" s="65"/>
      <c r="F154" s="66"/>
      <c r="G154" s="67"/>
      <c r="H154" s="67"/>
      <c r="I154" s="68"/>
      <c r="J154" s="69"/>
      <c r="K154" s="68"/>
      <c r="L154" s="68"/>
      <c r="M154" s="68"/>
      <c r="N154" s="68"/>
      <c r="O154" s="68"/>
      <c r="P154" s="68"/>
    </row>
    <row r="155" spans="3:16" x14ac:dyDescent="0.3">
      <c r="C155" s="63"/>
      <c r="D155" s="64"/>
      <c r="E155" s="65"/>
      <c r="F155" s="66"/>
      <c r="G155" s="67"/>
      <c r="H155" s="67"/>
      <c r="I155" s="68"/>
      <c r="J155" s="69"/>
      <c r="K155" s="68"/>
      <c r="L155" s="68"/>
      <c r="M155" s="68"/>
      <c r="N155" s="68"/>
      <c r="O155" s="68"/>
      <c r="P155" s="68"/>
    </row>
    <row r="156" spans="3:16" x14ac:dyDescent="0.3">
      <c r="C156" s="63"/>
      <c r="D156" s="64"/>
      <c r="E156" s="65"/>
      <c r="F156" s="66"/>
      <c r="G156" s="67"/>
      <c r="H156" s="67"/>
      <c r="I156" s="68"/>
      <c r="J156" s="69"/>
      <c r="K156" s="68"/>
      <c r="L156" s="68"/>
      <c r="M156" s="68"/>
      <c r="N156" s="68"/>
      <c r="O156" s="68"/>
      <c r="P156" s="68"/>
    </row>
    <row r="157" spans="3:16" x14ac:dyDescent="0.3">
      <c r="C157" s="63"/>
      <c r="D157" s="64"/>
      <c r="E157" s="65"/>
      <c r="F157" s="66"/>
      <c r="G157" s="67"/>
      <c r="H157" s="67"/>
      <c r="I157" s="68"/>
      <c r="J157" s="69"/>
      <c r="K157" s="68"/>
      <c r="L157" s="68"/>
      <c r="M157" s="68"/>
      <c r="N157" s="68"/>
      <c r="O157" s="68"/>
      <c r="P157" s="68"/>
    </row>
    <row r="158" spans="3:16" x14ac:dyDescent="0.3">
      <c r="C158" s="63"/>
      <c r="D158" s="64"/>
      <c r="E158" s="65"/>
      <c r="F158" s="66"/>
      <c r="G158" s="67"/>
      <c r="H158" s="67"/>
      <c r="I158" s="68"/>
      <c r="J158" s="69"/>
      <c r="K158" s="68"/>
      <c r="L158" s="68"/>
      <c r="M158" s="68"/>
      <c r="N158" s="68"/>
      <c r="O158" s="68"/>
      <c r="P158" s="68"/>
    </row>
    <row r="159" spans="3:16" x14ac:dyDescent="0.3">
      <c r="C159" s="63"/>
      <c r="D159" s="64"/>
      <c r="E159" s="65"/>
      <c r="F159" s="66"/>
      <c r="G159" s="67"/>
      <c r="H159" s="67"/>
      <c r="I159" s="68"/>
      <c r="J159" s="69"/>
      <c r="K159" s="68"/>
      <c r="L159" s="68"/>
      <c r="M159" s="68"/>
      <c r="N159" s="68"/>
      <c r="O159" s="68"/>
      <c r="P159" s="68"/>
    </row>
    <row r="160" spans="3:16" x14ac:dyDescent="0.3">
      <c r="C160" s="63"/>
      <c r="D160" s="64"/>
      <c r="E160" s="65"/>
      <c r="F160" s="66"/>
      <c r="G160" s="67"/>
      <c r="H160" s="67"/>
      <c r="I160" s="68"/>
      <c r="J160" s="69"/>
      <c r="K160" s="68"/>
      <c r="L160" s="68"/>
      <c r="M160" s="68"/>
      <c r="N160" s="68"/>
      <c r="O160" s="68"/>
      <c r="P160" s="68"/>
    </row>
    <row r="161" spans="3:16" x14ac:dyDescent="0.3">
      <c r="C161" s="63"/>
      <c r="D161" s="64"/>
      <c r="E161" s="65"/>
      <c r="F161" s="66"/>
      <c r="G161" s="67"/>
      <c r="H161" s="67"/>
      <c r="I161" s="68"/>
      <c r="J161" s="69"/>
      <c r="K161" s="68"/>
      <c r="L161" s="68"/>
      <c r="M161" s="68"/>
      <c r="N161" s="68"/>
      <c r="O161" s="68"/>
      <c r="P161" s="68"/>
    </row>
    <row r="162" spans="3:16" x14ac:dyDescent="0.3">
      <c r="C162" s="63"/>
      <c r="D162" s="64"/>
      <c r="E162" s="65"/>
      <c r="F162" s="66"/>
      <c r="G162" s="67"/>
      <c r="H162" s="67"/>
      <c r="I162" s="68"/>
      <c r="J162" s="69"/>
      <c r="K162" s="68"/>
      <c r="L162" s="68"/>
      <c r="M162" s="68"/>
      <c r="N162" s="68"/>
      <c r="O162" s="68"/>
      <c r="P162" s="68"/>
    </row>
    <row r="163" spans="3:16" x14ac:dyDescent="0.3">
      <c r="C163" s="63"/>
      <c r="D163" s="64"/>
      <c r="E163" s="65"/>
      <c r="F163" s="66"/>
      <c r="G163" s="67"/>
      <c r="H163" s="67"/>
      <c r="I163" s="68"/>
      <c r="J163" s="69"/>
      <c r="K163" s="68"/>
      <c r="L163" s="68"/>
      <c r="M163" s="68"/>
      <c r="N163" s="68"/>
      <c r="O163" s="68"/>
      <c r="P163" s="68"/>
    </row>
    <row r="164" spans="3:16" x14ac:dyDescent="0.3">
      <c r="C164" s="63"/>
      <c r="D164" s="64"/>
      <c r="E164" s="65"/>
      <c r="F164" s="66"/>
      <c r="G164" s="67"/>
      <c r="H164" s="67"/>
      <c r="I164" s="68"/>
      <c r="J164" s="69"/>
      <c r="K164" s="68"/>
      <c r="L164" s="68"/>
      <c r="M164" s="68"/>
      <c r="N164" s="68"/>
      <c r="O164" s="68"/>
      <c r="P164" s="68"/>
    </row>
    <row r="165" spans="3:16" x14ac:dyDescent="0.3">
      <c r="C165" s="63"/>
      <c r="D165" s="64"/>
      <c r="E165" s="65"/>
      <c r="F165" s="66"/>
      <c r="G165" s="67"/>
      <c r="H165" s="67"/>
      <c r="I165" s="68"/>
      <c r="J165" s="69"/>
      <c r="K165" s="68"/>
      <c r="L165" s="68"/>
      <c r="M165" s="68"/>
      <c r="N165" s="68"/>
      <c r="O165" s="68"/>
      <c r="P165" s="68"/>
    </row>
    <row r="166" spans="3:16" x14ac:dyDescent="0.3">
      <c r="C166" s="63"/>
      <c r="D166" s="64"/>
      <c r="E166" s="65"/>
      <c r="F166" s="66"/>
      <c r="G166" s="67"/>
      <c r="H166" s="67"/>
      <c r="I166" s="68"/>
      <c r="J166" s="69"/>
      <c r="K166" s="68"/>
      <c r="L166" s="68"/>
      <c r="M166" s="68"/>
      <c r="N166" s="68"/>
      <c r="O166" s="68"/>
      <c r="P166" s="68"/>
    </row>
    <row r="167" spans="3:16" x14ac:dyDescent="0.3">
      <c r="C167" s="63"/>
      <c r="D167" s="64"/>
      <c r="E167" s="65"/>
      <c r="F167" s="66"/>
      <c r="G167" s="67"/>
      <c r="H167" s="67"/>
      <c r="I167" s="68"/>
      <c r="J167" s="69"/>
      <c r="K167" s="68"/>
      <c r="L167" s="68"/>
      <c r="M167" s="68"/>
      <c r="N167" s="68"/>
      <c r="O167" s="68"/>
      <c r="P167" s="68"/>
    </row>
    <row r="168" spans="3:16" x14ac:dyDescent="0.3">
      <c r="C168" s="63"/>
      <c r="D168" s="64"/>
      <c r="E168" s="65"/>
      <c r="F168" s="66"/>
      <c r="G168" s="67"/>
      <c r="H168" s="67"/>
      <c r="I168" s="68"/>
      <c r="J168" s="69"/>
      <c r="K168" s="68"/>
      <c r="L168" s="68"/>
      <c r="M168" s="68"/>
      <c r="N168" s="68"/>
      <c r="O168" s="68"/>
      <c r="P168" s="68"/>
    </row>
    <row r="169" spans="3:16" x14ac:dyDescent="0.3">
      <c r="C169" s="63"/>
      <c r="D169" s="64"/>
      <c r="E169" s="65"/>
      <c r="F169" s="66"/>
      <c r="G169" s="67"/>
      <c r="H169" s="67"/>
      <c r="I169" s="68"/>
      <c r="J169" s="69"/>
      <c r="K169" s="68"/>
      <c r="L169" s="68"/>
      <c r="M169" s="68"/>
      <c r="N169" s="68"/>
      <c r="O169" s="68"/>
      <c r="P169" s="68"/>
    </row>
    <row r="170" spans="3:16" x14ac:dyDescent="0.3">
      <c r="C170" s="63"/>
      <c r="D170" s="64"/>
      <c r="E170" s="65"/>
      <c r="F170" s="66"/>
      <c r="G170" s="67"/>
      <c r="H170" s="67"/>
      <c r="I170" s="68"/>
      <c r="J170" s="69"/>
      <c r="K170" s="68"/>
      <c r="L170" s="68"/>
      <c r="M170" s="68"/>
      <c r="N170" s="68"/>
      <c r="O170" s="68"/>
      <c r="P170" s="68"/>
    </row>
    <row r="171" spans="3:16" x14ac:dyDescent="0.3">
      <c r="C171" s="63"/>
      <c r="D171" s="64"/>
      <c r="E171" s="65"/>
      <c r="F171" s="66"/>
      <c r="G171" s="67"/>
      <c r="H171" s="67"/>
      <c r="I171" s="68"/>
      <c r="J171" s="69"/>
      <c r="K171" s="68"/>
      <c r="L171" s="68"/>
      <c r="M171" s="68"/>
      <c r="N171" s="68"/>
      <c r="O171" s="68"/>
      <c r="P171" s="68"/>
    </row>
    <row r="172" spans="3:16" x14ac:dyDescent="0.3">
      <c r="C172" s="63"/>
      <c r="D172" s="64"/>
      <c r="E172" s="65"/>
      <c r="F172" s="66"/>
      <c r="G172" s="67"/>
      <c r="H172" s="67"/>
      <c r="I172" s="68"/>
      <c r="J172" s="69"/>
      <c r="K172" s="68"/>
      <c r="L172" s="68"/>
      <c r="M172" s="68"/>
      <c r="N172" s="68"/>
      <c r="O172" s="68"/>
      <c r="P172" s="68"/>
    </row>
    <row r="173" spans="3:16" x14ac:dyDescent="0.3">
      <c r="C173" s="63"/>
      <c r="D173" s="64"/>
      <c r="E173" s="65"/>
      <c r="F173" s="66"/>
      <c r="G173" s="67"/>
      <c r="H173" s="67"/>
      <c r="I173" s="68"/>
      <c r="J173" s="69"/>
      <c r="K173" s="68"/>
      <c r="L173" s="68"/>
      <c r="M173" s="68"/>
      <c r="N173" s="68"/>
      <c r="O173" s="68"/>
      <c r="P173" s="68"/>
    </row>
    <row r="174" spans="3:16" x14ac:dyDescent="0.3">
      <c r="C174" s="63"/>
      <c r="D174" s="64"/>
      <c r="E174" s="65"/>
      <c r="F174" s="66"/>
      <c r="G174" s="67"/>
      <c r="H174" s="67"/>
      <c r="I174" s="68"/>
      <c r="J174" s="69"/>
      <c r="K174" s="68"/>
      <c r="L174" s="68"/>
      <c r="M174" s="68"/>
      <c r="N174" s="68"/>
      <c r="O174" s="68"/>
      <c r="P174" s="68"/>
    </row>
    <row r="175" spans="3:16" x14ac:dyDescent="0.3">
      <c r="C175" s="63"/>
      <c r="D175" s="64"/>
      <c r="E175" s="65"/>
      <c r="F175" s="66"/>
      <c r="G175" s="67"/>
      <c r="H175" s="67"/>
      <c r="I175" s="68"/>
      <c r="J175" s="69"/>
      <c r="K175" s="68"/>
      <c r="L175" s="68"/>
      <c r="M175" s="68"/>
      <c r="N175" s="68"/>
      <c r="O175" s="68"/>
      <c r="P175" s="68"/>
    </row>
    <row r="176" spans="3:16" x14ac:dyDescent="0.3">
      <c r="C176" s="63"/>
      <c r="D176" s="64"/>
      <c r="E176" s="65"/>
      <c r="F176" s="66"/>
      <c r="G176" s="67"/>
      <c r="H176" s="67"/>
      <c r="I176" s="68"/>
      <c r="J176" s="69"/>
      <c r="K176" s="68"/>
      <c r="L176" s="68"/>
      <c r="M176" s="68"/>
      <c r="N176" s="68"/>
      <c r="O176" s="68"/>
      <c r="P176" s="68"/>
    </row>
    <row r="177" spans="3:16" x14ac:dyDescent="0.3">
      <c r="C177" s="63"/>
      <c r="D177" s="64"/>
      <c r="E177" s="65"/>
      <c r="F177" s="66"/>
      <c r="G177" s="67"/>
      <c r="H177" s="67"/>
      <c r="I177" s="68"/>
      <c r="J177" s="69"/>
      <c r="K177" s="68"/>
      <c r="L177" s="68"/>
      <c r="M177" s="68"/>
      <c r="N177" s="68"/>
      <c r="O177" s="68"/>
      <c r="P177" s="68"/>
    </row>
    <row r="178" spans="3:16" x14ac:dyDescent="0.3">
      <c r="C178" s="63"/>
      <c r="D178" s="64"/>
      <c r="E178" s="65"/>
      <c r="F178" s="66"/>
      <c r="G178" s="67"/>
      <c r="H178" s="67"/>
      <c r="I178" s="68"/>
      <c r="J178" s="69"/>
      <c r="K178" s="68"/>
      <c r="L178" s="68"/>
      <c r="M178" s="68"/>
      <c r="N178" s="68"/>
      <c r="O178" s="68"/>
      <c r="P178" s="68"/>
    </row>
    <row r="179" spans="3:16" x14ac:dyDescent="0.3">
      <c r="C179" s="63"/>
      <c r="D179" s="64"/>
      <c r="E179" s="65"/>
      <c r="F179" s="66"/>
      <c r="G179" s="67"/>
      <c r="H179" s="67"/>
      <c r="I179" s="68"/>
      <c r="J179" s="69"/>
      <c r="K179" s="68"/>
      <c r="L179" s="68"/>
      <c r="M179" s="68"/>
      <c r="N179" s="68"/>
      <c r="O179" s="68"/>
      <c r="P179" s="68"/>
    </row>
    <row r="180" spans="3:16" x14ac:dyDescent="0.3">
      <c r="C180" s="63"/>
      <c r="D180" s="64"/>
      <c r="E180" s="65"/>
      <c r="F180" s="66"/>
      <c r="G180" s="67"/>
      <c r="H180" s="67"/>
      <c r="I180" s="68"/>
      <c r="J180" s="69"/>
      <c r="K180" s="68"/>
      <c r="L180" s="68"/>
      <c r="M180" s="68"/>
      <c r="N180" s="68"/>
      <c r="O180" s="68"/>
      <c r="P180" s="68"/>
    </row>
    <row r="181" spans="3:16" x14ac:dyDescent="0.3">
      <c r="C181" s="63"/>
      <c r="D181" s="64"/>
      <c r="E181" s="65"/>
      <c r="F181" s="66"/>
      <c r="G181" s="67"/>
      <c r="H181" s="67"/>
      <c r="I181" s="68"/>
      <c r="J181" s="69"/>
      <c r="K181" s="68"/>
      <c r="L181" s="68"/>
      <c r="M181" s="68"/>
      <c r="N181" s="68"/>
      <c r="O181" s="68"/>
      <c r="P181" s="68"/>
    </row>
    <row r="182" spans="3:16" x14ac:dyDescent="0.3">
      <c r="C182" s="63"/>
      <c r="D182" s="64"/>
      <c r="E182" s="65"/>
      <c r="F182" s="66"/>
      <c r="G182" s="67"/>
      <c r="H182" s="67"/>
      <c r="I182" s="68"/>
      <c r="J182" s="69"/>
      <c r="K182" s="68"/>
      <c r="L182" s="68"/>
      <c r="M182" s="68"/>
      <c r="N182" s="68"/>
      <c r="O182" s="68"/>
      <c r="P182" s="68"/>
    </row>
    <row r="183" spans="3:16" x14ac:dyDescent="0.3">
      <c r="C183" s="63"/>
      <c r="D183" s="64"/>
      <c r="E183" s="65"/>
      <c r="F183" s="66"/>
      <c r="G183" s="67"/>
      <c r="H183" s="67"/>
      <c r="I183" s="68"/>
      <c r="J183" s="69"/>
      <c r="K183" s="68"/>
      <c r="L183" s="68"/>
      <c r="M183" s="68"/>
      <c r="N183" s="68"/>
      <c r="O183" s="68"/>
      <c r="P183" s="68"/>
    </row>
    <row r="184" spans="3:16" x14ac:dyDescent="0.3">
      <c r="C184" s="63"/>
      <c r="D184" s="64"/>
      <c r="E184" s="65"/>
      <c r="F184" s="66"/>
      <c r="G184" s="67"/>
      <c r="H184" s="67"/>
      <c r="I184" s="68"/>
      <c r="J184" s="69"/>
      <c r="K184" s="68"/>
      <c r="L184" s="68"/>
      <c r="M184" s="68"/>
      <c r="N184" s="68"/>
      <c r="O184" s="68"/>
      <c r="P184" s="68"/>
    </row>
    <row r="185" spans="3:16" x14ac:dyDescent="0.3">
      <c r="C185" s="56"/>
      <c r="D185" s="57"/>
      <c r="E185" s="58"/>
      <c r="F185" s="59"/>
      <c r="G185" s="60"/>
      <c r="H185" s="60"/>
      <c r="I185" s="61"/>
      <c r="J185" s="62"/>
      <c r="K185" s="61"/>
      <c r="L185" s="61"/>
      <c r="M185" s="61"/>
      <c r="N185" s="61"/>
      <c r="O185" s="61"/>
      <c r="P185" s="61"/>
    </row>
    <row r="186" spans="3:16" x14ac:dyDescent="0.3">
      <c r="C186" s="63"/>
      <c r="D186" s="64"/>
      <c r="E186" s="65"/>
      <c r="F186" s="66"/>
      <c r="G186" s="67"/>
      <c r="H186" s="67"/>
      <c r="I186" s="68"/>
      <c r="J186" s="69"/>
      <c r="K186" s="68"/>
      <c r="L186" s="68"/>
      <c r="M186" s="68"/>
      <c r="N186" s="68"/>
      <c r="O186" s="68"/>
      <c r="P186" s="68"/>
    </row>
    <row r="187" spans="3:16" x14ac:dyDescent="0.3">
      <c r="C187" s="63"/>
      <c r="D187" s="64"/>
      <c r="E187" s="65"/>
      <c r="F187" s="66"/>
      <c r="G187" s="67"/>
      <c r="H187" s="67"/>
      <c r="I187" s="68"/>
      <c r="J187" s="69"/>
      <c r="K187" s="68"/>
      <c r="L187" s="68"/>
      <c r="M187" s="68"/>
      <c r="N187" s="68"/>
      <c r="O187" s="68"/>
      <c r="P187" s="68"/>
    </row>
    <row r="188" spans="3:16" x14ac:dyDescent="0.3">
      <c r="C188" s="63"/>
      <c r="D188" s="64"/>
      <c r="E188" s="65"/>
      <c r="F188" s="66"/>
      <c r="G188" s="67"/>
      <c r="H188" s="67"/>
      <c r="I188" s="68"/>
      <c r="J188" s="69"/>
      <c r="K188" s="68"/>
      <c r="L188" s="68"/>
      <c r="M188" s="68"/>
      <c r="N188" s="68"/>
      <c r="O188" s="68"/>
      <c r="P188" s="68"/>
    </row>
    <row r="189" spans="3:16" x14ac:dyDescent="0.3">
      <c r="C189" s="63"/>
      <c r="D189" s="64"/>
      <c r="E189" s="65"/>
      <c r="F189" s="66"/>
      <c r="G189" s="67"/>
      <c r="H189" s="67"/>
      <c r="I189" s="68"/>
      <c r="J189" s="69"/>
      <c r="K189" s="68"/>
      <c r="L189" s="68"/>
      <c r="M189" s="68"/>
      <c r="N189" s="68"/>
      <c r="O189" s="68"/>
      <c r="P189" s="68"/>
    </row>
    <row r="190" spans="3:16" x14ac:dyDescent="0.3">
      <c r="C190" s="63"/>
      <c r="D190" s="64"/>
      <c r="E190" s="65"/>
      <c r="F190" s="66"/>
      <c r="G190" s="67"/>
      <c r="H190" s="67"/>
      <c r="I190" s="68"/>
      <c r="J190" s="69"/>
      <c r="K190" s="68"/>
      <c r="L190" s="68"/>
      <c r="M190" s="68"/>
      <c r="N190" s="68"/>
      <c r="O190" s="68"/>
      <c r="P190" s="68"/>
    </row>
    <row r="191" spans="3:16" x14ac:dyDescent="0.3">
      <c r="C191" s="63"/>
      <c r="D191" s="64"/>
      <c r="E191" s="65"/>
      <c r="F191" s="66"/>
      <c r="G191" s="67"/>
      <c r="H191" s="67"/>
      <c r="I191" s="68"/>
      <c r="J191" s="69"/>
      <c r="K191" s="68"/>
      <c r="L191" s="68"/>
      <c r="M191" s="68"/>
      <c r="N191" s="68"/>
      <c r="O191" s="68"/>
      <c r="P191" s="68"/>
    </row>
    <row r="192" spans="3:16" x14ac:dyDescent="0.3">
      <c r="C192" s="63"/>
      <c r="D192" s="64"/>
      <c r="E192" s="65"/>
      <c r="F192" s="66"/>
      <c r="G192" s="67"/>
      <c r="H192" s="67"/>
      <c r="I192" s="68"/>
      <c r="J192" s="69"/>
      <c r="K192" s="68"/>
      <c r="L192" s="68"/>
      <c r="M192" s="68"/>
      <c r="N192" s="68"/>
      <c r="O192" s="68"/>
      <c r="P192" s="68"/>
    </row>
    <row r="193" spans="3:16" x14ac:dyDescent="0.3">
      <c r="C193" s="63"/>
      <c r="D193" s="64"/>
      <c r="E193" s="65"/>
      <c r="F193" s="66"/>
      <c r="G193" s="67"/>
      <c r="H193" s="67"/>
      <c r="I193" s="68"/>
      <c r="J193" s="69"/>
      <c r="K193" s="68"/>
      <c r="L193" s="68"/>
      <c r="M193" s="68"/>
      <c r="N193" s="68"/>
      <c r="O193" s="68"/>
      <c r="P193" s="68"/>
    </row>
    <row r="194" spans="3:16" x14ac:dyDescent="0.3">
      <c r="C194" s="63"/>
      <c r="D194" s="64"/>
      <c r="E194" s="65"/>
      <c r="F194" s="66"/>
      <c r="G194" s="67"/>
      <c r="H194" s="67"/>
      <c r="I194" s="68"/>
      <c r="J194" s="69"/>
      <c r="K194" s="68"/>
      <c r="L194" s="68"/>
      <c r="M194" s="68"/>
      <c r="N194" s="68"/>
      <c r="O194" s="68"/>
      <c r="P194" s="68"/>
    </row>
    <row r="195" spans="3:16" x14ac:dyDescent="0.3">
      <c r="C195" s="63"/>
      <c r="D195" s="64"/>
      <c r="E195" s="65"/>
      <c r="F195" s="66"/>
      <c r="G195" s="67"/>
      <c r="H195" s="67"/>
      <c r="I195" s="68"/>
      <c r="J195" s="69"/>
      <c r="K195" s="68"/>
      <c r="L195" s="68"/>
      <c r="M195" s="68"/>
      <c r="N195" s="68"/>
      <c r="O195" s="68"/>
      <c r="P195" s="68"/>
    </row>
    <row r="196" spans="3:16" x14ac:dyDescent="0.3">
      <c r="C196" s="63"/>
      <c r="D196" s="64"/>
      <c r="E196" s="65"/>
      <c r="F196" s="66"/>
      <c r="G196" s="67"/>
      <c r="H196" s="67"/>
      <c r="I196" s="68"/>
      <c r="J196" s="69"/>
      <c r="K196" s="68"/>
      <c r="L196" s="68"/>
      <c r="M196" s="68"/>
      <c r="N196" s="68"/>
      <c r="O196" s="68"/>
      <c r="P196" s="68"/>
    </row>
    <row r="197" spans="3:16" x14ac:dyDescent="0.3">
      <c r="C197" s="63"/>
      <c r="D197" s="64"/>
      <c r="E197" s="65"/>
      <c r="F197" s="66"/>
      <c r="G197" s="67"/>
      <c r="H197" s="67"/>
      <c r="I197" s="68"/>
      <c r="J197" s="69"/>
      <c r="K197" s="68"/>
      <c r="L197" s="68"/>
      <c r="M197" s="68"/>
      <c r="N197" s="68"/>
      <c r="O197" s="68"/>
      <c r="P197" s="68"/>
    </row>
    <row r="198" spans="3:16" x14ac:dyDescent="0.3">
      <c r="C198" s="63"/>
      <c r="D198" s="64"/>
      <c r="E198" s="65"/>
      <c r="F198" s="66"/>
      <c r="G198" s="67"/>
      <c r="H198" s="67"/>
      <c r="I198" s="68"/>
      <c r="J198" s="69"/>
      <c r="K198" s="68"/>
      <c r="L198" s="68"/>
      <c r="M198" s="68"/>
      <c r="N198" s="68"/>
      <c r="O198" s="68"/>
      <c r="P198" s="68"/>
    </row>
    <row r="199" spans="3:16" x14ac:dyDescent="0.3">
      <c r="C199" s="56"/>
      <c r="D199" s="57"/>
      <c r="E199" s="58"/>
      <c r="F199" s="59"/>
      <c r="G199" s="60"/>
      <c r="H199" s="60"/>
      <c r="I199" s="61"/>
      <c r="J199" s="62"/>
      <c r="K199" s="61"/>
      <c r="L199" s="61"/>
      <c r="M199" s="61"/>
      <c r="N199" s="61"/>
      <c r="O199" s="61"/>
      <c r="P199" s="61"/>
    </row>
    <row r="200" spans="3:16" x14ac:dyDescent="0.3">
      <c r="C200" s="63"/>
      <c r="D200" s="64"/>
      <c r="E200" s="65"/>
      <c r="F200" s="66"/>
      <c r="G200" s="67"/>
      <c r="H200" s="67"/>
      <c r="I200" s="68"/>
      <c r="J200" s="69"/>
      <c r="K200" s="68"/>
      <c r="L200" s="68"/>
      <c r="M200" s="68"/>
      <c r="N200" s="68"/>
      <c r="O200" s="68"/>
      <c r="P200" s="68"/>
    </row>
    <row r="201" spans="3:16" x14ac:dyDescent="0.3">
      <c r="C201" s="63"/>
      <c r="D201" s="64"/>
      <c r="E201" s="65"/>
      <c r="F201" s="66"/>
      <c r="G201" s="67"/>
      <c r="H201" s="67"/>
      <c r="I201" s="68"/>
      <c r="J201" s="69"/>
      <c r="K201" s="68"/>
      <c r="L201" s="68"/>
      <c r="M201" s="68"/>
      <c r="N201" s="68"/>
      <c r="O201" s="68"/>
      <c r="P201" s="68"/>
    </row>
  </sheetData>
  <autoFilter ref="C16:P24" xr:uid="{00000000-0009-0000-0000-00000E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31745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31745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F7329-A6A6-44F4-9A7D-EFEC93758423}">
  <sheetPr codeName="Metrado16" filterMode="1"/>
  <dimension ref="A1:W214"/>
  <sheetViews>
    <sheetView view="pageBreakPreview" topLeftCell="A19" zoomScaleNormal="85" zoomScaleSheetLayoutView="100" workbookViewId="0">
      <selection activeCell="D60" sqref="D60"/>
    </sheetView>
  </sheetViews>
  <sheetFormatPr baseColWidth="10" defaultColWidth="11.44140625" defaultRowHeight="10.199999999999999" x14ac:dyDescent="0.3"/>
  <cols>
    <col min="1" max="1" width="3.88671875" style="104" customWidth="1"/>
    <col min="2" max="2" width="1.44140625" style="104" customWidth="1"/>
    <col min="3" max="3" width="9.88671875" style="104" customWidth="1"/>
    <col min="4" max="4" width="39.6640625" style="214" customWidth="1"/>
    <col min="5" max="5" width="3.33203125" style="215" bestFit="1" customWidth="1"/>
    <col min="6" max="6" width="3.88671875" style="215" customWidth="1"/>
    <col min="7" max="7" width="6.5546875" style="216" customWidth="1"/>
    <col min="8" max="9" width="5.5546875" style="216" customWidth="1"/>
    <col min="10" max="10" width="3.88671875" style="217" customWidth="1"/>
    <col min="11" max="12" width="6.5546875" style="218" customWidth="1"/>
    <col min="13" max="14" width="6.5546875" style="216" customWidth="1"/>
    <col min="15" max="15" width="6.5546875" style="104" customWidth="1"/>
    <col min="16" max="16" width="7.88671875" style="299" bestFit="1" customWidth="1"/>
    <col min="17" max="17" width="0.88671875" style="104" customWidth="1"/>
    <col min="18" max="18" width="3.109375" style="104" customWidth="1"/>
    <col min="19" max="21" width="5" style="104" customWidth="1"/>
    <col min="22" max="22" width="3.88671875" style="104" bestFit="1" customWidth="1"/>
    <col min="23" max="23" width="5" style="104" customWidth="1"/>
    <col min="24" max="16384" width="11.44140625" style="104"/>
  </cols>
  <sheetData>
    <row r="1" spans="1:23" x14ac:dyDescent="0.3">
      <c r="B1" s="104">
        <v>1</v>
      </c>
      <c r="P1" s="110"/>
      <c r="S1" s="219"/>
      <c r="T1" s="220"/>
      <c r="U1" s="220"/>
      <c r="V1" s="220"/>
      <c r="W1" s="104">
        <f>SUM(V1:V1)</f>
        <v>0</v>
      </c>
    </row>
    <row r="2" spans="1:23" s="221" customFormat="1" ht="6" thickBot="1" x14ac:dyDescent="0.35">
      <c r="D2" s="222"/>
      <c r="E2" s="223"/>
      <c r="F2" s="223"/>
      <c r="G2" s="224"/>
      <c r="H2" s="224"/>
      <c r="I2" s="224"/>
      <c r="J2" s="225"/>
      <c r="K2" s="226"/>
      <c r="L2" s="226"/>
      <c r="M2" s="224"/>
      <c r="N2" s="224"/>
      <c r="P2" s="227"/>
      <c r="S2" s="228"/>
      <c r="T2" s="229"/>
      <c r="U2" s="229"/>
      <c r="V2" s="229"/>
    </row>
    <row r="3" spans="1:23" ht="23.25" customHeight="1" thickBot="1" x14ac:dyDescent="0.35">
      <c r="C3" s="456" t="s">
        <v>66</v>
      </c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8"/>
      <c r="S3" s="219"/>
      <c r="T3" s="220"/>
      <c r="U3" s="220"/>
      <c r="V3" s="220"/>
    </row>
    <row r="4" spans="1:23" s="221" customFormat="1" ht="6" thickBot="1" x14ac:dyDescent="0.35">
      <c r="C4" s="227"/>
      <c r="D4" s="230"/>
      <c r="E4" s="223"/>
      <c r="F4" s="223"/>
      <c r="G4" s="231"/>
      <c r="H4" s="231"/>
      <c r="I4" s="231"/>
      <c r="J4" s="223"/>
      <c r="K4" s="232"/>
      <c r="L4" s="232"/>
      <c r="M4" s="231"/>
      <c r="N4" s="231"/>
      <c r="O4" s="223"/>
      <c r="P4" s="233"/>
      <c r="S4" s="228"/>
      <c r="T4" s="229"/>
      <c r="U4" s="229"/>
      <c r="V4" s="229"/>
    </row>
    <row r="5" spans="1:23" s="221" customFormat="1" ht="5.4" x14ac:dyDescent="0.3">
      <c r="C5" s="234"/>
      <c r="D5" s="235"/>
      <c r="E5" s="236"/>
      <c r="F5" s="236"/>
      <c r="G5" s="237"/>
      <c r="H5" s="237"/>
      <c r="I5" s="237"/>
      <c r="J5" s="238"/>
      <c r="K5" s="239"/>
      <c r="L5" s="239"/>
      <c r="M5" s="237"/>
      <c r="N5" s="237"/>
      <c r="O5" s="240"/>
      <c r="P5" s="241"/>
      <c r="S5" s="228"/>
      <c r="T5" s="229"/>
      <c r="U5" s="229"/>
      <c r="V5" s="229"/>
    </row>
    <row r="6" spans="1:23" ht="12.75" customHeight="1" x14ac:dyDescent="0.3">
      <c r="C6" s="242" t="s">
        <v>34</v>
      </c>
      <c r="D6" s="459" t="s">
        <v>35</v>
      </c>
      <c r="E6" s="459"/>
      <c r="F6" s="459"/>
      <c r="G6" s="459"/>
      <c r="H6" s="459"/>
      <c r="I6" s="459"/>
      <c r="J6" s="459"/>
      <c r="K6" s="459"/>
      <c r="L6" s="459"/>
      <c r="M6" s="459"/>
      <c r="N6" s="459"/>
      <c r="O6" s="459"/>
      <c r="P6" s="460"/>
      <c r="S6" s="219"/>
      <c r="T6" s="220"/>
      <c r="U6" s="220"/>
      <c r="V6" s="220"/>
    </row>
    <row r="7" spans="1:23" ht="14.25" customHeight="1" x14ac:dyDescent="0.3">
      <c r="C7" s="242"/>
      <c r="D7" s="459"/>
      <c r="E7" s="459"/>
      <c r="F7" s="459"/>
      <c r="G7" s="459"/>
      <c r="H7" s="459"/>
      <c r="I7" s="459"/>
      <c r="J7" s="459"/>
      <c r="K7" s="459"/>
      <c r="L7" s="459"/>
      <c r="M7" s="459"/>
      <c r="N7" s="459"/>
      <c r="O7" s="459"/>
      <c r="P7" s="460"/>
    </row>
    <row r="8" spans="1:23" x14ac:dyDescent="0.3">
      <c r="C8" s="242" t="s">
        <v>36</v>
      </c>
      <c r="D8" s="243" t="s">
        <v>37</v>
      </c>
      <c r="E8" s="244"/>
      <c r="F8" s="244"/>
      <c r="G8" s="245"/>
      <c r="H8" s="245"/>
      <c r="I8" s="246"/>
      <c r="J8" s="244"/>
      <c r="K8" s="247"/>
      <c r="L8" s="245" t="s">
        <v>38</v>
      </c>
      <c r="M8" s="248" t="s">
        <v>129</v>
      </c>
      <c r="N8" s="246"/>
      <c r="O8" s="243"/>
      <c r="P8" s="249"/>
    </row>
    <row r="9" spans="1:23" x14ac:dyDescent="0.3">
      <c r="C9" s="242" t="s">
        <v>39</v>
      </c>
      <c r="D9" s="250">
        <v>44608</v>
      </c>
      <c r="E9" s="251"/>
      <c r="F9" s="251"/>
      <c r="G9" s="245"/>
      <c r="H9" s="245"/>
      <c r="I9" s="252"/>
      <c r="J9" s="253"/>
      <c r="K9" s="252"/>
      <c r="L9" s="245" t="s">
        <v>40</v>
      </c>
      <c r="M9" s="248" t="s">
        <v>128</v>
      </c>
      <c r="N9" s="254"/>
      <c r="O9" s="255"/>
      <c r="P9" s="249"/>
    </row>
    <row r="10" spans="1:23" x14ac:dyDescent="0.3">
      <c r="C10" s="242" t="s">
        <v>41</v>
      </c>
      <c r="D10" s="256" t="s">
        <v>17</v>
      </c>
      <c r="E10" s="244"/>
      <c r="F10" s="244"/>
      <c r="G10" s="247"/>
      <c r="H10" s="247"/>
      <c r="I10" s="247"/>
      <c r="J10" s="244"/>
      <c r="K10" s="247"/>
      <c r="L10" s="254"/>
      <c r="M10" s="254"/>
      <c r="N10" s="254"/>
      <c r="O10" s="255"/>
      <c r="P10" s="249"/>
    </row>
    <row r="11" spans="1:23" x14ac:dyDescent="0.3">
      <c r="C11" s="242" t="s">
        <v>42</v>
      </c>
      <c r="D11" s="243" t="s">
        <v>350</v>
      </c>
      <c r="E11" s="244"/>
      <c r="F11" s="244"/>
      <c r="G11" s="247"/>
      <c r="H11" s="247"/>
      <c r="I11" s="247"/>
      <c r="J11" s="244"/>
      <c r="K11" s="247"/>
      <c r="L11" s="254"/>
      <c r="M11" s="254"/>
      <c r="N11" s="257"/>
      <c r="O11" s="251"/>
      <c r="P11" s="249"/>
    </row>
    <row r="12" spans="1:23" s="221" customFormat="1" ht="6" thickBot="1" x14ac:dyDescent="0.35">
      <c r="C12" s="258"/>
      <c r="D12" s="259"/>
      <c r="E12" s="260"/>
      <c r="F12" s="260"/>
      <c r="G12" s="261"/>
      <c r="H12" s="262"/>
      <c r="I12" s="263"/>
      <c r="J12" s="264"/>
      <c r="K12" s="265"/>
      <c r="L12" s="265"/>
      <c r="M12" s="263"/>
      <c r="N12" s="263"/>
      <c r="O12" s="266"/>
      <c r="P12" s="267"/>
    </row>
    <row r="13" spans="1:23" s="221" customFormat="1" ht="6" thickBot="1" x14ac:dyDescent="0.35">
      <c r="C13" s="227"/>
      <c r="D13" s="230"/>
      <c r="E13" s="223"/>
      <c r="F13" s="223"/>
      <c r="G13" s="224"/>
      <c r="H13" s="224"/>
      <c r="I13" s="224"/>
      <c r="J13" s="222"/>
      <c r="K13" s="268"/>
      <c r="L13" s="268"/>
      <c r="M13" s="224"/>
      <c r="N13" s="224"/>
      <c r="P13" s="233"/>
    </row>
    <row r="14" spans="1:23" ht="15" customHeight="1" x14ac:dyDescent="0.3">
      <c r="C14" s="461" t="s">
        <v>43</v>
      </c>
      <c r="D14" s="463" t="s">
        <v>44</v>
      </c>
      <c r="E14" s="465" t="s">
        <v>45</v>
      </c>
      <c r="F14" s="467" t="s">
        <v>46</v>
      </c>
      <c r="G14" s="469" t="s">
        <v>47</v>
      </c>
      <c r="H14" s="469"/>
      <c r="I14" s="469"/>
      <c r="J14" s="467" t="s">
        <v>48</v>
      </c>
      <c r="K14" s="463" t="s">
        <v>49</v>
      </c>
      <c r="L14" s="463"/>
      <c r="M14" s="463"/>
      <c r="N14" s="463"/>
      <c r="O14" s="463"/>
      <c r="P14" s="470" t="s">
        <v>50</v>
      </c>
    </row>
    <row r="15" spans="1:23" ht="14.25" customHeight="1" thickBot="1" x14ac:dyDescent="0.25">
      <c r="A15" s="269" t="s">
        <v>51</v>
      </c>
      <c r="C15" s="462"/>
      <c r="D15" s="464"/>
      <c r="E15" s="466"/>
      <c r="F15" s="468"/>
      <c r="G15" s="270" t="s">
        <v>52</v>
      </c>
      <c r="H15" s="270" t="s">
        <v>53</v>
      </c>
      <c r="I15" s="270" t="s">
        <v>54</v>
      </c>
      <c r="J15" s="468"/>
      <c r="K15" s="270" t="s">
        <v>55</v>
      </c>
      <c r="L15" s="270" t="s">
        <v>56</v>
      </c>
      <c r="M15" s="270" t="s">
        <v>57</v>
      </c>
      <c r="N15" s="270" t="s">
        <v>58</v>
      </c>
      <c r="O15" s="271" t="s">
        <v>59</v>
      </c>
      <c r="P15" s="471"/>
    </row>
    <row r="16" spans="1:23" s="221" customFormat="1" ht="10.95" customHeight="1" x14ac:dyDescent="0.3">
      <c r="C16" s="300"/>
      <c r="D16" s="436"/>
      <c r="E16" s="302"/>
      <c r="F16" s="302"/>
      <c r="G16" s="303"/>
      <c r="H16" s="303"/>
      <c r="I16" s="303"/>
      <c r="J16" s="304"/>
      <c r="K16" s="305"/>
      <c r="L16" s="305"/>
      <c r="M16" s="303"/>
      <c r="N16" s="303"/>
      <c r="O16" s="304"/>
      <c r="P16" s="306"/>
    </row>
    <row r="17" spans="1:16" s="110" customFormat="1" x14ac:dyDescent="0.2">
      <c r="A17" s="107"/>
      <c r="B17" s="108"/>
      <c r="C17" s="145"/>
      <c r="D17" s="133" t="s">
        <v>125</v>
      </c>
      <c r="E17" s="50"/>
      <c r="F17" s="78"/>
      <c r="G17" s="53"/>
      <c r="H17" s="53"/>
      <c r="I17" s="53"/>
      <c r="J17" s="54"/>
      <c r="K17" s="55"/>
      <c r="L17" s="55"/>
      <c r="M17" s="55"/>
      <c r="N17" s="55"/>
      <c r="O17" s="55"/>
      <c r="P17" s="55"/>
    </row>
    <row r="18" spans="1:16" s="283" customFormat="1" ht="13.2" x14ac:dyDescent="0.3">
      <c r="A18" s="276"/>
      <c r="B18" s="277"/>
      <c r="C18" s="185">
        <v>1</v>
      </c>
      <c r="D18" s="366" t="s">
        <v>354</v>
      </c>
      <c r="E18" s="367"/>
      <c r="F18" s="280"/>
      <c r="G18" s="281"/>
      <c r="H18" s="281"/>
      <c r="I18" s="281"/>
      <c r="J18" s="282"/>
      <c r="K18" s="186"/>
      <c r="L18" s="186"/>
      <c r="M18" s="186"/>
      <c r="N18" s="186"/>
      <c r="O18" s="186"/>
      <c r="P18" s="186"/>
    </row>
    <row r="19" spans="1:16" s="130" customFormat="1" x14ac:dyDescent="0.2">
      <c r="A19" s="123">
        <v>1</v>
      </c>
      <c r="B19" s="124"/>
      <c r="C19" s="125" t="s">
        <v>441</v>
      </c>
      <c r="D19" s="126" t="s">
        <v>17</v>
      </c>
      <c r="E19" s="88"/>
      <c r="F19" s="51"/>
      <c r="G19" s="52"/>
      <c r="H19" s="52"/>
      <c r="I19" s="52"/>
      <c r="J19" s="128"/>
      <c r="K19" s="129"/>
      <c r="L19" s="129"/>
      <c r="M19" s="129"/>
      <c r="N19" s="129"/>
      <c r="O19" s="129"/>
      <c r="P19" s="129"/>
    </row>
    <row r="20" spans="1:16" x14ac:dyDescent="0.3">
      <c r="C20" s="363" t="s">
        <v>410</v>
      </c>
      <c r="D20" s="362" t="s">
        <v>144</v>
      </c>
      <c r="E20" s="88"/>
      <c r="F20" s="51"/>
      <c r="G20" s="52"/>
      <c r="H20" s="52"/>
      <c r="I20" s="52"/>
      <c r="J20" s="54"/>
      <c r="K20" s="55"/>
      <c r="L20" s="55"/>
      <c r="M20" s="55"/>
      <c r="N20" s="55"/>
      <c r="O20" s="55"/>
      <c r="P20" s="55"/>
    </row>
    <row r="21" spans="1:16" ht="20.399999999999999" x14ac:dyDescent="0.3">
      <c r="C21" s="48" t="s">
        <v>411</v>
      </c>
      <c r="D21" s="77" t="s">
        <v>150</v>
      </c>
      <c r="E21" s="88" t="s">
        <v>12</v>
      </c>
      <c r="F21" s="51"/>
      <c r="G21" s="52"/>
      <c r="H21" s="52"/>
      <c r="I21" s="52"/>
      <c r="J21" s="54"/>
      <c r="K21" s="55"/>
      <c r="L21" s="55"/>
      <c r="M21" s="55"/>
      <c r="N21" s="55"/>
      <c r="O21" s="55"/>
      <c r="P21" s="55">
        <f>SUM(K21:K31)</f>
        <v>52.649999999999991</v>
      </c>
    </row>
    <row r="22" spans="1:16" x14ac:dyDescent="0.3">
      <c r="C22" s="56"/>
      <c r="D22" s="57" t="s">
        <v>111</v>
      </c>
      <c r="E22" s="89"/>
      <c r="F22" s="59"/>
      <c r="G22" s="60"/>
      <c r="H22" s="60"/>
      <c r="I22" s="60"/>
      <c r="J22" s="62"/>
      <c r="K22" s="61"/>
      <c r="L22" s="61"/>
      <c r="M22" s="61"/>
      <c r="N22" s="61"/>
      <c r="O22" s="61"/>
      <c r="P22" s="61"/>
    </row>
    <row r="23" spans="1:16" ht="20.399999999999999" x14ac:dyDescent="0.3">
      <c r="C23" s="56"/>
      <c r="D23" s="80" t="s">
        <v>355</v>
      </c>
      <c r="E23" s="65" t="s">
        <v>13</v>
      </c>
      <c r="F23" s="69">
        <v>1</v>
      </c>
      <c r="G23" s="67" t="s">
        <v>114</v>
      </c>
      <c r="H23" s="67">
        <v>20.36</v>
      </c>
      <c r="I23" s="67"/>
      <c r="J23" s="69">
        <v>1</v>
      </c>
      <c r="K23" s="68">
        <f>PRODUCT(F23:J23)</f>
        <v>20.36</v>
      </c>
      <c r="L23" s="61"/>
      <c r="M23" s="61"/>
      <c r="N23" s="61"/>
      <c r="O23" s="61"/>
      <c r="P23" s="61"/>
    </row>
    <row r="24" spans="1:16" x14ac:dyDescent="0.3">
      <c r="C24" s="56"/>
      <c r="D24" s="80" t="s">
        <v>356</v>
      </c>
      <c r="E24" s="65" t="s">
        <v>13</v>
      </c>
      <c r="F24" s="69">
        <v>1</v>
      </c>
      <c r="G24" s="67" t="s">
        <v>114</v>
      </c>
      <c r="H24" s="67">
        <v>6.66</v>
      </c>
      <c r="I24" s="67"/>
      <c r="J24" s="69">
        <v>1</v>
      </c>
      <c r="K24" s="68">
        <f t="shared" ref="K24:K30" si="0">PRODUCT(F24:J24)</f>
        <v>6.66</v>
      </c>
      <c r="L24" s="61"/>
      <c r="M24" s="61"/>
      <c r="N24" s="61"/>
      <c r="O24" s="61"/>
      <c r="P24" s="61"/>
    </row>
    <row r="25" spans="1:16" x14ac:dyDescent="0.3">
      <c r="C25" s="56"/>
      <c r="D25" s="80" t="s">
        <v>357</v>
      </c>
      <c r="E25" s="65" t="s">
        <v>13</v>
      </c>
      <c r="F25" s="69">
        <v>1</v>
      </c>
      <c r="G25" s="67" t="s">
        <v>114</v>
      </c>
      <c r="H25" s="67">
        <v>4.91</v>
      </c>
      <c r="I25" s="67"/>
      <c r="J25" s="69">
        <v>1</v>
      </c>
      <c r="K25" s="68">
        <f t="shared" si="0"/>
        <v>4.91</v>
      </c>
      <c r="L25" s="61"/>
      <c r="M25" s="61"/>
      <c r="N25" s="61"/>
      <c r="O25" s="61"/>
      <c r="P25" s="61"/>
    </row>
    <row r="26" spans="1:16" x14ac:dyDescent="0.3">
      <c r="C26" s="56"/>
      <c r="D26" s="80" t="s">
        <v>358</v>
      </c>
      <c r="E26" s="65" t="s">
        <v>13</v>
      </c>
      <c r="F26" s="69">
        <v>1</v>
      </c>
      <c r="G26" s="67" t="s">
        <v>114</v>
      </c>
      <c r="H26" s="67">
        <v>2.97</v>
      </c>
      <c r="I26" s="67"/>
      <c r="J26" s="69">
        <v>1</v>
      </c>
      <c r="K26" s="68">
        <f t="shared" si="0"/>
        <v>2.97</v>
      </c>
      <c r="L26" s="61"/>
      <c r="M26" s="61"/>
      <c r="N26" s="61"/>
      <c r="O26" s="61"/>
      <c r="P26" s="61"/>
    </row>
    <row r="27" spans="1:16" x14ac:dyDescent="0.3">
      <c r="C27" s="56"/>
      <c r="D27" s="80"/>
      <c r="E27" s="65" t="s">
        <v>13</v>
      </c>
      <c r="F27" s="69">
        <v>1</v>
      </c>
      <c r="G27" s="67" t="s">
        <v>114</v>
      </c>
      <c r="H27" s="67">
        <v>4.4400000000000004</v>
      </c>
      <c r="I27" s="67"/>
      <c r="J27" s="69">
        <v>1</v>
      </c>
      <c r="K27" s="68">
        <f t="shared" si="0"/>
        <v>4.4400000000000004</v>
      </c>
      <c r="L27" s="61"/>
      <c r="M27" s="61"/>
      <c r="N27" s="61"/>
      <c r="O27" s="61"/>
      <c r="P27" s="61"/>
    </row>
    <row r="28" spans="1:16" x14ac:dyDescent="0.3">
      <c r="C28" s="56"/>
      <c r="D28" s="80"/>
      <c r="E28" s="65" t="s">
        <v>13</v>
      </c>
      <c r="F28" s="69">
        <v>1</v>
      </c>
      <c r="G28" s="67" t="s">
        <v>114</v>
      </c>
      <c r="H28" s="67">
        <v>4.75</v>
      </c>
      <c r="I28" s="67"/>
      <c r="J28" s="69">
        <v>1</v>
      </c>
      <c r="K28" s="68">
        <f t="shared" si="0"/>
        <v>4.75</v>
      </c>
      <c r="L28" s="61"/>
      <c r="M28" s="61"/>
      <c r="N28" s="61"/>
      <c r="O28" s="61"/>
      <c r="P28" s="61"/>
    </row>
    <row r="29" spans="1:16" x14ac:dyDescent="0.3">
      <c r="C29" s="56"/>
      <c r="D29" s="80"/>
      <c r="E29" s="65" t="s">
        <v>13</v>
      </c>
      <c r="F29" s="69">
        <v>1</v>
      </c>
      <c r="G29" s="67" t="s">
        <v>114</v>
      </c>
      <c r="H29" s="67">
        <v>4.33</v>
      </c>
      <c r="I29" s="67"/>
      <c r="J29" s="69">
        <v>1</v>
      </c>
      <c r="K29" s="68">
        <f t="shared" si="0"/>
        <v>4.33</v>
      </c>
      <c r="L29" s="61"/>
      <c r="M29" s="61"/>
      <c r="N29" s="61"/>
      <c r="O29" s="61"/>
      <c r="P29" s="61"/>
    </row>
    <row r="30" spans="1:16" x14ac:dyDescent="0.3">
      <c r="C30" s="56"/>
      <c r="D30" s="80"/>
      <c r="E30" s="65" t="s">
        <v>13</v>
      </c>
      <c r="F30" s="69">
        <v>1</v>
      </c>
      <c r="G30" s="67" t="s">
        <v>114</v>
      </c>
      <c r="H30" s="67">
        <v>4.2300000000000004</v>
      </c>
      <c r="I30" s="67"/>
      <c r="J30" s="69">
        <v>1</v>
      </c>
      <c r="K30" s="68">
        <f t="shared" si="0"/>
        <v>4.2300000000000004</v>
      </c>
      <c r="L30" s="61"/>
      <c r="M30" s="61"/>
      <c r="N30" s="61"/>
      <c r="O30" s="61"/>
      <c r="P30" s="61"/>
    </row>
    <row r="31" spans="1:16" x14ac:dyDescent="0.3">
      <c r="C31" s="173"/>
      <c r="D31" s="103"/>
      <c r="E31" s="174"/>
      <c r="F31" s="66"/>
      <c r="G31" s="67"/>
      <c r="H31" s="67"/>
      <c r="I31" s="67"/>
      <c r="J31" s="66"/>
      <c r="K31" s="68"/>
      <c r="L31" s="68"/>
      <c r="M31" s="61"/>
      <c r="N31" s="61"/>
      <c r="O31" s="61"/>
      <c r="P31" s="61"/>
    </row>
    <row r="32" spans="1:16" ht="20.399999999999999" x14ac:dyDescent="0.3">
      <c r="C32" s="48" t="s">
        <v>412</v>
      </c>
      <c r="D32" s="77" t="s">
        <v>389</v>
      </c>
      <c r="E32" s="50" t="s">
        <v>13</v>
      </c>
      <c r="F32" s="66"/>
      <c r="G32" s="67"/>
      <c r="H32" s="67"/>
      <c r="I32" s="68"/>
      <c r="J32" s="69"/>
      <c r="K32" s="68"/>
      <c r="L32" s="55"/>
      <c r="M32" s="55"/>
      <c r="N32" s="55"/>
      <c r="O32" s="55"/>
      <c r="P32" s="55">
        <f>SUM(K32:K36)</f>
        <v>14.82</v>
      </c>
    </row>
    <row r="33" spans="1:16" x14ac:dyDescent="0.3">
      <c r="C33" s="63"/>
      <c r="D33" s="80" t="s">
        <v>367</v>
      </c>
      <c r="E33" s="65" t="s">
        <v>13</v>
      </c>
      <c r="F33" s="69">
        <v>1</v>
      </c>
      <c r="G33" s="67" t="s">
        <v>114</v>
      </c>
      <c r="H33" s="67">
        <v>4.0599999999999996</v>
      </c>
      <c r="I33" s="67"/>
      <c r="J33" s="69">
        <v>2</v>
      </c>
      <c r="K33" s="68">
        <f>PRODUCT(F33:J33)</f>
        <v>8.1199999999999992</v>
      </c>
      <c r="L33" s="61"/>
      <c r="M33" s="61"/>
      <c r="N33" s="61"/>
      <c r="O33" s="61"/>
      <c r="P33" s="61"/>
    </row>
    <row r="34" spans="1:16" x14ac:dyDescent="0.3">
      <c r="C34" s="63"/>
      <c r="D34" s="80"/>
      <c r="E34" s="65" t="s">
        <v>13</v>
      </c>
      <c r="F34" s="69">
        <v>1</v>
      </c>
      <c r="G34" s="67" t="s">
        <v>114</v>
      </c>
      <c r="H34" s="67">
        <v>3.58</v>
      </c>
      <c r="I34" s="67"/>
      <c r="J34" s="69">
        <v>1</v>
      </c>
      <c r="K34" s="68">
        <f t="shared" ref="K34:K35" si="1">PRODUCT(F34:J34)</f>
        <v>3.58</v>
      </c>
      <c r="L34" s="61"/>
      <c r="M34" s="61"/>
      <c r="N34" s="61"/>
      <c r="O34" s="61"/>
      <c r="P34" s="61"/>
    </row>
    <row r="35" spans="1:16" x14ac:dyDescent="0.3">
      <c r="C35" s="180"/>
      <c r="D35" s="80"/>
      <c r="E35" s="65" t="s">
        <v>13</v>
      </c>
      <c r="F35" s="69">
        <v>1</v>
      </c>
      <c r="G35" s="67" t="s">
        <v>114</v>
      </c>
      <c r="H35" s="67">
        <v>3.12</v>
      </c>
      <c r="I35" s="67"/>
      <c r="J35" s="69">
        <v>1</v>
      </c>
      <c r="K35" s="68">
        <f t="shared" si="1"/>
        <v>3.12</v>
      </c>
      <c r="L35" s="61"/>
      <c r="M35" s="61"/>
      <c r="N35" s="61"/>
      <c r="O35" s="61"/>
      <c r="P35" s="61"/>
    </row>
    <row r="36" spans="1:16" x14ac:dyDescent="0.3">
      <c r="C36" s="56"/>
      <c r="D36" s="187"/>
      <c r="E36" s="192"/>
      <c r="F36" s="193"/>
      <c r="G36" s="194"/>
      <c r="H36" s="195"/>
      <c r="I36" s="171"/>
      <c r="J36" s="69"/>
      <c r="K36" s="196"/>
      <c r="L36" s="61"/>
      <c r="M36" s="61"/>
      <c r="N36" s="61"/>
      <c r="O36" s="61"/>
      <c r="P36" s="61"/>
    </row>
    <row r="37" spans="1:16" ht="20.399999999999999" x14ac:dyDescent="0.3">
      <c r="C37" s="48" t="s">
        <v>413</v>
      </c>
      <c r="D37" s="77" t="s">
        <v>390</v>
      </c>
      <c r="E37" s="50" t="s">
        <v>13</v>
      </c>
      <c r="F37" s="66"/>
      <c r="G37" s="67"/>
      <c r="H37" s="67"/>
      <c r="I37" s="68"/>
      <c r="J37" s="69"/>
      <c r="K37" s="68"/>
      <c r="L37" s="61"/>
      <c r="M37" s="61"/>
      <c r="N37" s="61"/>
      <c r="O37" s="61"/>
      <c r="P37" s="55">
        <f>SUM(K37:K41)</f>
        <v>12.6</v>
      </c>
    </row>
    <row r="38" spans="1:16" x14ac:dyDescent="0.3">
      <c r="C38" s="63"/>
      <c r="D38" s="80" t="s">
        <v>367</v>
      </c>
      <c r="E38" s="65" t="s">
        <v>13</v>
      </c>
      <c r="F38" s="69">
        <v>1</v>
      </c>
      <c r="G38" s="67" t="s">
        <v>114</v>
      </c>
      <c r="H38" s="67">
        <v>3.51</v>
      </c>
      <c r="I38" s="67"/>
      <c r="J38" s="69">
        <v>1</v>
      </c>
      <c r="K38" s="68">
        <f>PRODUCT(F38:J38)</f>
        <v>3.51</v>
      </c>
      <c r="L38" s="61"/>
      <c r="M38" s="61"/>
      <c r="N38" s="61"/>
      <c r="O38" s="61"/>
      <c r="P38" s="61"/>
    </row>
    <row r="39" spans="1:16" x14ac:dyDescent="0.3">
      <c r="C39" s="63"/>
      <c r="D39" s="80"/>
      <c r="E39" s="65" t="s">
        <v>13</v>
      </c>
      <c r="F39" s="69">
        <v>1</v>
      </c>
      <c r="G39" s="67" t="s">
        <v>114</v>
      </c>
      <c r="H39" s="67">
        <v>3.36</v>
      </c>
      <c r="I39" s="67"/>
      <c r="J39" s="69">
        <v>1</v>
      </c>
      <c r="K39" s="68">
        <f t="shared" ref="K39:K40" si="2">PRODUCT(F39:J39)</f>
        <v>3.36</v>
      </c>
      <c r="L39" s="61"/>
      <c r="M39" s="61"/>
      <c r="N39" s="61"/>
      <c r="O39" s="61"/>
      <c r="P39" s="61"/>
    </row>
    <row r="40" spans="1:16" x14ac:dyDescent="0.3">
      <c r="C40" s="180"/>
      <c r="D40" s="80"/>
      <c r="E40" s="65" t="s">
        <v>13</v>
      </c>
      <c r="F40" s="69">
        <v>1</v>
      </c>
      <c r="G40" s="67" t="s">
        <v>114</v>
      </c>
      <c r="H40" s="67">
        <v>5.73</v>
      </c>
      <c r="I40" s="67"/>
      <c r="J40" s="69">
        <v>1</v>
      </c>
      <c r="K40" s="68">
        <f t="shared" si="2"/>
        <v>5.73</v>
      </c>
      <c r="L40" s="61"/>
      <c r="M40" s="61"/>
      <c r="N40" s="61"/>
      <c r="O40" s="61"/>
      <c r="P40" s="61"/>
    </row>
    <row r="41" spans="1:16" x14ac:dyDescent="0.3">
      <c r="C41" s="173"/>
      <c r="D41" s="103"/>
      <c r="E41" s="174"/>
      <c r="F41" s="66"/>
      <c r="G41" s="67"/>
      <c r="H41" s="67"/>
      <c r="I41" s="67"/>
      <c r="J41" s="66"/>
      <c r="K41" s="68"/>
      <c r="L41" s="68"/>
      <c r="M41" s="61"/>
      <c r="N41" s="61"/>
      <c r="O41" s="61"/>
      <c r="P41" s="61"/>
    </row>
    <row r="42" spans="1:16" s="130" customFormat="1" x14ac:dyDescent="0.2">
      <c r="A42" s="123"/>
      <c r="B42" s="124"/>
      <c r="C42" s="147" t="s">
        <v>406</v>
      </c>
      <c r="D42" s="135" t="s">
        <v>26</v>
      </c>
      <c r="E42" s="88"/>
      <c r="F42" s="51"/>
      <c r="G42" s="52"/>
      <c r="H42" s="52"/>
      <c r="I42" s="52"/>
      <c r="J42" s="128"/>
      <c r="K42" s="61"/>
      <c r="L42" s="61"/>
      <c r="M42" s="61"/>
      <c r="N42" s="129"/>
      <c r="O42" s="129"/>
      <c r="P42" s="129"/>
    </row>
    <row r="43" spans="1:16" s="130" customFormat="1" x14ac:dyDescent="0.2">
      <c r="A43" s="123"/>
      <c r="B43" s="124"/>
      <c r="C43" s="48" t="s">
        <v>407</v>
      </c>
      <c r="D43" s="48" t="s">
        <v>27</v>
      </c>
      <c r="E43" s="88"/>
      <c r="F43" s="51"/>
      <c r="G43" s="52"/>
      <c r="H43" s="52"/>
      <c r="I43" s="52"/>
      <c r="J43" s="128"/>
      <c r="K43" s="61"/>
      <c r="L43" s="61"/>
      <c r="M43" s="61"/>
      <c r="N43" s="129"/>
      <c r="O43" s="129"/>
      <c r="P43" s="129"/>
    </row>
    <row r="44" spans="1:16" x14ac:dyDescent="0.3">
      <c r="C44" s="48" t="s">
        <v>408</v>
      </c>
      <c r="D44" s="48" t="s">
        <v>156</v>
      </c>
      <c r="E44" s="88" t="s">
        <v>14</v>
      </c>
      <c r="F44" s="59"/>
      <c r="G44" s="60"/>
      <c r="H44" s="60"/>
      <c r="I44" s="60"/>
      <c r="J44" s="59"/>
      <c r="K44" s="61"/>
      <c r="L44" s="61"/>
      <c r="M44" s="61"/>
      <c r="N44" s="61"/>
      <c r="O44" s="61"/>
      <c r="P44" s="61">
        <f>SUM(O44:O50)</f>
        <v>339</v>
      </c>
    </row>
    <row r="45" spans="1:16" x14ac:dyDescent="0.3">
      <c r="C45" s="286"/>
      <c r="D45" s="79" t="s">
        <v>111</v>
      </c>
      <c r="E45" s="438"/>
      <c r="F45" s="154"/>
      <c r="G45" s="52"/>
      <c r="H45" s="52"/>
      <c r="I45" s="52"/>
      <c r="J45" s="155"/>
      <c r="K45" s="138"/>
      <c r="L45" s="138"/>
      <c r="M45" s="138"/>
      <c r="N45" s="138"/>
      <c r="O45" s="138"/>
      <c r="P45" s="138"/>
    </row>
    <row r="46" spans="1:16" x14ac:dyDescent="0.3">
      <c r="C46" s="286"/>
      <c r="D46" s="439" t="s">
        <v>359</v>
      </c>
      <c r="E46" s="90" t="s">
        <v>14</v>
      </c>
      <c r="F46" s="66">
        <v>1</v>
      </c>
      <c r="G46" s="67"/>
      <c r="H46" s="67"/>
      <c r="I46" s="67"/>
      <c r="J46" s="66">
        <v>66</v>
      </c>
      <c r="K46" s="67"/>
      <c r="L46" s="67"/>
      <c r="M46" s="68"/>
      <c r="N46" s="68"/>
      <c r="O46" s="68">
        <f>IF(F46="","",PRODUCT(F46:J46))</f>
        <v>66</v>
      </c>
      <c r="P46" s="138"/>
    </row>
    <row r="47" spans="1:16" x14ac:dyDescent="0.3">
      <c r="C47" s="286"/>
      <c r="D47" s="439" t="s">
        <v>360</v>
      </c>
      <c r="E47" s="90" t="s">
        <v>14</v>
      </c>
      <c r="F47" s="66">
        <v>1</v>
      </c>
      <c r="G47" s="67"/>
      <c r="H47" s="67"/>
      <c r="I47" s="67"/>
      <c r="J47" s="66">
        <v>125</v>
      </c>
      <c r="K47" s="67"/>
      <c r="L47" s="67"/>
      <c r="M47" s="68"/>
      <c r="N47" s="68"/>
      <c r="O47" s="68">
        <f t="shared" ref="O47:O48" si="3">IF(F47="","",PRODUCT(F47:J47))</f>
        <v>125</v>
      </c>
      <c r="P47" s="138"/>
    </row>
    <row r="48" spans="1:16" x14ac:dyDescent="0.3">
      <c r="C48" s="286"/>
      <c r="D48" s="439" t="s">
        <v>361</v>
      </c>
      <c r="E48" s="90" t="s">
        <v>14</v>
      </c>
      <c r="F48" s="66">
        <v>1</v>
      </c>
      <c r="G48" s="67"/>
      <c r="H48" s="67"/>
      <c r="I48" s="67"/>
      <c r="J48" s="66">
        <v>4</v>
      </c>
      <c r="K48" s="67"/>
      <c r="L48" s="67"/>
      <c r="M48" s="68"/>
      <c r="N48" s="68"/>
      <c r="O48" s="68">
        <f t="shared" si="3"/>
        <v>4</v>
      </c>
      <c r="P48" s="138"/>
    </row>
    <row r="49" spans="1:16" x14ac:dyDescent="0.3">
      <c r="C49" s="286"/>
      <c r="D49" s="439" t="s">
        <v>362</v>
      </c>
      <c r="E49" s="90" t="s">
        <v>14</v>
      </c>
      <c r="F49" s="66">
        <v>1</v>
      </c>
      <c r="G49" s="67"/>
      <c r="H49" s="67"/>
      <c r="I49" s="67"/>
      <c r="J49" s="66">
        <v>144</v>
      </c>
      <c r="K49" s="67"/>
      <c r="L49" s="67"/>
      <c r="M49" s="68"/>
      <c r="N49" s="68"/>
      <c r="O49" s="68">
        <f>IF(F49="","",PRODUCT(F49:J49))</f>
        <v>144</v>
      </c>
      <c r="P49" s="138"/>
    </row>
    <row r="50" spans="1:16" x14ac:dyDescent="0.3">
      <c r="C50" s="286"/>
      <c r="D50" s="372"/>
      <c r="E50" s="438"/>
      <c r="F50" s="154"/>
      <c r="G50" s="52"/>
      <c r="H50" s="52"/>
      <c r="I50" s="52"/>
      <c r="J50" s="155"/>
      <c r="K50" s="138"/>
      <c r="L50" s="138"/>
      <c r="M50" s="138"/>
      <c r="N50" s="138"/>
      <c r="O50" s="138"/>
      <c r="P50" s="138"/>
    </row>
    <row r="51" spans="1:16" x14ac:dyDescent="0.3">
      <c r="C51" s="48" t="s">
        <v>409</v>
      </c>
      <c r="D51" s="77" t="s">
        <v>157</v>
      </c>
      <c r="E51" s="88" t="s">
        <v>12</v>
      </c>
      <c r="F51" s="66"/>
      <c r="G51" s="67"/>
      <c r="H51" s="67"/>
      <c r="I51" s="67"/>
      <c r="J51" s="69"/>
      <c r="K51" s="68"/>
      <c r="L51" s="68"/>
      <c r="M51" s="68"/>
      <c r="N51" s="68"/>
      <c r="O51" s="68"/>
      <c r="P51" s="55">
        <f>SUM(L51:L57)</f>
        <v>29.1</v>
      </c>
    </row>
    <row r="52" spans="1:16" x14ac:dyDescent="0.3">
      <c r="C52" s="286"/>
      <c r="D52" s="79" t="s">
        <v>111</v>
      </c>
      <c r="E52" s="438"/>
      <c r="F52" s="154"/>
      <c r="G52" s="52"/>
      <c r="H52" s="52"/>
      <c r="I52" s="52"/>
      <c r="J52" s="155"/>
      <c r="K52" s="138"/>
      <c r="L52" s="138"/>
      <c r="M52" s="138"/>
      <c r="N52" s="138"/>
      <c r="O52" s="138"/>
      <c r="P52" s="138"/>
    </row>
    <row r="53" spans="1:16" x14ac:dyDescent="0.3">
      <c r="C53" s="286"/>
      <c r="D53" s="80" t="s">
        <v>374</v>
      </c>
      <c r="E53" s="440" t="s">
        <v>12</v>
      </c>
      <c r="F53" s="369">
        <v>1</v>
      </c>
      <c r="G53" s="171">
        <v>4</v>
      </c>
      <c r="H53" s="171"/>
      <c r="I53" s="171">
        <v>3</v>
      </c>
      <c r="J53" s="197"/>
      <c r="K53" s="196"/>
      <c r="L53" s="181">
        <f>G53*I53</f>
        <v>12</v>
      </c>
      <c r="M53" s="138"/>
      <c r="N53" s="138"/>
      <c r="O53" s="138"/>
      <c r="P53" s="138"/>
    </row>
    <row r="54" spans="1:16" x14ac:dyDescent="0.3">
      <c r="C54" s="286"/>
      <c r="D54" s="80" t="s">
        <v>363</v>
      </c>
      <c r="E54" s="440" t="s">
        <v>12</v>
      </c>
      <c r="F54" s="369">
        <v>1</v>
      </c>
      <c r="G54" s="171">
        <v>1.2</v>
      </c>
      <c r="H54" s="171"/>
      <c r="I54" s="171">
        <v>3</v>
      </c>
      <c r="J54" s="197"/>
      <c r="K54" s="196"/>
      <c r="L54" s="181">
        <f>G54*I54</f>
        <v>3.5999999999999996</v>
      </c>
      <c r="M54" s="138"/>
      <c r="N54" s="138"/>
      <c r="O54" s="138"/>
      <c r="P54" s="138"/>
    </row>
    <row r="55" spans="1:16" x14ac:dyDescent="0.3">
      <c r="C55" s="286"/>
      <c r="D55" s="80" t="s">
        <v>375</v>
      </c>
      <c r="E55" s="440" t="s">
        <v>12</v>
      </c>
      <c r="F55" s="369">
        <v>1</v>
      </c>
      <c r="G55" s="171">
        <v>3</v>
      </c>
      <c r="H55" s="171"/>
      <c r="I55" s="171">
        <v>3</v>
      </c>
      <c r="J55" s="197"/>
      <c r="K55" s="196"/>
      <c r="L55" s="181">
        <f>G55*I55</f>
        <v>9</v>
      </c>
      <c r="M55" s="138"/>
      <c r="N55" s="138"/>
      <c r="O55" s="138"/>
      <c r="P55" s="138"/>
    </row>
    <row r="56" spans="1:16" x14ac:dyDescent="0.3">
      <c r="C56" s="286"/>
      <c r="D56" s="80" t="s">
        <v>364</v>
      </c>
      <c r="E56" s="440" t="s">
        <v>12</v>
      </c>
      <c r="F56" s="369">
        <v>1</v>
      </c>
      <c r="G56" s="171">
        <v>1.5</v>
      </c>
      <c r="H56" s="171"/>
      <c r="I56" s="171">
        <v>3</v>
      </c>
      <c r="J56" s="197"/>
      <c r="K56" s="196"/>
      <c r="L56" s="181">
        <f>G56*I56</f>
        <v>4.5</v>
      </c>
      <c r="M56" s="138"/>
      <c r="N56" s="138"/>
      <c r="O56" s="138"/>
      <c r="P56" s="138"/>
    </row>
    <row r="57" spans="1:16" x14ac:dyDescent="0.3">
      <c r="C57" s="286"/>
      <c r="D57" s="372"/>
      <c r="E57" s="438"/>
      <c r="F57" s="154"/>
      <c r="G57" s="52"/>
      <c r="H57" s="52"/>
      <c r="I57" s="52"/>
      <c r="J57" s="155"/>
      <c r="K57" s="138"/>
      <c r="L57" s="138"/>
      <c r="M57" s="138"/>
      <c r="N57" s="138"/>
      <c r="O57" s="138"/>
      <c r="P57" s="138"/>
    </row>
    <row r="58" spans="1:16" s="130" customFormat="1" x14ac:dyDescent="0.2">
      <c r="A58" s="123"/>
      <c r="B58" s="124"/>
      <c r="C58" s="147" t="s">
        <v>428</v>
      </c>
      <c r="D58" s="135" t="s">
        <v>16</v>
      </c>
      <c r="E58" s="88"/>
      <c r="F58" s="51"/>
      <c r="G58" s="52"/>
      <c r="H58" s="52"/>
      <c r="I58" s="52"/>
      <c r="J58" s="128"/>
      <c r="K58" s="61"/>
      <c r="L58" s="61"/>
      <c r="M58" s="61"/>
      <c r="N58" s="129"/>
      <c r="O58" s="129"/>
      <c r="P58" s="129"/>
    </row>
    <row r="59" spans="1:16" x14ac:dyDescent="0.3">
      <c r="A59" s="104">
        <v>3</v>
      </c>
      <c r="C59" s="48" t="s">
        <v>435</v>
      </c>
      <c r="D59" s="77" t="s">
        <v>165</v>
      </c>
      <c r="E59" s="88" t="s">
        <v>14</v>
      </c>
      <c r="F59" s="51"/>
      <c r="G59" s="52"/>
      <c r="H59" s="52"/>
      <c r="I59" s="52"/>
      <c r="J59" s="54"/>
      <c r="K59" s="55"/>
      <c r="L59" s="55"/>
      <c r="M59" s="55"/>
      <c r="N59" s="55"/>
      <c r="O59" s="55"/>
      <c r="P59" s="55">
        <f>SUM(O59:O61)</f>
        <v>1</v>
      </c>
    </row>
    <row r="60" spans="1:16" x14ac:dyDescent="0.3">
      <c r="C60" s="72"/>
      <c r="D60" s="64" t="s">
        <v>165</v>
      </c>
      <c r="E60" s="65" t="s">
        <v>14</v>
      </c>
      <c r="F60" s="69">
        <v>1</v>
      </c>
      <c r="G60" s="67">
        <v>1</v>
      </c>
      <c r="H60" s="67"/>
      <c r="I60" s="67"/>
      <c r="J60" s="69"/>
      <c r="K60" s="68"/>
      <c r="L60" s="68"/>
      <c r="M60" s="68"/>
      <c r="N60" s="68"/>
      <c r="O60" s="68">
        <v>1</v>
      </c>
      <c r="P60" s="61"/>
    </row>
    <row r="61" spans="1:16" x14ac:dyDescent="0.3">
      <c r="C61" s="286"/>
      <c r="D61" s="372"/>
      <c r="E61" s="88"/>
      <c r="F61" s="51"/>
      <c r="G61" s="52"/>
      <c r="H61" s="52"/>
      <c r="I61" s="52"/>
      <c r="J61" s="155"/>
      <c r="K61" s="138"/>
      <c r="L61" s="138"/>
      <c r="M61" s="138"/>
      <c r="N61" s="138"/>
      <c r="O61" s="138"/>
      <c r="P61" s="138"/>
    </row>
    <row r="62" spans="1:16" x14ac:dyDescent="0.3">
      <c r="C62" s="379"/>
      <c r="D62" s="312"/>
      <c r="E62" s="313"/>
      <c r="F62" s="314"/>
      <c r="G62" s="315"/>
      <c r="H62" s="315"/>
      <c r="I62" s="316"/>
      <c r="J62" s="317"/>
      <c r="K62" s="316"/>
      <c r="L62" s="316"/>
      <c r="M62" s="316"/>
      <c r="N62" s="316"/>
      <c r="O62" s="316"/>
      <c r="P62" s="316"/>
    </row>
    <row r="63" spans="1:16" x14ac:dyDescent="0.3">
      <c r="C63" s="379"/>
      <c r="D63" s="312"/>
      <c r="E63" s="313"/>
      <c r="F63" s="314"/>
      <c r="G63" s="315"/>
      <c r="H63" s="315"/>
      <c r="I63" s="316"/>
      <c r="J63" s="317"/>
      <c r="K63" s="316"/>
      <c r="L63" s="316"/>
      <c r="M63" s="316"/>
      <c r="N63" s="316"/>
      <c r="O63" s="316"/>
      <c r="P63" s="316"/>
    </row>
    <row r="64" spans="1:16" x14ac:dyDescent="0.3">
      <c r="C64" s="379"/>
      <c r="D64" s="312"/>
      <c r="E64" s="313"/>
      <c r="F64" s="314"/>
      <c r="G64" s="315"/>
      <c r="H64" s="315"/>
      <c r="I64" s="316"/>
      <c r="J64" s="317"/>
      <c r="K64" s="316"/>
      <c r="L64" s="316"/>
      <c r="M64" s="316"/>
      <c r="N64" s="316"/>
      <c r="O64" s="316"/>
      <c r="P64" s="316"/>
    </row>
    <row r="65" spans="3:16" x14ac:dyDescent="0.3">
      <c r="C65" s="379"/>
      <c r="D65" s="312"/>
      <c r="E65" s="313"/>
      <c r="F65" s="314"/>
      <c r="G65" s="315"/>
      <c r="H65" s="315"/>
      <c r="I65" s="316"/>
      <c r="J65" s="317"/>
      <c r="K65" s="316"/>
      <c r="L65" s="316"/>
      <c r="M65" s="316"/>
      <c r="N65" s="316"/>
      <c r="O65" s="316"/>
      <c r="P65" s="316"/>
    </row>
    <row r="66" spans="3:16" x14ac:dyDescent="0.3">
      <c r="C66" s="379"/>
      <c r="D66" s="312"/>
      <c r="E66" s="313"/>
      <c r="F66" s="314"/>
      <c r="G66" s="315"/>
      <c r="H66" s="315"/>
      <c r="I66" s="316"/>
      <c r="J66" s="317"/>
      <c r="K66" s="316"/>
      <c r="L66" s="316"/>
      <c r="M66" s="316"/>
      <c r="N66" s="316"/>
      <c r="O66" s="316"/>
      <c r="P66" s="316"/>
    </row>
    <row r="67" spans="3:16" x14ac:dyDescent="0.3">
      <c r="C67" s="379"/>
      <c r="D67" s="312"/>
      <c r="E67" s="313"/>
      <c r="F67" s="314"/>
      <c r="G67" s="315"/>
      <c r="H67" s="315"/>
      <c r="I67" s="316"/>
      <c r="J67" s="317"/>
      <c r="K67" s="316"/>
      <c r="L67" s="316"/>
      <c r="M67" s="316"/>
      <c r="N67" s="316"/>
      <c r="O67" s="316"/>
      <c r="P67" s="316"/>
    </row>
    <row r="68" spans="3:16" x14ac:dyDescent="0.3">
      <c r="C68" s="379"/>
      <c r="D68" s="312"/>
      <c r="E68" s="313"/>
      <c r="F68" s="314"/>
      <c r="G68" s="315"/>
      <c r="H68" s="315"/>
      <c r="I68" s="316"/>
      <c r="J68" s="317"/>
      <c r="K68" s="316"/>
      <c r="L68" s="316"/>
      <c r="M68" s="316"/>
      <c r="N68" s="316"/>
      <c r="O68" s="316"/>
      <c r="P68" s="316"/>
    </row>
    <row r="69" spans="3:16" x14ac:dyDescent="0.3">
      <c r="C69" s="379"/>
      <c r="D69" s="312"/>
      <c r="E69" s="313"/>
      <c r="F69" s="314"/>
      <c r="G69" s="315"/>
      <c r="H69" s="315"/>
      <c r="I69" s="316"/>
      <c r="J69" s="317"/>
      <c r="K69" s="316"/>
      <c r="L69" s="316"/>
      <c r="M69" s="316"/>
      <c r="N69" s="316"/>
      <c r="O69" s="316"/>
      <c r="P69" s="316"/>
    </row>
    <row r="70" spans="3:16" x14ac:dyDescent="0.3">
      <c r="C70" s="379"/>
      <c r="D70" s="312"/>
      <c r="E70" s="313"/>
      <c r="F70" s="314"/>
      <c r="G70" s="315"/>
      <c r="H70" s="315"/>
      <c r="I70" s="316"/>
      <c r="J70" s="317"/>
      <c r="K70" s="316"/>
      <c r="L70" s="316"/>
      <c r="M70" s="316"/>
      <c r="N70" s="316"/>
      <c r="O70" s="316"/>
      <c r="P70" s="316"/>
    </row>
    <row r="71" spans="3:16" x14ac:dyDescent="0.3">
      <c r="C71" s="379"/>
      <c r="D71" s="312"/>
      <c r="E71" s="313"/>
      <c r="F71" s="314"/>
      <c r="G71" s="315"/>
      <c r="H71" s="315"/>
      <c r="I71" s="316"/>
      <c r="J71" s="317"/>
      <c r="K71" s="316"/>
      <c r="L71" s="316"/>
      <c r="M71" s="316"/>
      <c r="N71" s="316"/>
      <c r="O71" s="316"/>
      <c r="P71" s="316"/>
    </row>
    <row r="72" spans="3:16" x14ac:dyDescent="0.3">
      <c r="C72" s="379"/>
      <c r="D72" s="312"/>
      <c r="E72" s="313"/>
      <c r="F72" s="314"/>
      <c r="G72" s="315"/>
      <c r="H72" s="315"/>
      <c r="I72" s="316"/>
      <c r="J72" s="317"/>
      <c r="K72" s="316"/>
      <c r="L72" s="316"/>
      <c r="M72" s="316"/>
      <c r="N72" s="316"/>
      <c r="O72" s="316"/>
      <c r="P72" s="316"/>
    </row>
    <row r="73" spans="3:16" x14ac:dyDescent="0.3">
      <c r="C73" s="379"/>
      <c r="D73" s="312"/>
      <c r="E73" s="313"/>
      <c r="F73" s="314"/>
      <c r="G73" s="315"/>
      <c r="H73" s="315"/>
      <c r="I73" s="316"/>
      <c r="J73" s="317"/>
      <c r="K73" s="316"/>
      <c r="L73" s="316"/>
      <c r="M73" s="316"/>
      <c r="N73" s="316"/>
      <c r="O73" s="316"/>
      <c r="P73" s="316"/>
    </row>
    <row r="74" spans="3:16" x14ac:dyDescent="0.3">
      <c r="C74" s="152"/>
      <c r="D74" s="312"/>
      <c r="E74" s="313"/>
      <c r="F74" s="314"/>
      <c r="G74" s="315"/>
      <c r="H74" s="315"/>
      <c r="I74" s="316"/>
      <c r="J74" s="317"/>
      <c r="K74" s="316"/>
      <c r="L74" s="316"/>
      <c r="M74" s="316"/>
      <c r="N74" s="316"/>
      <c r="O74" s="316"/>
      <c r="P74" s="316"/>
    </row>
    <row r="75" spans="3:16" x14ac:dyDescent="0.3">
      <c r="C75" s="152"/>
      <c r="D75" s="312"/>
      <c r="E75" s="313"/>
      <c r="F75" s="314"/>
      <c r="G75" s="315"/>
      <c r="H75" s="315"/>
      <c r="I75" s="316"/>
      <c r="J75" s="317"/>
      <c r="K75" s="316"/>
      <c r="L75" s="316"/>
      <c r="M75" s="316"/>
      <c r="N75" s="316"/>
      <c r="O75" s="316"/>
      <c r="P75" s="316"/>
    </row>
    <row r="76" spans="3:16" x14ac:dyDescent="0.3">
      <c r="C76" s="152"/>
      <c r="D76" s="312"/>
      <c r="E76" s="313"/>
      <c r="F76" s="314"/>
      <c r="G76" s="315"/>
      <c r="H76" s="315"/>
      <c r="I76" s="316"/>
      <c r="J76" s="317"/>
      <c r="K76" s="316"/>
      <c r="L76" s="316"/>
      <c r="M76" s="316"/>
      <c r="N76" s="316"/>
      <c r="O76" s="316"/>
      <c r="P76" s="316"/>
    </row>
    <row r="77" spans="3:16" x14ac:dyDescent="0.3">
      <c r="C77" s="152"/>
      <c r="D77" s="312"/>
      <c r="E77" s="313"/>
      <c r="F77" s="314"/>
      <c r="G77" s="315"/>
      <c r="H77" s="315"/>
      <c r="I77" s="316"/>
      <c r="J77" s="317"/>
      <c r="K77" s="316"/>
      <c r="L77" s="316"/>
      <c r="M77" s="316"/>
      <c r="N77" s="316"/>
      <c r="O77" s="316"/>
      <c r="P77" s="316"/>
    </row>
    <row r="78" spans="3:16" x14ac:dyDescent="0.3">
      <c r="C78" s="152"/>
      <c r="D78" s="312"/>
      <c r="E78" s="313"/>
      <c r="F78" s="314"/>
      <c r="G78" s="315"/>
      <c r="H78" s="315"/>
      <c r="I78" s="316"/>
      <c r="J78" s="317"/>
      <c r="K78" s="316"/>
      <c r="L78" s="316"/>
      <c r="M78" s="316"/>
      <c r="N78" s="316"/>
      <c r="O78" s="316"/>
      <c r="P78" s="316"/>
    </row>
    <row r="79" spans="3:16" x14ac:dyDescent="0.3">
      <c r="C79" s="152"/>
      <c r="D79" s="312"/>
      <c r="E79" s="313"/>
      <c r="F79" s="314"/>
      <c r="G79" s="315"/>
      <c r="H79" s="315"/>
      <c r="I79" s="316"/>
      <c r="J79" s="317"/>
      <c r="K79" s="316"/>
      <c r="L79" s="316"/>
      <c r="M79" s="316"/>
      <c r="N79" s="316"/>
      <c r="O79" s="316"/>
      <c r="P79" s="316"/>
    </row>
    <row r="80" spans="3:16" x14ac:dyDescent="0.3">
      <c r="C80" s="152"/>
      <c r="D80" s="312"/>
      <c r="E80" s="313"/>
      <c r="F80" s="314"/>
      <c r="G80" s="315"/>
      <c r="H80" s="315"/>
      <c r="I80" s="316"/>
      <c r="J80" s="317"/>
      <c r="K80" s="316"/>
      <c r="L80" s="316"/>
      <c r="M80" s="316"/>
      <c r="N80" s="316"/>
      <c r="O80" s="316"/>
      <c r="P80" s="316"/>
    </row>
    <row r="81" spans="3:16" x14ac:dyDescent="0.3">
      <c r="C81" s="152"/>
      <c r="D81" s="312"/>
      <c r="E81" s="313"/>
      <c r="F81" s="314"/>
      <c r="G81" s="315"/>
      <c r="H81" s="315"/>
      <c r="I81" s="316"/>
      <c r="J81" s="317"/>
      <c r="K81" s="316"/>
      <c r="L81" s="316"/>
      <c r="M81" s="316"/>
      <c r="N81" s="316"/>
      <c r="O81" s="316"/>
      <c r="P81" s="316"/>
    </row>
    <row r="82" spans="3:16" x14ac:dyDescent="0.3">
      <c r="C82" s="152"/>
      <c r="D82" s="312"/>
      <c r="E82" s="313"/>
      <c r="F82" s="314"/>
      <c r="G82" s="315"/>
      <c r="H82" s="315"/>
      <c r="I82" s="316"/>
      <c r="J82" s="317"/>
      <c r="K82" s="316"/>
      <c r="L82" s="316"/>
      <c r="M82" s="316"/>
      <c r="N82" s="316"/>
      <c r="O82" s="316"/>
      <c r="P82" s="316"/>
    </row>
    <row r="83" spans="3:16" x14ac:dyDescent="0.3">
      <c r="C83" s="152"/>
      <c r="D83" s="312"/>
      <c r="E83" s="313"/>
      <c r="F83" s="314"/>
      <c r="G83" s="315"/>
      <c r="H83" s="315"/>
      <c r="I83" s="316"/>
      <c r="J83" s="317"/>
      <c r="K83" s="316"/>
      <c r="L83" s="316"/>
      <c r="M83" s="316"/>
      <c r="N83" s="316"/>
      <c r="O83" s="316"/>
      <c r="P83" s="316"/>
    </row>
    <row r="84" spans="3:16" x14ac:dyDescent="0.3">
      <c r="C84" s="152"/>
      <c r="D84" s="312"/>
      <c r="E84" s="313"/>
      <c r="F84" s="314"/>
      <c r="G84" s="315"/>
      <c r="H84" s="315"/>
      <c r="I84" s="316"/>
      <c r="J84" s="317"/>
      <c r="K84" s="316"/>
      <c r="L84" s="316"/>
      <c r="M84" s="316"/>
      <c r="N84" s="316"/>
      <c r="O84" s="316"/>
      <c r="P84" s="316"/>
    </row>
    <row r="85" spans="3:16" x14ac:dyDescent="0.3">
      <c r="C85" s="152"/>
      <c r="D85" s="312"/>
      <c r="E85" s="313"/>
      <c r="F85" s="314"/>
      <c r="G85" s="315"/>
      <c r="H85" s="315"/>
      <c r="I85" s="316"/>
      <c r="J85" s="317"/>
      <c r="K85" s="316"/>
      <c r="L85" s="316"/>
      <c r="M85" s="316"/>
      <c r="N85" s="316"/>
      <c r="O85" s="316"/>
      <c r="P85" s="316"/>
    </row>
    <row r="86" spans="3:16" x14ac:dyDescent="0.3">
      <c r="C86" s="152"/>
      <c r="D86" s="312"/>
      <c r="E86" s="313"/>
      <c r="F86" s="314"/>
      <c r="G86" s="315"/>
      <c r="H86" s="315"/>
      <c r="I86" s="316"/>
      <c r="J86" s="317"/>
      <c r="K86" s="316"/>
      <c r="L86" s="316"/>
      <c r="M86" s="316"/>
      <c r="N86" s="316"/>
      <c r="O86" s="316"/>
      <c r="P86" s="316"/>
    </row>
    <row r="87" spans="3:16" x14ac:dyDescent="0.3">
      <c r="C87" s="152"/>
      <c r="D87" s="312"/>
      <c r="E87" s="313"/>
      <c r="F87" s="314"/>
      <c r="G87" s="315"/>
      <c r="H87" s="315"/>
      <c r="I87" s="316"/>
      <c r="J87" s="317"/>
      <c r="K87" s="316"/>
      <c r="L87" s="316"/>
      <c r="M87" s="316"/>
      <c r="N87" s="316"/>
      <c r="O87" s="316"/>
      <c r="P87" s="316"/>
    </row>
    <row r="88" spans="3:16" x14ac:dyDescent="0.3">
      <c r="C88" s="152"/>
      <c r="D88" s="312"/>
      <c r="E88" s="313"/>
      <c r="F88" s="314"/>
      <c r="G88" s="315"/>
      <c r="H88" s="315"/>
      <c r="I88" s="316"/>
      <c r="J88" s="317"/>
      <c r="K88" s="316"/>
      <c r="L88" s="316"/>
      <c r="M88" s="316"/>
      <c r="N88" s="316"/>
      <c r="O88" s="316"/>
      <c r="P88" s="316"/>
    </row>
    <row r="89" spans="3:16" x14ac:dyDescent="0.3">
      <c r="C89" s="152"/>
      <c r="D89" s="312"/>
      <c r="E89" s="313"/>
      <c r="F89" s="314"/>
      <c r="G89" s="315"/>
      <c r="H89" s="315"/>
      <c r="I89" s="316"/>
      <c r="J89" s="317"/>
      <c r="K89" s="316"/>
      <c r="L89" s="316"/>
      <c r="M89" s="316"/>
      <c r="N89" s="316"/>
      <c r="O89" s="316"/>
      <c r="P89" s="316"/>
    </row>
    <row r="90" spans="3:16" x14ac:dyDescent="0.3">
      <c r="C90" s="152"/>
      <c r="D90" s="312"/>
      <c r="E90" s="313"/>
      <c r="F90" s="314"/>
      <c r="G90" s="315"/>
      <c r="H90" s="315"/>
      <c r="I90" s="316"/>
      <c r="J90" s="317"/>
      <c r="K90" s="316"/>
      <c r="L90" s="316"/>
      <c r="M90" s="316"/>
      <c r="N90" s="316"/>
      <c r="O90" s="316"/>
      <c r="P90" s="316"/>
    </row>
    <row r="91" spans="3:16" x14ac:dyDescent="0.3">
      <c r="C91" s="152"/>
      <c r="D91" s="312"/>
      <c r="E91" s="313"/>
      <c r="F91" s="314"/>
      <c r="G91" s="315"/>
      <c r="H91" s="315"/>
      <c r="I91" s="316"/>
      <c r="J91" s="317"/>
      <c r="K91" s="316"/>
      <c r="L91" s="316"/>
      <c r="M91" s="316"/>
      <c r="N91" s="316"/>
      <c r="O91" s="316"/>
      <c r="P91" s="316"/>
    </row>
    <row r="92" spans="3:16" x14ac:dyDescent="0.3">
      <c r="C92" s="152"/>
      <c r="D92" s="312"/>
      <c r="E92" s="313"/>
      <c r="F92" s="314"/>
      <c r="G92" s="315"/>
      <c r="H92" s="315"/>
      <c r="I92" s="316"/>
      <c r="J92" s="317"/>
      <c r="K92" s="316"/>
      <c r="L92" s="316"/>
      <c r="M92" s="316"/>
      <c r="N92" s="316"/>
      <c r="O92" s="316"/>
      <c r="P92" s="316"/>
    </row>
    <row r="93" spans="3:16" x14ac:dyDescent="0.3">
      <c r="C93" s="152"/>
      <c r="D93" s="312"/>
      <c r="E93" s="313"/>
      <c r="F93" s="314"/>
      <c r="G93" s="315"/>
      <c r="H93" s="315"/>
      <c r="I93" s="316"/>
      <c r="J93" s="317"/>
      <c r="K93" s="316"/>
      <c r="L93" s="316"/>
      <c r="M93" s="316"/>
      <c r="N93" s="316"/>
      <c r="O93" s="316"/>
      <c r="P93" s="316"/>
    </row>
    <row r="94" spans="3:16" x14ac:dyDescent="0.3">
      <c r="C94" s="152"/>
      <c r="D94" s="312"/>
      <c r="E94" s="313"/>
      <c r="F94" s="314"/>
      <c r="G94" s="315"/>
      <c r="H94" s="315"/>
      <c r="I94" s="316"/>
      <c r="J94" s="317"/>
      <c r="K94" s="316"/>
      <c r="L94" s="316"/>
      <c r="M94" s="316"/>
      <c r="N94" s="316"/>
      <c r="O94" s="316"/>
      <c r="P94" s="316"/>
    </row>
    <row r="95" spans="3:16" x14ac:dyDescent="0.3">
      <c r="C95" s="152"/>
      <c r="D95" s="312"/>
      <c r="E95" s="313"/>
      <c r="F95" s="314"/>
      <c r="G95" s="315"/>
      <c r="H95" s="315"/>
      <c r="I95" s="316"/>
      <c r="J95" s="317"/>
      <c r="K95" s="316"/>
      <c r="L95" s="316"/>
      <c r="M95" s="316"/>
      <c r="N95" s="316"/>
      <c r="O95" s="316"/>
      <c r="P95" s="316"/>
    </row>
    <row r="96" spans="3:16" x14ac:dyDescent="0.3">
      <c r="C96" s="152"/>
      <c r="D96" s="312"/>
      <c r="E96" s="313"/>
      <c r="F96" s="314"/>
      <c r="G96" s="315"/>
      <c r="H96" s="315"/>
      <c r="I96" s="316"/>
      <c r="J96" s="317"/>
      <c r="K96" s="316"/>
      <c r="L96" s="316"/>
      <c r="M96" s="316"/>
      <c r="N96" s="316"/>
      <c r="O96" s="316"/>
      <c r="P96" s="316"/>
    </row>
    <row r="97" spans="3:16" x14ac:dyDescent="0.3">
      <c r="C97" s="152"/>
      <c r="D97" s="312"/>
      <c r="E97" s="313"/>
      <c r="F97" s="314"/>
      <c r="G97" s="315"/>
      <c r="H97" s="315"/>
      <c r="I97" s="316"/>
      <c r="J97" s="317"/>
      <c r="K97" s="316"/>
      <c r="L97" s="316"/>
      <c r="M97" s="316"/>
      <c r="N97" s="316"/>
      <c r="O97" s="316"/>
      <c r="P97" s="316"/>
    </row>
    <row r="98" spans="3:16" x14ac:dyDescent="0.3">
      <c r="C98" s="152"/>
      <c r="D98" s="312"/>
      <c r="E98" s="313"/>
      <c r="F98" s="314"/>
      <c r="G98" s="315"/>
      <c r="H98" s="315"/>
      <c r="I98" s="316"/>
      <c r="J98" s="317"/>
      <c r="K98" s="316"/>
      <c r="L98" s="316"/>
      <c r="M98" s="316"/>
      <c r="N98" s="316"/>
      <c r="O98" s="316"/>
      <c r="P98" s="316"/>
    </row>
    <row r="99" spans="3:16" x14ac:dyDescent="0.3">
      <c r="C99" s="152"/>
      <c r="D99" s="312"/>
      <c r="E99" s="313"/>
      <c r="F99" s="314"/>
      <c r="G99" s="315"/>
      <c r="H99" s="315"/>
      <c r="I99" s="316"/>
      <c r="J99" s="317"/>
      <c r="K99" s="316"/>
      <c r="L99" s="316"/>
      <c r="M99" s="316"/>
      <c r="N99" s="316"/>
      <c r="O99" s="316"/>
      <c r="P99" s="316"/>
    </row>
    <row r="100" spans="3:16" x14ac:dyDescent="0.3">
      <c r="C100" s="152"/>
      <c r="D100" s="312"/>
      <c r="E100" s="313"/>
      <c r="F100" s="314"/>
      <c r="G100" s="315"/>
      <c r="H100" s="315"/>
      <c r="I100" s="316"/>
      <c r="J100" s="317"/>
      <c r="K100" s="316"/>
      <c r="L100" s="316"/>
      <c r="M100" s="316"/>
      <c r="N100" s="316"/>
      <c r="O100" s="316"/>
      <c r="P100" s="316"/>
    </row>
    <row r="101" spans="3:16" x14ac:dyDescent="0.3">
      <c r="C101" s="152"/>
      <c r="D101" s="312"/>
      <c r="E101" s="313"/>
      <c r="F101" s="314"/>
      <c r="G101" s="315"/>
      <c r="H101" s="315"/>
      <c r="I101" s="316"/>
      <c r="J101" s="317"/>
      <c r="K101" s="316"/>
      <c r="L101" s="316"/>
      <c r="M101" s="316"/>
      <c r="N101" s="316"/>
      <c r="O101" s="316"/>
      <c r="P101" s="316"/>
    </row>
    <row r="102" spans="3:16" x14ac:dyDescent="0.3">
      <c r="C102" s="152"/>
      <c r="D102" s="312"/>
      <c r="E102" s="313"/>
      <c r="F102" s="314"/>
      <c r="G102" s="315"/>
      <c r="H102" s="315"/>
      <c r="I102" s="316"/>
      <c r="J102" s="317"/>
      <c r="K102" s="316"/>
      <c r="L102" s="316"/>
      <c r="M102" s="316"/>
      <c r="N102" s="316"/>
      <c r="O102" s="316"/>
      <c r="P102" s="316"/>
    </row>
    <row r="103" spans="3:16" x14ac:dyDescent="0.3">
      <c r="C103" s="152"/>
      <c r="D103" s="312"/>
      <c r="E103" s="313"/>
      <c r="F103" s="314"/>
      <c r="G103" s="315"/>
      <c r="H103" s="315"/>
      <c r="I103" s="316"/>
      <c r="J103" s="317"/>
      <c r="K103" s="316"/>
      <c r="L103" s="316"/>
      <c r="M103" s="316"/>
      <c r="N103" s="316"/>
      <c r="O103" s="316"/>
      <c r="P103" s="316"/>
    </row>
    <row r="104" spans="3:16" x14ac:dyDescent="0.3">
      <c r="C104" s="152"/>
      <c r="D104" s="312"/>
      <c r="E104" s="313"/>
      <c r="F104" s="314"/>
      <c r="G104" s="315"/>
      <c r="H104" s="315"/>
      <c r="I104" s="316"/>
      <c r="J104" s="317"/>
      <c r="K104" s="316"/>
      <c r="L104" s="316"/>
      <c r="M104" s="316"/>
      <c r="N104" s="316"/>
      <c r="O104" s="316"/>
      <c r="P104" s="316"/>
    </row>
    <row r="105" spans="3:16" x14ac:dyDescent="0.3">
      <c r="C105" s="152"/>
      <c r="D105" s="312"/>
      <c r="E105" s="313"/>
      <c r="F105" s="314"/>
      <c r="G105" s="315"/>
      <c r="H105" s="315"/>
      <c r="I105" s="316"/>
      <c r="J105" s="317"/>
      <c r="K105" s="316"/>
      <c r="L105" s="316"/>
      <c r="M105" s="316"/>
      <c r="N105" s="316"/>
      <c r="O105" s="316"/>
      <c r="P105" s="316"/>
    </row>
    <row r="106" spans="3:16" x14ac:dyDescent="0.3">
      <c r="C106" s="152"/>
      <c r="D106" s="312"/>
      <c r="E106" s="313"/>
      <c r="F106" s="314"/>
      <c r="G106" s="315"/>
      <c r="H106" s="315"/>
      <c r="I106" s="316"/>
      <c r="J106" s="317"/>
      <c r="K106" s="316"/>
      <c r="L106" s="316"/>
      <c r="M106" s="316"/>
      <c r="N106" s="316"/>
      <c r="O106" s="316"/>
      <c r="P106" s="316"/>
    </row>
    <row r="107" spans="3:16" x14ac:dyDescent="0.3">
      <c r="C107" s="152"/>
      <c r="D107" s="312"/>
      <c r="E107" s="313"/>
      <c r="F107" s="314"/>
      <c r="G107" s="315"/>
      <c r="H107" s="315"/>
      <c r="I107" s="316"/>
      <c r="J107" s="317"/>
      <c r="K107" s="316"/>
      <c r="L107" s="316"/>
      <c r="M107" s="316"/>
      <c r="N107" s="316"/>
      <c r="O107" s="316"/>
      <c r="P107" s="316"/>
    </row>
    <row r="108" spans="3:16" x14ac:dyDescent="0.3">
      <c r="C108" s="152"/>
      <c r="D108" s="312"/>
      <c r="E108" s="313"/>
      <c r="F108" s="314"/>
      <c r="G108" s="315"/>
      <c r="H108" s="315"/>
      <c r="I108" s="316"/>
      <c r="J108" s="317"/>
      <c r="K108" s="316"/>
      <c r="L108" s="316"/>
      <c r="M108" s="316"/>
      <c r="N108" s="316"/>
      <c r="O108" s="316"/>
      <c r="P108" s="316"/>
    </row>
    <row r="109" spans="3:16" x14ac:dyDescent="0.3">
      <c r="C109" s="152"/>
      <c r="D109" s="312"/>
      <c r="E109" s="313"/>
      <c r="F109" s="314"/>
      <c r="G109" s="315"/>
      <c r="H109" s="315"/>
      <c r="I109" s="316"/>
      <c r="J109" s="317"/>
      <c r="K109" s="316"/>
      <c r="L109" s="316"/>
      <c r="M109" s="316"/>
      <c r="N109" s="316"/>
      <c r="O109" s="316"/>
      <c r="P109" s="316"/>
    </row>
    <row r="110" spans="3:16" x14ac:dyDescent="0.3">
      <c r="C110" s="152"/>
      <c r="D110" s="312"/>
      <c r="E110" s="313"/>
      <c r="F110" s="314"/>
      <c r="G110" s="315"/>
      <c r="H110" s="315"/>
      <c r="I110" s="316"/>
      <c r="J110" s="317"/>
      <c r="K110" s="316"/>
      <c r="L110" s="316"/>
      <c r="M110" s="316"/>
      <c r="N110" s="316"/>
      <c r="O110" s="316"/>
      <c r="P110" s="316"/>
    </row>
    <row r="111" spans="3:16" x14ac:dyDescent="0.3">
      <c r="C111" s="152"/>
      <c r="D111" s="312"/>
      <c r="E111" s="313"/>
      <c r="F111" s="314"/>
      <c r="G111" s="315"/>
      <c r="H111" s="315"/>
      <c r="I111" s="316"/>
      <c r="J111" s="317"/>
      <c r="K111" s="316"/>
      <c r="L111" s="316"/>
      <c r="M111" s="316"/>
      <c r="N111" s="316"/>
      <c r="O111" s="316"/>
      <c r="P111" s="316"/>
    </row>
    <row r="112" spans="3:16" x14ac:dyDescent="0.3">
      <c r="C112" s="152"/>
      <c r="D112" s="312"/>
      <c r="E112" s="313"/>
      <c r="F112" s="314"/>
      <c r="G112" s="315"/>
      <c r="H112" s="315"/>
      <c r="I112" s="316"/>
      <c r="J112" s="317"/>
      <c r="K112" s="316"/>
      <c r="L112" s="316"/>
      <c r="M112" s="316"/>
      <c r="N112" s="316"/>
      <c r="O112" s="316"/>
      <c r="P112" s="316"/>
    </row>
    <row r="113" spans="3:16" x14ac:dyDescent="0.3">
      <c r="C113" s="152"/>
      <c r="D113" s="312"/>
      <c r="E113" s="313"/>
      <c r="F113" s="314"/>
      <c r="G113" s="315"/>
      <c r="H113" s="315"/>
      <c r="I113" s="316"/>
      <c r="J113" s="317"/>
      <c r="K113" s="316"/>
      <c r="L113" s="316"/>
      <c r="M113" s="316"/>
      <c r="N113" s="316"/>
      <c r="O113" s="316"/>
      <c r="P113" s="316"/>
    </row>
    <row r="114" spans="3:16" x14ac:dyDescent="0.3">
      <c r="C114" s="63"/>
      <c r="D114" s="64"/>
      <c r="E114" s="65"/>
      <c r="F114" s="66"/>
      <c r="G114" s="67"/>
      <c r="H114" s="67"/>
      <c r="I114" s="68"/>
      <c r="J114" s="69"/>
      <c r="K114" s="68"/>
      <c r="L114" s="68"/>
      <c r="M114" s="68"/>
      <c r="N114" s="68"/>
      <c r="O114" s="68"/>
      <c r="P114" s="68"/>
    </row>
    <row r="115" spans="3:16" x14ac:dyDescent="0.3">
      <c r="C115" s="63"/>
      <c r="D115" s="64"/>
      <c r="E115" s="65"/>
      <c r="F115" s="66"/>
      <c r="G115" s="67"/>
      <c r="H115" s="67"/>
      <c r="I115" s="68"/>
      <c r="J115" s="69"/>
      <c r="K115" s="68"/>
      <c r="L115" s="68"/>
      <c r="M115" s="68"/>
      <c r="N115" s="68"/>
      <c r="O115" s="68"/>
      <c r="P115" s="68"/>
    </row>
    <row r="116" spans="3:16" x14ac:dyDescent="0.3">
      <c r="C116" s="63"/>
      <c r="D116" s="64"/>
      <c r="E116" s="65"/>
      <c r="F116" s="66"/>
      <c r="G116" s="67"/>
      <c r="H116" s="67"/>
      <c r="I116" s="68"/>
      <c r="J116" s="69"/>
      <c r="K116" s="68"/>
      <c r="L116" s="68"/>
      <c r="M116" s="68"/>
      <c r="N116" s="68"/>
      <c r="O116" s="68"/>
      <c r="P116" s="68"/>
    </row>
    <row r="117" spans="3:16" x14ac:dyDescent="0.3">
      <c r="C117" s="63"/>
      <c r="D117" s="64"/>
      <c r="E117" s="65"/>
      <c r="F117" s="66"/>
      <c r="G117" s="67"/>
      <c r="H117" s="67"/>
      <c r="I117" s="68"/>
      <c r="J117" s="69"/>
      <c r="K117" s="68"/>
      <c r="L117" s="68"/>
      <c r="M117" s="68"/>
      <c r="N117" s="68"/>
      <c r="O117" s="68"/>
      <c r="P117" s="68"/>
    </row>
    <row r="118" spans="3:16" x14ac:dyDescent="0.3">
      <c r="C118" s="63"/>
      <c r="D118" s="64"/>
      <c r="E118" s="65"/>
      <c r="F118" s="66"/>
      <c r="G118" s="67"/>
      <c r="H118" s="67"/>
      <c r="I118" s="68"/>
      <c r="J118" s="69"/>
      <c r="K118" s="68"/>
      <c r="L118" s="68"/>
      <c r="M118" s="68"/>
      <c r="N118" s="68"/>
      <c r="O118" s="68"/>
      <c r="P118" s="68"/>
    </row>
    <row r="119" spans="3:16" x14ac:dyDescent="0.3">
      <c r="C119" s="63"/>
      <c r="D119" s="64"/>
      <c r="E119" s="65"/>
      <c r="F119" s="66"/>
      <c r="G119" s="67"/>
      <c r="H119" s="67"/>
      <c r="I119" s="68"/>
      <c r="J119" s="69"/>
      <c r="K119" s="68"/>
      <c r="L119" s="68"/>
      <c r="M119" s="68"/>
      <c r="N119" s="68"/>
      <c r="O119" s="68"/>
      <c r="P119" s="68"/>
    </row>
    <row r="120" spans="3:16" x14ac:dyDescent="0.3">
      <c r="C120" s="63"/>
      <c r="D120" s="64"/>
      <c r="E120" s="65"/>
      <c r="F120" s="66"/>
      <c r="G120" s="67"/>
      <c r="H120" s="67"/>
      <c r="I120" s="68"/>
      <c r="J120" s="69"/>
      <c r="K120" s="68"/>
      <c r="L120" s="68"/>
      <c r="M120" s="68"/>
      <c r="N120" s="68"/>
      <c r="O120" s="68"/>
      <c r="P120" s="68"/>
    </row>
    <row r="121" spans="3:16" x14ac:dyDescent="0.3">
      <c r="C121" s="63"/>
      <c r="D121" s="64"/>
      <c r="E121" s="65"/>
      <c r="F121" s="66"/>
      <c r="G121" s="67"/>
      <c r="H121" s="67"/>
      <c r="I121" s="68"/>
      <c r="J121" s="69"/>
      <c r="K121" s="68"/>
      <c r="L121" s="68"/>
      <c r="M121" s="68"/>
      <c r="N121" s="68"/>
      <c r="O121" s="68"/>
      <c r="P121" s="68"/>
    </row>
    <row r="122" spans="3:16" x14ac:dyDescent="0.3">
      <c r="C122" s="63"/>
      <c r="D122" s="64"/>
      <c r="E122" s="65"/>
      <c r="F122" s="66"/>
      <c r="G122" s="67"/>
      <c r="H122" s="67"/>
      <c r="I122" s="68"/>
      <c r="J122" s="69"/>
      <c r="K122" s="68"/>
      <c r="L122" s="68"/>
      <c r="M122" s="68"/>
      <c r="N122" s="68"/>
      <c r="O122" s="68"/>
      <c r="P122" s="68"/>
    </row>
    <row r="123" spans="3:16" x14ac:dyDescent="0.3">
      <c r="C123" s="63"/>
      <c r="D123" s="64"/>
      <c r="E123" s="65"/>
      <c r="F123" s="66"/>
      <c r="G123" s="67"/>
      <c r="H123" s="67"/>
      <c r="I123" s="68"/>
      <c r="J123" s="69"/>
      <c r="K123" s="68"/>
      <c r="L123" s="68"/>
      <c r="M123" s="68"/>
      <c r="N123" s="68"/>
      <c r="O123" s="68"/>
      <c r="P123" s="68"/>
    </row>
    <row r="124" spans="3:16" x14ac:dyDescent="0.3">
      <c r="C124" s="63"/>
      <c r="D124" s="64"/>
      <c r="E124" s="65"/>
      <c r="F124" s="66"/>
      <c r="G124" s="67"/>
      <c r="H124" s="67"/>
      <c r="I124" s="68"/>
      <c r="J124" s="69"/>
      <c r="K124" s="68"/>
      <c r="L124" s="68"/>
      <c r="M124" s="68"/>
      <c r="N124" s="68"/>
      <c r="O124" s="68"/>
      <c r="P124" s="68"/>
    </row>
    <row r="125" spans="3:16" x14ac:dyDescent="0.3">
      <c r="C125" s="63"/>
      <c r="D125" s="64"/>
      <c r="E125" s="65"/>
      <c r="F125" s="66"/>
      <c r="G125" s="67"/>
      <c r="H125" s="67"/>
      <c r="I125" s="68"/>
      <c r="J125" s="69"/>
      <c r="K125" s="68"/>
      <c r="L125" s="68"/>
      <c r="M125" s="68"/>
      <c r="N125" s="68"/>
      <c r="O125" s="68"/>
      <c r="P125" s="68"/>
    </row>
    <row r="126" spans="3:16" x14ac:dyDescent="0.3">
      <c r="C126" s="63"/>
      <c r="D126" s="64"/>
      <c r="E126" s="65"/>
      <c r="F126" s="66"/>
      <c r="G126" s="67"/>
      <c r="H126" s="67"/>
      <c r="I126" s="68"/>
      <c r="J126" s="69"/>
      <c r="K126" s="68"/>
      <c r="L126" s="68"/>
      <c r="M126" s="68"/>
      <c r="N126" s="68"/>
      <c r="O126" s="68"/>
      <c r="P126" s="68"/>
    </row>
    <row r="127" spans="3:16" x14ac:dyDescent="0.3">
      <c r="C127" s="63"/>
      <c r="D127" s="64"/>
      <c r="E127" s="65"/>
      <c r="F127" s="66"/>
      <c r="G127" s="67"/>
      <c r="H127" s="67"/>
      <c r="I127" s="68"/>
      <c r="J127" s="69"/>
      <c r="K127" s="68"/>
      <c r="L127" s="68"/>
      <c r="M127" s="68"/>
      <c r="N127" s="68"/>
      <c r="O127" s="68"/>
      <c r="P127" s="68"/>
    </row>
    <row r="128" spans="3:16" x14ac:dyDescent="0.3">
      <c r="C128" s="63"/>
      <c r="D128" s="64"/>
      <c r="E128" s="65"/>
      <c r="F128" s="66"/>
      <c r="G128" s="67"/>
      <c r="H128" s="67"/>
      <c r="I128" s="68"/>
      <c r="J128" s="69"/>
      <c r="K128" s="68"/>
      <c r="L128" s="68"/>
      <c r="M128" s="68"/>
      <c r="N128" s="68"/>
      <c r="O128" s="68"/>
      <c r="P128" s="68"/>
    </row>
    <row r="129" spans="3:16" x14ac:dyDescent="0.3">
      <c r="C129" s="63"/>
      <c r="D129" s="64"/>
      <c r="E129" s="65"/>
      <c r="F129" s="66"/>
      <c r="G129" s="67"/>
      <c r="H129" s="67"/>
      <c r="I129" s="68"/>
      <c r="J129" s="69"/>
      <c r="K129" s="68"/>
      <c r="L129" s="68"/>
      <c r="M129" s="68"/>
      <c r="N129" s="68"/>
      <c r="O129" s="68"/>
      <c r="P129" s="68"/>
    </row>
    <row r="130" spans="3:16" x14ac:dyDescent="0.3">
      <c r="C130" s="63"/>
      <c r="D130" s="64"/>
      <c r="E130" s="65"/>
      <c r="F130" s="66"/>
      <c r="G130" s="67"/>
      <c r="H130" s="67"/>
      <c r="I130" s="68"/>
      <c r="J130" s="69"/>
      <c r="K130" s="68"/>
      <c r="L130" s="68"/>
      <c r="M130" s="68"/>
      <c r="N130" s="68"/>
      <c r="O130" s="68"/>
      <c r="P130" s="68"/>
    </row>
    <row r="131" spans="3:16" x14ac:dyDescent="0.3">
      <c r="C131" s="63"/>
      <c r="D131" s="64"/>
      <c r="E131" s="65"/>
      <c r="F131" s="66"/>
      <c r="G131" s="67"/>
      <c r="H131" s="67"/>
      <c r="I131" s="68"/>
      <c r="J131" s="69"/>
      <c r="K131" s="68"/>
      <c r="L131" s="68"/>
      <c r="M131" s="68"/>
      <c r="N131" s="68"/>
      <c r="O131" s="68"/>
      <c r="P131" s="68"/>
    </row>
    <row r="132" spans="3:16" x14ac:dyDescent="0.3">
      <c r="C132" s="63"/>
      <c r="D132" s="64"/>
      <c r="E132" s="65"/>
      <c r="F132" s="66"/>
      <c r="G132" s="67"/>
      <c r="H132" s="67"/>
      <c r="I132" s="68"/>
      <c r="J132" s="69"/>
      <c r="K132" s="68"/>
      <c r="L132" s="68"/>
      <c r="M132" s="68"/>
      <c r="N132" s="68"/>
      <c r="O132" s="68"/>
      <c r="P132" s="68"/>
    </row>
    <row r="133" spans="3:16" x14ac:dyDescent="0.3">
      <c r="C133" s="63"/>
      <c r="D133" s="64"/>
      <c r="E133" s="65"/>
      <c r="F133" s="66"/>
      <c r="G133" s="67"/>
      <c r="H133" s="67"/>
      <c r="I133" s="68"/>
      <c r="J133" s="69"/>
      <c r="K133" s="68"/>
      <c r="L133" s="68"/>
      <c r="M133" s="68"/>
      <c r="N133" s="68"/>
      <c r="O133" s="68"/>
      <c r="P133" s="68"/>
    </row>
    <row r="134" spans="3:16" x14ac:dyDescent="0.3">
      <c r="C134" s="63"/>
      <c r="D134" s="64"/>
      <c r="E134" s="65"/>
      <c r="F134" s="66"/>
      <c r="G134" s="67"/>
      <c r="H134" s="67"/>
      <c r="I134" s="68"/>
      <c r="J134" s="69"/>
      <c r="K134" s="68"/>
      <c r="L134" s="68"/>
      <c r="M134" s="68"/>
      <c r="N134" s="68"/>
      <c r="O134" s="68"/>
      <c r="P134" s="68"/>
    </row>
    <row r="135" spans="3:16" x14ac:dyDescent="0.3">
      <c r="C135" s="63"/>
      <c r="D135" s="64"/>
      <c r="E135" s="65"/>
      <c r="F135" s="66"/>
      <c r="G135" s="67"/>
      <c r="H135" s="67"/>
      <c r="I135" s="68"/>
      <c r="J135" s="69"/>
      <c r="K135" s="68"/>
      <c r="L135" s="68"/>
      <c r="M135" s="68"/>
      <c r="N135" s="68"/>
      <c r="O135" s="68"/>
      <c r="P135" s="68"/>
    </row>
    <row r="136" spans="3:16" x14ac:dyDescent="0.3">
      <c r="C136" s="63"/>
      <c r="D136" s="64"/>
      <c r="E136" s="65"/>
      <c r="F136" s="66"/>
      <c r="G136" s="67"/>
      <c r="H136" s="67"/>
      <c r="I136" s="68"/>
      <c r="J136" s="69"/>
      <c r="K136" s="68"/>
      <c r="L136" s="68"/>
      <c r="M136" s="68"/>
      <c r="N136" s="68"/>
      <c r="O136" s="68"/>
      <c r="P136" s="68"/>
    </row>
    <row r="137" spans="3:16" x14ac:dyDescent="0.3">
      <c r="C137" s="63"/>
      <c r="D137" s="64"/>
      <c r="E137" s="65"/>
      <c r="F137" s="66"/>
      <c r="G137" s="67"/>
      <c r="H137" s="67"/>
      <c r="I137" s="68"/>
      <c r="J137" s="69"/>
      <c r="K137" s="68"/>
      <c r="L137" s="68"/>
      <c r="M137" s="68"/>
      <c r="N137" s="68"/>
      <c r="O137" s="68"/>
      <c r="P137" s="68"/>
    </row>
    <row r="138" spans="3:16" x14ac:dyDescent="0.3">
      <c r="C138" s="63"/>
      <c r="D138" s="64"/>
      <c r="E138" s="65"/>
      <c r="F138" s="66"/>
      <c r="G138" s="67"/>
      <c r="H138" s="67"/>
      <c r="I138" s="68"/>
      <c r="J138" s="69"/>
      <c r="K138" s="68"/>
      <c r="L138" s="68"/>
      <c r="M138" s="68"/>
      <c r="N138" s="68"/>
      <c r="O138" s="68"/>
      <c r="P138" s="68"/>
    </row>
    <row r="139" spans="3:16" x14ac:dyDescent="0.3">
      <c r="C139" s="63"/>
      <c r="D139" s="64"/>
      <c r="E139" s="65"/>
      <c r="F139" s="66"/>
      <c r="G139" s="67"/>
      <c r="H139" s="67"/>
      <c r="I139" s="68"/>
      <c r="J139" s="69"/>
      <c r="K139" s="68"/>
      <c r="L139" s="68"/>
      <c r="M139" s="68"/>
      <c r="N139" s="68"/>
      <c r="O139" s="68"/>
      <c r="P139" s="68"/>
    </row>
    <row r="140" spans="3:16" x14ac:dyDescent="0.3">
      <c r="C140" s="63"/>
      <c r="D140" s="64"/>
      <c r="E140" s="65"/>
      <c r="F140" s="66"/>
      <c r="G140" s="67"/>
      <c r="H140" s="67"/>
      <c r="I140" s="68"/>
      <c r="J140" s="69"/>
      <c r="K140" s="68"/>
      <c r="L140" s="68"/>
      <c r="M140" s="68"/>
      <c r="N140" s="68"/>
      <c r="O140" s="68"/>
      <c r="P140" s="68"/>
    </row>
    <row r="141" spans="3:16" x14ac:dyDescent="0.3">
      <c r="C141" s="63"/>
      <c r="D141" s="64"/>
      <c r="E141" s="65"/>
      <c r="F141" s="66"/>
      <c r="G141" s="67"/>
      <c r="H141" s="67"/>
      <c r="I141" s="68"/>
      <c r="J141" s="69"/>
      <c r="K141" s="68"/>
      <c r="L141" s="68"/>
      <c r="M141" s="68"/>
      <c r="N141" s="68"/>
      <c r="O141" s="68"/>
      <c r="P141" s="68"/>
    </row>
    <row r="142" spans="3:16" x14ac:dyDescent="0.3">
      <c r="C142" s="63"/>
      <c r="D142" s="64"/>
      <c r="E142" s="65"/>
      <c r="F142" s="66"/>
      <c r="G142" s="67"/>
      <c r="H142" s="67"/>
      <c r="I142" s="68"/>
      <c r="J142" s="69"/>
      <c r="K142" s="68"/>
      <c r="L142" s="68"/>
      <c r="M142" s="68"/>
      <c r="N142" s="68"/>
      <c r="O142" s="68"/>
      <c r="P142" s="68"/>
    </row>
    <row r="143" spans="3:16" x14ac:dyDescent="0.3">
      <c r="C143" s="63"/>
      <c r="D143" s="64"/>
      <c r="E143" s="65"/>
      <c r="F143" s="66"/>
      <c r="G143" s="67"/>
      <c r="H143" s="67"/>
      <c r="I143" s="68"/>
      <c r="J143" s="69"/>
      <c r="K143" s="68"/>
      <c r="L143" s="68"/>
      <c r="M143" s="68"/>
      <c r="N143" s="68"/>
      <c r="O143" s="68"/>
      <c r="P143" s="68"/>
    </row>
    <row r="144" spans="3:16" x14ac:dyDescent="0.3">
      <c r="C144" s="63"/>
      <c r="D144" s="64"/>
      <c r="E144" s="65"/>
      <c r="F144" s="66"/>
      <c r="G144" s="67"/>
      <c r="H144" s="67"/>
      <c r="I144" s="68"/>
      <c r="J144" s="69"/>
      <c r="K144" s="68"/>
      <c r="L144" s="68"/>
      <c r="M144" s="68"/>
      <c r="N144" s="68"/>
      <c r="O144" s="68"/>
      <c r="P144" s="68"/>
    </row>
    <row r="145" spans="3:16" x14ac:dyDescent="0.3">
      <c r="C145" s="63"/>
      <c r="D145" s="64"/>
      <c r="E145" s="65"/>
      <c r="F145" s="66"/>
      <c r="G145" s="67"/>
      <c r="H145" s="67"/>
      <c r="I145" s="68"/>
      <c r="J145" s="69"/>
      <c r="K145" s="68"/>
      <c r="L145" s="68"/>
      <c r="M145" s="68"/>
      <c r="N145" s="68"/>
      <c r="O145" s="68"/>
      <c r="P145" s="68"/>
    </row>
    <row r="146" spans="3:16" x14ac:dyDescent="0.3">
      <c r="C146" s="56"/>
      <c r="D146" s="57"/>
      <c r="E146" s="58"/>
      <c r="F146" s="59"/>
      <c r="G146" s="60"/>
      <c r="H146" s="60"/>
      <c r="I146" s="61"/>
      <c r="J146" s="62"/>
      <c r="K146" s="61"/>
      <c r="L146" s="61"/>
      <c r="M146" s="61"/>
      <c r="N146" s="61"/>
      <c r="O146" s="61"/>
      <c r="P146" s="61"/>
    </row>
    <row r="147" spans="3:16" x14ac:dyDescent="0.3">
      <c r="C147" s="63"/>
      <c r="D147" s="64"/>
      <c r="E147" s="65"/>
      <c r="F147" s="66"/>
      <c r="G147" s="67"/>
      <c r="H147" s="67"/>
      <c r="I147" s="68"/>
      <c r="J147" s="69"/>
      <c r="K147" s="68"/>
      <c r="L147" s="68"/>
      <c r="M147" s="68"/>
      <c r="N147" s="68"/>
      <c r="O147" s="68"/>
      <c r="P147" s="68"/>
    </row>
    <row r="148" spans="3:16" x14ac:dyDescent="0.3">
      <c r="C148" s="63"/>
      <c r="D148" s="64"/>
      <c r="E148" s="65"/>
      <c r="F148" s="66"/>
      <c r="G148" s="67"/>
      <c r="H148" s="67"/>
      <c r="I148" s="68"/>
      <c r="J148" s="69"/>
      <c r="K148" s="68"/>
      <c r="L148" s="68"/>
      <c r="M148" s="68"/>
      <c r="N148" s="68"/>
      <c r="O148" s="68"/>
      <c r="P148" s="68"/>
    </row>
    <row r="149" spans="3:16" x14ac:dyDescent="0.3">
      <c r="C149" s="63"/>
      <c r="D149" s="64"/>
      <c r="E149" s="65"/>
      <c r="F149" s="66"/>
      <c r="G149" s="67"/>
      <c r="H149" s="67"/>
      <c r="I149" s="68"/>
      <c r="J149" s="69"/>
      <c r="K149" s="68"/>
      <c r="L149" s="68"/>
      <c r="M149" s="68"/>
      <c r="N149" s="68"/>
      <c r="O149" s="68"/>
      <c r="P149" s="68"/>
    </row>
    <row r="150" spans="3:16" x14ac:dyDescent="0.3">
      <c r="C150" s="63"/>
      <c r="D150" s="64"/>
      <c r="E150" s="65"/>
      <c r="F150" s="66"/>
      <c r="G150" s="67"/>
      <c r="H150" s="67"/>
      <c r="I150" s="68"/>
      <c r="J150" s="69"/>
      <c r="K150" s="68"/>
      <c r="L150" s="68"/>
      <c r="M150" s="68"/>
      <c r="N150" s="68"/>
      <c r="O150" s="68"/>
      <c r="P150" s="68"/>
    </row>
    <row r="151" spans="3:16" x14ac:dyDescent="0.3">
      <c r="C151" s="63"/>
      <c r="D151" s="64"/>
      <c r="E151" s="65"/>
      <c r="F151" s="66"/>
      <c r="G151" s="67"/>
      <c r="H151" s="67"/>
      <c r="I151" s="68"/>
      <c r="J151" s="69"/>
      <c r="K151" s="68"/>
      <c r="L151" s="68"/>
      <c r="M151" s="68"/>
      <c r="N151" s="68"/>
      <c r="O151" s="68"/>
      <c r="P151" s="68"/>
    </row>
    <row r="152" spans="3:16" x14ac:dyDescent="0.3">
      <c r="C152" s="63"/>
      <c r="D152" s="64"/>
      <c r="E152" s="65"/>
      <c r="F152" s="66"/>
      <c r="G152" s="67"/>
      <c r="H152" s="67"/>
      <c r="I152" s="68"/>
      <c r="J152" s="69"/>
      <c r="K152" s="68"/>
      <c r="L152" s="68"/>
      <c r="M152" s="68"/>
      <c r="N152" s="68"/>
      <c r="O152" s="68"/>
      <c r="P152" s="68"/>
    </row>
    <row r="153" spans="3:16" x14ac:dyDescent="0.3">
      <c r="C153" s="63"/>
      <c r="D153" s="64"/>
      <c r="E153" s="65"/>
      <c r="F153" s="66"/>
      <c r="G153" s="67"/>
      <c r="H153" s="67"/>
      <c r="I153" s="68"/>
      <c r="J153" s="69"/>
      <c r="K153" s="68"/>
      <c r="L153" s="68"/>
      <c r="M153" s="68"/>
      <c r="N153" s="68"/>
      <c r="O153" s="68"/>
      <c r="P153" s="68"/>
    </row>
    <row r="154" spans="3:16" x14ac:dyDescent="0.3">
      <c r="C154" s="63"/>
      <c r="D154" s="64"/>
      <c r="E154" s="65"/>
      <c r="F154" s="66"/>
      <c r="G154" s="67"/>
      <c r="H154" s="67"/>
      <c r="I154" s="68"/>
      <c r="J154" s="69"/>
      <c r="K154" s="68"/>
      <c r="L154" s="68"/>
      <c r="M154" s="68"/>
      <c r="N154" s="68"/>
      <c r="O154" s="68"/>
      <c r="P154" s="68"/>
    </row>
    <row r="155" spans="3:16" x14ac:dyDescent="0.3">
      <c r="C155" s="63"/>
      <c r="D155" s="64"/>
      <c r="E155" s="65"/>
      <c r="F155" s="66"/>
      <c r="G155" s="67"/>
      <c r="H155" s="67"/>
      <c r="I155" s="68"/>
      <c r="J155" s="69"/>
      <c r="K155" s="68"/>
      <c r="L155" s="68"/>
      <c r="M155" s="68"/>
      <c r="N155" s="68"/>
      <c r="O155" s="68"/>
      <c r="P155" s="68"/>
    </row>
    <row r="156" spans="3:16" x14ac:dyDescent="0.3">
      <c r="C156" s="63"/>
      <c r="D156" s="64"/>
      <c r="E156" s="65"/>
      <c r="F156" s="66"/>
      <c r="G156" s="67"/>
      <c r="H156" s="67"/>
      <c r="I156" s="68"/>
      <c r="J156" s="69"/>
      <c r="K156" s="68"/>
      <c r="L156" s="68"/>
      <c r="M156" s="68"/>
      <c r="N156" s="68"/>
      <c r="O156" s="68"/>
      <c r="P156" s="68"/>
    </row>
    <row r="157" spans="3:16" x14ac:dyDescent="0.3">
      <c r="C157" s="63"/>
      <c r="D157" s="64"/>
      <c r="E157" s="65"/>
      <c r="F157" s="66"/>
      <c r="G157" s="67"/>
      <c r="H157" s="67"/>
      <c r="I157" s="68"/>
      <c r="J157" s="69"/>
      <c r="K157" s="68"/>
      <c r="L157" s="68"/>
      <c r="M157" s="68"/>
      <c r="N157" s="68"/>
      <c r="O157" s="68"/>
      <c r="P157" s="68"/>
    </row>
    <row r="158" spans="3:16" x14ac:dyDescent="0.3">
      <c r="C158" s="63"/>
      <c r="D158" s="64"/>
      <c r="E158" s="65"/>
      <c r="F158" s="66"/>
      <c r="G158" s="67"/>
      <c r="H158" s="67"/>
      <c r="I158" s="68"/>
      <c r="J158" s="69"/>
      <c r="K158" s="68"/>
      <c r="L158" s="68"/>
      <c r="M158" s="68"/>
      <c r="N158" s="68"/>
      <c r="O158" s="68"/>
      <c r="P158" s="68"/>
    </row>
    <row r="159" spans="3:16" x14ac:dyDescent="0.3">
      <c r="C159" s="63"/>
      <c r="D159" s="64"/>
      <c r="E159" s="65"/>
      <c r="F159" s="66"/>
      <c r="G159" s="67"/>
      <c r="H159" s="67"/>
      <c r="I159" s="68"/>
      <c r="J159" s="69"/>
      <c r="K159" s="68"/>
      <c r="L159" s="68"/>
      <c r="M159" s="68"/>
      <c r="N159" s="68"/>
      <c r="O159" s="68"/>
      <c r="P159" s="68"/>
    </row>
    <row r="160" spans="3:16" x14ac:dyDescent="0.3">
      <c r="C160" s="56"/>
      <c r="D160" s="57"/>
      <c r="E160" s="58"/>
      <c r="F160" s="59"/>
      <c r="G160" s="60"/>
      <c r="H160" s="60"/>
      <c r="I160" s="61"/>
      <c r="J160" s="62"/>
      <c r="K160" s="61"/>
      <c r="L160" s="61"/>
      <c r="M160" s="61"/>
      <c r="N160" s="61"/>
      <c r="O160" s="61"/>
      <c r="P160" s="61"/>
    </row>
    <row r="161" spans="3:16" x14ac:dyDescent="0.3">
      <c r="C161" s="63"/>
      <c r="D161" s="64"/>
      <c r="E161" s="65"/>
      <c r="F161" s="66"/>
      <c r="G161" s="67"/>
      <c r="H161" s="67"/>
      <c r="I161" s="68"/>
      <c r="J161" s="69"/>
      <c r="K161" s="68"/>
      <c r="L161" s="68"/>
      <c r="M161" s="68"/>
      <c r="N161" s="68"/>
      <c r="O161" s="68"/>
      <c r="P161" s="68"/>
    </row>
    <row r="162" spans="3:16" x14ac:dyDescent="0.3">
      <c r="C162" s="63"/>
      <c r="D162" s="64"/>
      <c r="E162" s="65"/>
      <c r="F162" s="66"/>
      <c r="G162" s="67"/>
      <c r="H162" s="67"/>
      <c r="I162" s="68"/>
      <c r="J162" s="69"/>
      <c r="K162" s="68"/>
      <c r="L162" s="68"/>
      <c r="M162" s="68"/>
      <c r="N162" s="68"/>
      <c r="O162" s="68"/>
      <c r="P162" s="68"/>
    </row>
    <row r="163" spans="3:16" x14ac:dyDescent="0.3">
      <c r="C163" s="63"/>
      <c r="D163" s="64"/>
      <c r="E163" s="65"/>
      <c r="F163" s="66"/>
      <c r="G163" s="67"/>
      <c r="H163" s="67"/>
      <c r="I163" s="68"/>
      <c r="J163" s="69"/>
      <c r="K163" s="68"/>
      <c r="L163" s="68"/>
      <c r="M163" s="68"/>
      <c r="N163" s="68"/>
      <c r="O163" s="68"/>
      <c r="P163" s="68"/>
    </row>
    <row r="164" spans="3:16" x14ac:dyDescent="0.3">
      <c r="C164" s="63"/>
      <c r="D164" s="64"/>
      <c r="E164" s="65"/>
      <c r="F164" s="66"/>
      <c r="G164" s="67"/>
      <c r="H164" s="67"/>
      <c r="I164" s="68"/>
      <c r="J164" s="69"/>
      <c r="K164" s="68"/>
      <c r="L164" s="68"/>
      <c r="M164" s="68"/>
      <c r="N164" s="68"/>
      <c r="O164" s="68"/>
      <c r="P164" s="68"/>
    </row>
    <row r="165" spans="3:16" x14ac:dyDescent="0.3">
      <c r="C165" s="63"/>
      <c r="D165" s="64"/>
      <c r="E165" s="65"/>
      <c r="F165" s="66"/>
      <c r="G165" s="67"/>
      <c r="H165" s="67"/>
      <c r="I165" s="68"/>
      <c r="J165" s="69"/>
      <c r="K165" s="68"/>
      <c r="L165" s="68"/>
      <c r="M165" s="68"/>
      <c r="N165" s="68"/>
      <c r="O165" s="68"/>
      <c r="P165" s="68"/>
    </row>
    <row r="166" spans="3:16" x14ac:dyDescent="0.3">
      <c r="C166" s="63"/>
      <c r="D166" s="64"/>
      <c r="E166" s="65"/>
      <c r="F166" s="66"/>
      <c r="G166" s="67"/>
      <c r="H166" s="67"/>
      <c r="I166" s="68"/>
      <c r="J166" s="69"/>
      <c r="K166" s="68"/>
      <c r="L166" s="68"/>
      <c r="M166" s="68"/>
      <c r="N166" s="68"/>
      <c r="O166" s="68"/>
      <c r="P166" s="68"/>
    </row>
    <row r="167" spans="3:16" x14ac:dyDescent="0.3">
      <c r="C167" s="63"/>
      <c r="D167" s="64"/>
      <c r="E167" s="65"/>
      <c r="F167" s="66"/>
      <c r="G167" s="67"/>
      <c r="H167" s="67"/>
      <c r="I167" s="68"/>
      <c r="J167" s="69"/>
      <c r="K167" s="68"/>
      <c r="L167" s="68"/>
      <c r="M167" s="68"/>
      <c r="N167" s="68"/>
      <c r="O167" s="68"/>
      <c r="P167" s="68"/>
    </row>
    <row r="168" spans="3:16" x14ac:dyDescent="0.3">
      <c r="C168" s="63"/>
      <c r="D168" s="64"/>
      <c r="E168" s="65"/>
      <c r="F168" s="66"/>
      <c r="G168" s="67"/>
      <c r="H168" s="67"/>
      <c r="I168" s="68"/>
      <c r="J168" s="69"/>
      <c r="K168" s="68"/>
      <c r="L168" s="68"/>
      <c r="M168" s="68"/>
      <c r="N168" s="68"/>
      <c r="O168" s="68"/>
      <c r="P168" s="68"/>
    </row>
    <row r="169" spans="3:16" x14ac:dyDescent="0.3">
      <c r="C169" s="63"/>
      <c r="D169" s="64"/>
      <c r="E169" s="65"/>
      <c r="F169" s="66"/>
      <c r="G169" s="67"/>
      <c r="H169" s="67"/>
      <c r="I169" s="68"/>
      <c r="J169" s="69"/>
      <c r="K169" s="68"/>
      <c r="L169" s="68"/>
      <c r="M169" s="68"/>
      <c r="N169" s="68"/>
      <c r="O169" s="68"/>
      <c r="P169" s="68"/>
    </row>
    <row r="170" spans="3:16" x14ac:dyDescent="0.3">
      <c r="C170" s="63"/>
      <c r="D170" s="64"/>
      <c r="E170" s="65"/>
      <c r="F170" s="66"/>
      <c r="G170" s="67"/>
      <c r="H170" s="67"/>
      <c r="I170" s="68"/>
      <c r="J170" s="69"/>
      <c r="K170" s="68"/>
      <c r="L170" s="68"/>
      <c r="M170" s="68"/>
      <c r="N170" s="68"/>
      <c r="O170" s="68"/>
      <c r="P170" s="68"/>
    </row>
    <row r="171" spans="3:16" x14ac:dyDescent="0.3">
      <c r="C171" s="63"/>
      <c r="D171" s="64"/>
      <c r="E171" s="65"/>
      <c r="F171" s="66"/>
      <c r="G171" s="67"/>
      <c r="H171" s="67"/>
      <c r="I171" s="68"/>
      <c r="J171" s="69"/>
      <c r="K171" s="68"/>
      <c r="L171" s="68"/>
      <c r="M171" s="68"/>
      <c r="N171" s="68"/>
      <c r="O171" s="68"/>
      <c r="P171" s="68"/>
    </row>
    <row r="172" spans="3:16" x14ac:dyDescent="0.3">
      <c r="C172" s="63"/>
      <c r="D172" s="64"/>
      <c r="E172" s="65"/>
      <c r="F172" s="66"/>
      <c r="G172" s="67"/>
      <c r="H172" s="67"/>
      <c r="I172" s="68"/>
      <c r="J172" s="69"/>
      <c r="K172" s="68"/>
      <c r="L172" s="68"/>
      <c r="M172" s="68"/>
      <c r="N172" s="68"/>
      <c r="O172" s="68"/>
      <c r="P172" s="68"/>
    </row>
    <row r="173" spans="3:16" x14ac:dyDescent="0.3">
      <c r="C173" s="63"/>
      <c r="D173" s="64"/>
      <c r="E173" s="65"/>
      <c r="F173" s="66"/>
      <c r="G173" s="67"/>
      <c r="H173" s="67"/>
      <c r="I173" s="68"/>
      <c r="J173" s="69"/>
      <c r="K173" s="68"/>
      <c r="L173" s="68"/>
      <c r="M173" s="68"/>
      <c r="N173" s="68"/>
      <c r="O173" s="68"/>
      <c r="P173" s="68"/>
    </row>
    <row r="174" spans="3:16" x14ac:dyDescent="0.3">
      <c r="C174" s="63"/>
      <c r="D174" s="64"/>
      <c r="E174" s="65"/>
      <c r="F174" s="66"/>
      <c r="G174" s="67"/>
      <c r="H174" s="67"/>
      <c r="I174" s="68"/>
      <c r="J174" s="69"/>
      <c r="K174" s="68"/>
      <c r="L174" s="68"/>
      <c r="M174" s="68"/>
      <c r="N174" s="68"/>
      <c r="O174" s="68"/>
      <c r="P174" s="68"/>
    </row>
    <row r="175" spans="3:16" x14ac:dyDescent="0.3">
      <c r="C175" s="63"/>
      <c r="D175" s="64"/>
      <c r="E175" s="65"/>
      <c r="F175" s="66"/>
      <c r="G175" s="67"/>
      <c r="H175" s="67"/>
      <c r="I175" s="68"/>
      <c r="J175" s="69"/>
      <c r="K175" s="68"/>
      <c r="L175" s="68"/>
      <c r="M175" s="68"/>
      <c r="N175" s="68"/>
      <c r="O175" s="68"/>
      <c r="P175" s="68"/>
    </row>
    <row r="176" spans="3:16" x14ac:dyDescent="0.3">
      <c r="C176" s="63"/>
      <c r="D176" s="64"/>
      <c r="E176" s="65"/>
      <c r="F176" s="66"/>
      <c r="G176" s="67"/>
      <c r="H176" s="67"/>
      <c r="I176" s="68"/>
      <c r="J176" s="69"/>
      <c r="K176" s="68"/>
      <c r="L176" s="68"/>
      <c r="M176" s="68"/>
      <c r="N176" s="68"/>
      <c r="O176" s="68"/>
      <c r="P176" s="68"/>
    </row>
    <row r="177" spans="3:16" x14ac:dyDescent="0.3">
      <c r="C177" s="63"/>
      <c r="D177" s="64"/>
      <c r="E177" s="65"/>
      <c r="F177" s="66"/>
      <c r="G177" s="67"/>
      <c r="H177" s="67"/>
      <c r="I177" s="68"/>
      <c r="J177" s="69"/>
      <c r="K177" s="68"/>
      <c r="L177" s="68"/>
      <c r="M177" s="68"/>
      <c r="N177" s="68"/>
      <c r="O177" s="68"/>
      <c r="P177" s="68"/>
    </row>
    <row r="178" spans="3:16" x14ac:dyDescent="0.3">
      <c r="C178" s="63"/>
      <c r="D178" s="64"/>
      <c r="E178" s="65"/>
      <c r="F178" s="66"/>
      <c r="G178" s="67"/>
      <c r="H178" s="67"/>
      <c r="I178" s="68"/>
      <c r="J178" s="69"/>
      <c r="K178" s="68"/>
      <c r="L178" s="68"/>
      <c r="M178" s="68"/>
      <c r="N178" s="68"/>
      <c r="O178" s="68"/>
      <c r="P178" s="68"/>
    </row>
    <row r="179" spans="3:16" x14ac:dyDescent="0.3">
      <c r="C179" s="63"/>
      <c r="D179" s="64"/>
      <c r="E179" s="65"/>
      <c r="F179" s="66"/>
      <c r="G179" s="67"/>
      <c r="H179" s="67"/>
      <c r="I179" s="68"/>
      <c r="J179" s="69"/>
      <c r="K179" s="68"/>
      <c r="L179" s="68"/>
      <c r="M179" s="68"/>
      <c r="N179" s="68"/>
      <c r="O179" s="68"/>
      <c r="P179" s="68"/>
    </row>
    <row r="180" spans="3:16" x14ac:dyDescent="0.3">
      <c r="C180" s="63"/>
      <c r="D180" s="64"/>
      <c r="E180" s="65"/>
      <c r="F180" s="66"/>
      <c r="G180" s="67"/>
      <c r="H180" s="67"/>
      <c r="I180" s="68"/>
      <c r="J180" s="69"/>
      <c r="K180" s="68"/>
      <c r="L180" s="68"/>
      <c r="M180" s="68"/>
      <c r="N180" s="68"/>
      <c r="O180" s="68"/>
      <c r="P180" s="68"/>
    </row>
    <row r="181" spans="3:16" x14ac:dyDescent="0.3">
      <c r="C181" s="63"/>
      <c r="D181" s="64"/>
      <c r="E181" s="65"/>
      <c r="F181" s="66"/>
      <c r="G181" s="67"/>
      <c r="H181" s="67"/>
      <c r="I181" s="68"/>
      <c r="J181" s="69"/>
      <c r="K181" s="68"/>
      <c r="L181" s="68"/>
      <c r="M181" s="68"/>
      <c r="N181" s="68"/>
      <c r="O181" s="68"/>
      <c r="P181" s="68"/>
    </row>
    <row r="182" spans="3:16" x14ac:dyDescent="0.3">
      <c r="C182" s="63"/>
      <c r="D182" s="64"/>
      <c r="E182" s="65"/>
      <c r="F182" s="66"/>
      <c r="G182" s="67"/>
      <c r="H182" s="67"/>
      <c r="I182" s="68"/>
      <c r="J182" s="69"/>
      <c r="K182" s="68"/>
      <c r="L182" s="68"/>
      <c r="M182" s="68"/>
      <c r="N182" s="68"/>
      <c r="O182" s="68"/>
      <c r="P182" s="68"/>
    </row>
    <row r="183" spans="3:16" x14ac:dyDescent="0.3">
      <c r="C183" s="63"/>
      <c r="D183" s="64"/>
      <c r="E183" s="65"/>
      <c r="F183" s="66"/>
      <c r="G183" s="67"/>
      <c r="H183" s="67"/>
      <c r="I183" s="68"/>
      <c r="J183" s="69"/>
      <c r="K183" s="68"/>
      <c r="L183" s="68"/>
      <c r="M183" s="68"/>
      <c r="N183" s="68"/>
      <c r="O183" s="68"/>
      <c r="P183" s="68"/>
    </row>
    <row r="184" spans="3:16" x14ac:dyDescent="0.3">
      <c r="C184" s="63"/>
      <c r="D184" s="64"/>
      <c r="E184" s="65"/>
      <c r="F184" s="66"/>
      <c r="G184" s="67"/>
      <c r="H184" s="67"/>
      <c r="I184" s="68"/>
      <c r="J184" s="69"/>
      <c r="K184" s="68"/>
      <c r="L184" s="68"/>
      <c r="M184" s="68"/>
      <c r="N184" s="68"/>
      <c r="O184" s="68"/>
      <c r="P184" s="68"/>
    </row>
    <row r="185" spans="3:16" x14ac:dyDescent="0.3">
      <c r="C185" s="63"/>
      <c r="D185" s="64"/>
      <c r="E185" s="65"/>
      <c r="F185" s="66"/>
      <c r="G185" s="67"/>
      <c r="H185" s="67"/>
      <c r="I185" s="68"/>
      <c r="J185" s="69"/>
      <c r="K185" s="68"/>
      <c r="L185" s="68"/>
      <c r="M185" s="68"/>
      <c r="N185" s="68"/>
      <c r="O185" s="68"/>
      <c r="P185" s="68"/>
    </row>
    <row r="186" spans="3:16" x14ac:dyDescent="0.3">
      <c r="C186" s="63"/>
      <c r="D186" s="64"/>
      <c r="E186" s="65"/>
      <c r="F186" s="66"/>
      <c r="G186" s="67"/>
      <c r="H186" s="67"/>
      <c r="I186" s="68"/>
      <c r="J186" s="69"/>
      <c r="K186" s="68"/>
      <c r="L186" s="68"/>
      <c r="M186" s="68"/>
      <c r="N186" s="68"/>
      <c r="O186" s="68"/>
      <c r="P186" s="68"/>
    </row>
    <row r="187" spans="3:16" x14ac:dyDescent="0.3">
      <c r="C187" s="63"/>
      <c r="D187" s="64"/>
      <c r="E187" s="65"/>
      <c r="F187" s="66"/>
      <c r="G187" s="67"/>
      <c r="H187" s="67"/>
      <c r="I187" s="68"/>
      <c r="J187" s="69"/>
      <c r="K187" s="68"/>
      <c r="L187" s="68"/>
      <c r="M187" s="68"/>
      <c r="N187" s="68"/>
      <c r="O187" s="68"/>
      <c r="P187" s="68"/>
    </row>
    <row r="188" spans="3:16" x14ac:dyDescent="0.3">
      <c r="C188" s="63"/>
      <c r="D188" s="64"/>
      <c r="E188" s="65"/>
      <c r="F188" s="66"/>
      <c r="G188" s="67"/>
      <c r="H188" s="67"/>
      <c r="I188" s="68"/>
      <c r="J188" s="69"/>
      <c r="K188" s="68"/>
      <c r="L188" s="68"/>
      <c r="M188" s="68"/>
      <c r="N188" s="68"/>
      <c r="O188" s="68"/>
      <c r="P188" s="68"/>
    </row>
    <row r="189" spans="3:16" x14ac:dyDescent="0.3">
      <c r="C189" s="63"/>
      <c r="D189" s="64"/>
      <c r="E189" s="65"/>
      <c r="F189" s="66"/>
      <c r="G189" s="67"/>
      <c r="H189" s="67"/>
      <c r="I189" s="68"/>
      <c r="J189" s="69"/>
      <c r="K189" s="68"/>
      <c r="L189" s="68"/>
      <c r="M189" s="68"/>
      <c r="N189" s="68"/>
      <c r="O189" s="68"/>
      <c r="P189" s="68"/>
    </row>
    <row r="190" spans="3:16" x14ac:dyDescent="0.3">
      <c r="C190" s="63"/>
      <c r="D190" s="64"/>
      <c r="E190" s="65"/>
      <c r="F190" s="66"/>
      <c r="G190" s="67"/>
      <c r="H190" s="67"/>
      <c r="I190" s="68"/>
      <c r="J190" s="69"/>
      <c r="K190" s="68"/>
      <c r="L190" s="68"/>
      <c r="M190" s="68"/>
      <c r="N190" s="68"/>
      <c r="O190" s="68"/>
      <c r="P190" s="68"/>
    </row>
    <row r="191" spans="3:16" x14ac:dyDescent="0.3">
      <c r="C191" s="63"/>
      <c r="D191" s="64"/>
      <c r="E191" s="65"/>
      <c r="F191" s="66"/>
      <c r="G191" s="67"/>
      <c r="H191" s="67"/>
      <c r="I191" s="68"/>
      <c r="J191" s="69"/>
      <c r="K191" s="68"/>
      <c r="L191" s="68"/>
      <c r="M191" s="68"/>
      <c r="N191" s="68"/>
      <c r="O191" s="68"/>
      <c r="P191" s="68"/>
    </row>
    <row r="192" spans="3:16" x14ac:dyDescent="0.3">
      <c r="C192" s="63"/>
      <c r="D192" s="64"/>
      <c r="E192" s="65"/>
      <c r="F192" s="66"/>
      <c r="G192" s="67"/>
      <c r="H192" s="67"/>
      <c r="I192" s="68"/>
      <c r="J192" s="69"/>
      <c r="K192" s="68"/>
      <c r="L192" s="68"/>
      <c r="M192" s="68"/>
      <c r="N192" s="68"/>
      <c r="O192" s="68"/>
      <c r="P192" s="68"/>
    </row>
    <row r="193" spans="3:16" x14ac:dyDescent="0.3">
      <c r="C193" s="63"/>
      <c r="D193" s="64"/>
      <c r="E193" s="65"/>
      <c r="F193" s="66"/>
      <c r="G193" s="67"/>
      <c r="H193" s="67"/>
      <c r="I193" s="68"/>
      <c r="J193" s="69"/>
      <c r="K193" s="68"/>
      <c r="L193" s="68"/>
      <c r="M193" s="68"/>
      <c r="N193" s="68"/>
      <c r="O193" s="68"/>
      <c r="P193" s="68"/>
    </row>
    <row r="194" spans="3:16" x14ac:dyDescent="0.3">
      <c r="C194" s="63"/>
      <c r="D194" s="64"/>
      <c r="E194" s="65"/>
      <c r="F194" s="66"/>
      <c r="G194" s="67"/>
      <c r="H194" s="67"/>
      <c r="I194" s="68"/>
      <c r="J194" s="69"/>
      <c r="K194" s="68"/>
      <c r="L194" s="68"/>
      <c r="M194" s="68"/>
      <c r="N194" s="68"/>
      <c r="O194" s="68"/>
      <c r="P194" s="68"/>
    </row>
    <row r="195" spans="3:16" x14ac:dyDescent="0.3">
      <c r="C195" s="63"/>
      <c r="D195" s="64"/>
      <c r="E195" s="65"/>
      <c r="F195" s="66"/>
      <c r="G195" s="67"/>
      <c r="H195" s="67"/>
      <c r="I195" s="68"/>
      <c r="J195" s="69"/>
      <c r="K195" s="68"/>
      <c r="L195" s="68"/>
      <c r="M195" s="68"/>
      <c r="N195" s="68"/>
      <c r="O195" s="68"/>
      <c r="P195" s="68"/>
    </row>
    <row r="196" spans="3:16" x14ac:dyDescent="0.3">
      <c r="C196" s="63"/>
      <c r="D196" s="64"/>
      <c r="E196" s="65"/>
      <c r="F196" s="66"/>
      <c r="G196" s="67"/>
      <c r="H196" s="67"/>
      <c r="I196" s="68"/>
      <c r="J196" s="69"/>
      <c r="K196" s="68"/>
      <c r="L196" s="68"/>
      <c r="M196" s="68"/>
      <c r="N196" s="68"/>
      <c r="O196" s="68"/>
      <c r="P196" s="68"/>
    </row>
    <row r="197" spans="3:16" x14ac:dyDescent="0.3">
      <c r="C197" s="63"/>
      <c r="D197" s="64"/>
      <c r="E197" s="65"/>
      <c r="F197" s="66"/>
      <c r="G197" s="67"/>
      <c r="H197" s="67"/>
      <c r="I197" s="68"/>
      <c r="J197" s="69"/>
      <c r="K197" s="68"/>
      <c r="L197" s="68"/>
      <c r="M197" s="68"/>
      <c r="N197" s="68"/>
      <c r="O197" s="68"/>
      <c r="P197" s="68"/>
    </row>
    <row r="198" spans="3:16" x14ac:dyDescent="0.3">
      <c r="C198" s="56"/>
      <c r="D198" s="57"/>
      <c r="E198" s="58"/>
      <c r="F198" s="59"/>
      <c r="G198" s="60"/>
      <c r="H198" s="60"/>
      <c r="I198" s="61"/>
      <c r="J198" s="62"/>
      <c r="K198" s="61"/>
      <c r="L198" s="61"/>
      <c r="M198" s="61"/>
      <c r="N198" s="61"/>
      <c r="O198" s="61"/>
      <c r="P198" s="61"/>
    </row>
    <row r="199" spans="3:16" x14ac:dyDescent="0.3">
      <c r="C199" s="63"/>
      <c r="D199" s="64"/>
      <c r="E199" s="65"/>
      <c r="F199" s="66"/>
      <c r="G199" s="67"/>
      <c r="H199" s="67"/>
      <c r="I199" s="68"/>
      <c r="J199" s="69"/>
      <c r="K199" s="68"/>
      <c r="L199" s="68"/>
      <c r="M199" s="68"/>
      <c r="N199" s="68"/>
      <c r="O199" s="68"/>
      <c r="P199" s="68"/>
    </row>
    <row r="200" spans="3:16" x14ac:dyDescent="0.3">
      <c r="C200" s="63"/>
      <c r="D200" s="64"/>
      <c r="E200" s="65"/>
      <c r="F200" s="66"/>
      <c r="G200" s="67"/>
      <c r="H200" s="67"/>
      <c r="I200" s="68"/>
      <c r="J200" s="69"/>
      <c r="K200" s="68"/>
      <c r="L200" s="68"/>
      <c r="M200" s="68"/>
      <c r="N200" s="68"/>
      <c r="O200" s="68"/>
      <c r="P200" s="68"/>
    </row>
    <row r="201" spans="3:16" x14ac:dyDescent="0.3">
      <c r="C201" s="63"/>
      <c r="D201" s="64"/>
      <c r="E201" s="65"/>
      <c r="F201" s="66"/>
      <c r="G201" s="67"/>
      <c r="H201" s="67"/>
      <c r="I201" s="68"/>
      <c r="J201" s="69"/>
      <c r="K201" s="68"/>
      <c r="L201" s="68"/>
      <c r="M201" s="68"/>
      <c r="N201" s="68"/>
      <c r="O201" s="68"/>
      <c r="P201" s="68"/>
    </row>
    <row r="202" spans="3:16" x14ac:dyDescent="0.3">
      <c r="C202" s="63"/>
      <c r="D202" s="64"/>
      <c r="E202" s="65"/>
      <c r="F202" s="66"/>
      <c r="G202" s="67"/>
      <c r="H202" s="67"/>
      <c r="I202" s="68"/>
      <c r="J202" s="69"/>
      <c r="K202" s="68"/>
      <c r="L202" s="68"/>
      <c r="M202" s="68"/>
      <c r="N202" s="68"/>
      <c r="O202" s="68"/>
      <c r="P202" s="68"/>
    </row>
    <row r="203" spans="3:16" x14ac:dyDescent="0.3">
      <c r="C203" s="63"/>
      <c r="D203" s="64"/>
      <c r="E203" s="65"/>
      <c r="F203" s="66"/>
      <c r="G203" s="67"/>
      <c r="H203" s="67"/>
      <c r="I203" s="68"/>
      <c r="J203" s="69"/>
      <c r="K203" s="68"/>
      <c r="L203" s="68"/>
      <c r="M203" s="68"/>
      <c r="N203" s="68"/>
      <c r="O203" s="68"/>
      <c r="P203" s="68"/>
    </row>
    <row r="204" spans="3:16" x14ac:dyDescent="0.3">
      <c r="C204" s="63"/>
      <c r="D204" s="64"/>
      <c r="E204" s="65"/>
      <c r="F204" s="66"/>
      <c r="G204" s="67"/>
      <c r="H204" s="67"/>
      <c r="I204" s="68"/>
      <c r="J204" s="69"/>
      <c r="K204" s="68"/>
      <c r="L204" s="68"/>
      <c r="M204" s="68"/>
      <c r="N204" s="68"/>
      <c r="O204" s="68"/>
      <c r="P204" s="68"/>
    </row>
    <row r="205" spans="3:16" x14ac:dyDescent="0.3">
      <c r="C205" s="63"/>
      <c r="D205" s="64"/>
      <c r="E205" s="65"/>
      <c r="F205" s="66"/>
      <c r="G205" s="67"/>
      <c r="H205" s="67"/>
      <c r="I205" s="68"/>
      <c r="J205" s="69"/>
      <c r="K205" s="68"/>
      <c r="L205" s="68"/>
      <c r="M205" s="68"/>
      <c r="N205" s="68"/>
      <c r="O205" s="68"/>
      <c r="P205" s="68"/>
    </row>
    <row r="206" spans="3:16" x14ac:dyDescent="0.3">
      <c r="C206" s="63"/>
      <c r="D206" s="64"/>
      <c r="E206" s="65"/>
      <c r="F206" s="66"/>
      <c r="G206" s="67"/>
      <c r="H206" s="67"/>
      <c r="I206" s="68"/>
      <c r="J206" s="69"/>
      <c r="K206" s="68"/>
      <c r="L206" s="68"/>
      <c r="M206" s="68"/>
      <c r="N206" s="68"/>
      <c r="O206" s="68"/>
      <c r="P206" s="68"/>
    </row>
    <row r="207" spans="3:16" x14ac:dyDescent="0.3">
      <c r="C207" s="63"/>
      <c r="D207" s="64"/>
      <c r="E207" s="65"/>
      <c r="F207" s="66"/>
      <c r="G207" s="67"/>
      <c r="H207" s="67"/>
      <c r="I207" s="68"/>
      <c r="J207" s="69"/>
      <c r="K207" s="68"/>
      <c r="L207" s="68"/>
      <c r="M207" s="68"/>
      <c r="N207" s="68"/>
      <c r="O207" s="68"/>
      <c r="P207" s="68"/>
    </row>
    <row r="208" spans="3:16" x14ac:dyDescent="0.3">
      <c r="C208" s="63"/>
      <c r="D208" s="64"/>
      <c r="E208" s="65"/>
      <c r="F208" s="66"/>
      <c r="G208" s="67"/>
      <c r="H208" s="67"/>
      <c r="I208" s="68"/>
      <c r="J208" s="69"/>
      <c r="K208" s="68"/>
      <c r="L208" s="68"/>
      <c r="M208" s="68"/>
      <c r="N208" s="68"/>
      <c r="O208" s="68"/>
      <c r="P208" s="68"/>
    </row>
    <row r="209" spans="3:16" x14ac:dyDescent="0.3">
      <c r="C209" s="63"/>
      <c r="D209" s="64"/>
      <c r="E209" s="65"/>
      <c r="F209" s="66"/>
      <c r="G209" s="67"/>
      <c r="H209" s="67"/>
      <c r="I209" s="68"/>
      <c r="J209" s="69"/>
      <c r="K209" s="68"/>
      <c r="L209" s="68"/>
      <c r="M209" s="68"/>
      <c r="N209" s="68"/>
      <c r="O209" s="68"/>
      <c r="P209" s="68"/>
    </row>
    <row r="210" spans="3:16" x14ac:dyDescent="0.3">
      <c r="C210" s="63"/>
      <c r="D210" s="64"/>
      <c r="E210" s="65"/>
      <c r="F210" s="66"/>
      <c r="G210" s="67"/>
      <c r="H210" s="67"/>
      <c r="I210" s="68"/>
      <c r="J210" s="69"/>
      <c r="K210" s="68"/>
      <c r="L210" s="68"/>
      <c r="M210" s="68"/>
      <c r="N210" s="68"/>
      <c r="O210" s="68"/>
      <c r="P210" s="68"/>
    </row>
    <row r="211" spans="3:16" x14ac:dyDescent="0.3">
      <c r="C211" s="63"/>
      <c r="D211" s="64"/>
      <c r="E211" s="65"/>
      <c r="F211" s="66"/>
      <c r="G211" s="67"/>
      <c r="H211" s="67"/>
      <c r="I211" s="68"/>
      <c r="J211" s="69"/>
      <c r="K211" s="68"/>
      <c r="L211" s="68"/>
      <c r="M211" s="68"/>
      <c r="N211" s="68"/>
      <c r="O211" s="68"/>
      <c r="P211" s="68"/>
    </row>
    <row r="212" spans="3:16" x14ac:dyDescent="0.3">
      <c r="C212" s="56"/>
      <c r="D212" s="57"/>
      <c r="E212" s="58"/>
      <c r="F212" s="59"/>
      <c r="G212" s="60"/>
      <c r="H212" s="60"/>
      <c r="I212" s="61"/>
      <c r="J212" s="62"/>
      <c r="K212" s="61"/>
      <c r="L212" s="61"/>
      <c r="M212" s="61"/>
      <c r="N212" s="61"/>
      <c r="O212" s="61"/>
      <c r="P212" s="61"/>
    </row>
    <row r="213" spans="3:16" x14ac:dyDescent="0.3">
      <c r="C213" s="63"/>
      <c r="D213" s="64"/>
      <c r="E213" s="65"/>
      <c r="F213" s="66"/>
      <c r="G213" s="67"/>
      <c r="H213" s="67"/>
      <c r="I213" s="68"/>
      <c r="J213" s="69"/>
      <c r="K213" s="68"/>
      <c r="L213" s="68"/>
      <c r="M213" s="68"/>
      <c r="N213" s="68"/>
      <c r="O213" s="68"/>
      <c r="P213" s="68"/>
    </row>
    <row r="214" spans="3:16" x14ac:dyDescent="0.3">
      <c r="C214" s="63"/>
      <c r="D214" s="64"/>
      <c r="E214" s="65"/>
      <c r="F214" s="66"/>
      <c r="G214" s="67"/>
      <c r="H214" s="67"/>
      <c r="I214" s="68"/>
      <c r="J214" s="69"/>
      <c r="K214" s="68"/>
      <c r="L214" s="68"/>
      <c r="M214" s="68"/>
      <c r="N214" s="68"/>
      <c r="O214" s="68"/>
      <c r="P214" s="68"/>
    </row>
  </sheetData>
  <autoFilter ref="C16:P31" xr:uid="{00000000-0009-0000-0000-00000E000000}">
    <filterColumn colId="0">
      <customFilters>
        <customFilter operator="notEqual" val=" "/>
      </customFilters>
    </filterColumn>
  </autoFilter>
  <mergeCells count="10">
    <mergeCell ref="C3:P3"/>
    <mergeCell ref="D6:P7"/>
    <mergeCell ref="C14:C15"/>
    <mergeCell ref="D14:D15"/>
    <mergeCell ref="E14:E15"/>
    <mergeCell ref="F14:F15"/>
    <mergeCell ref="G14:I14"/>
    <mergeCell ref="J14:J15"/>
    <mergeCell ref="K14:O14"/>
    <mergeCell ref="P14:P15"/>
  </mergeCells>
  <pageMargins left="0.39370078740157483" right="0" top="0.39370078740157483" bottom="0.78740157480314965" header="0.19685039370078741" footer="0.39370078740157483"/>
  <pageSetup paperSize="9" scale="80" orientation="portrait" blackAndWhite="1" r:id="rId1"/>
  <headerFooter alignWithMargins="0">
    <oddFooter>&amp;C&amp;6Página &amp;P</oddFooter>
  </headerFooter>
  <drawing r:id="rId2"/>
  <legacyDrawing r:id="rId3"/>
  <controls>
    <mc:AlternateContent xmlns:mc="http://schemas.openxmlformats.org/markup-compatibility/2006">
      <mc:Choice Requires="x14">
        <control shapeId="37889" r:id="rId4" name="CommandButton1">
          <controlPr defaultSize="0" autoLine="0" r:id="rId5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251460</xdr:colOff>
                <xdr:row>14</xdr:row>
                <xdr:rowOff>60960</xdr:rowOff>
              </to>
            </anchor>
          </controlPr>
        </control>
      </mc:Choice>
      <mc:Fallback>
        <control shapeId="37889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">
    <tabColor rgb="FFC00000"/>
  </sheetPr>
  <dimension ref="A2:U3083"/>
  <sheetViews>
    <sheetView tabSelected="1" view="pageBreakPreview" zoomScaleNormal="55" zoomScaleSheetLayoutView="100" workbookViewId="0">
      <pane xSplit="3" ySplit="9" topLeftCell="T10" activePane="bottomRight" state="frozen"/>
      <selection pane="topRight" activeCell="D1" sqref="D1"/>
      <selection pane="bottomLeft" activeCell="A613" sqref="A613"/>
      <selection pane="bottomRight" activeCell="B17" sqref="B17"/>
    </sheetView>
  </sheetViews>
  <sheetFormatPr baseColWidth="10" defaultColWidth="11.44140625" defaultRowHeight="14.4" x14ac:dyDescent="0.3"/>
  <cols>
    <col min="1" max="1" width="10.6640625" style="27" customWidth="1"/>
    <col min="2" max="2" width="69.33203125" style="27" customWidth="1"/>
    <col min="3" max="3" width="7.88671875" style="30" customWidth="1"/>
    <col min="4" max="6" width="12.77734375" style="30" customWidth="1"/>
    <col min="7" max="20" width="12.77734375" style="27" customWidth="1"/>
    <col min="21" max="21" width="12.109375" style="27" customWidth="1"/>
    <col min="22" max="16384" width="11.44140625" style="27"/>
  </cols>
  <sheetData>
    <row r="2" spans="1:21" ht="23.4" x14ac:dyDescent="0.3">
      <c r="A2" s="472" t="s">
        <v>116</v>
      </c>
      <c r="B2" s="472"/>
      <c r="C2" s="472"/>
      <c r="D2" s="472"/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</row>
    <row r="3" spans="1:21" ht="15.6" x14ac:dyDescent="0.3">
      <c r="E3" s="473" t="s">
        <v>383</v>
      </c>
      <c r="F3" s="473"/>
      <c r="G3" s="473"/>
      <c r="H3" s="473"/>
      <c r="I3" s="473"/>
      <c r="J3" s="473"/>
    </row>
    <row r="4" spans="1:21" x14ac:dyDescent="0.3">
      <c r="A4" s="198" t="s">
        <v>0</v>
      </c>
      <c r="B4" s="29" t="s">
        <v>1</v>
      </c>
    </row>
    <row r="5" spans="1:21" x14ac:dyDescent="0.3">
      <c r="A5" s="28" t="s">
        <v>2</v>
      </c>
      <c r="B5" s="29" t="s">
        <v>3</v>
      </c>
    </row>
    <row r="6" spans="1:21" x14ac:dyDescent="0.3">
      <c r="A6" s="199" t="s">
        <v>4</v>
      </c>
      <c r="B6" s="29" t="s">
        <v>370</v>
      </c>
    </row>
    <row r="7" spans="1:21" x14ac:dyDescent="0.3">
      <c r="A7" s="28" t="s">
        <v>5</v>
      </c>
      <c r="B7" s="29" t="s">
        <v>6</v>
      </c>
    </row>
    <row r="9" spans="1:21" s="31" customFormat="1" ht="36" x14ac:dyDescent="0.25">
      <c r="A9" s="156"/>
      <c r="B9" s="105" t="s">
        <v>7</v>
      </c>
      <c r="C9" s="105" t="s">
        <v>8</v>
      </c>
      <c r="D9" s="105" t="s">
        <v>9</v>
      </c>
      <c r="E9" s="105" t="s">
        <v>10</v>
      </c>
      <c r="F9" s="105" t="s">
        <v>11</v>
      </c>
      <c r="G9" s="105" t="s">
        <v>119</v>
      </c>
      <c r="H9" s="105" t="s">
        <v>121</v>
      </c>
      <c r="I9" s="105" t="s">
        <v>122</v>
      </c>
      <c r="J9" s="105" t="s">
        <v>123</v>
      </c>
      <c r="K9" s="105" t="s">
        <v>124</v>
      </c>
      <c r="L9" s="105" t="s">
        <v>126</v>
      </c>
      <c r="M9" s="105" t="s">
        <v>120</v>
      </c>
      <c r="N9" s="105" t="s">
        <v>32</v>
      </c>
      <c r="O9" s="191" t="s">
        <v>315</v>
      </c>
      <c r="P9" s="106" t="s">
        <v>319</v>
      </c>
      <c r="Q9" s="106" t="s">
        <v>332</v>
      </c>
      <c r="R9" s="106" t="s">
        <v>338</v>
      </c>
      <c r="S9" s="105" t="s">
        <v>117</v>
      </c>
      <c r="T9" s="105" t="s">
        <v>350</v>
      </c>
      <c r="U9" s="32" t="s">
        <v>118</v>
      </c>
    </row>
    <row r="10" spans="1:21" s="25" customFormat="1" ht="13.8" x14ac:dyDescent="0.3">
      <c r="A10" s="38"/>
      <c r="B10" s="38" t="s">
        <v>125</v>
      </c>
      <c r="C10" s="35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102"/>
      <c r="P10" s="34"/>
      <c r="Q10" s="34"/>
      <c r="R10" s="34"/>
      <c r="S10" s="34"/>
      <c r="T10" s="34"/>
      <c r="U10" s="34"/>
    </row>
    <row r="11" spans="1:21" s="25" customFormat="1" ht="13.8" x14ac:dyDescent="0.3">
      <c r="A11" s="38">
        <v>2</v>
      </c>
      <c r="B11" s="38" t="s">
        <v>17</v>
      </c>
      <c r="C11" s="35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102"/>
      <c r="P11" s="34"/>
      <c r="Q11" s="34"/>
      <c r="R11" s="34"/>
      <c r="S11" s="34"/>
      <c r="T11" s="34"/>
      <c r="U11" s="42"/>
    </row>
    <row r="12" spans="1:21" s="25" customFormat="1" ht="13.8" x14ac:dyDescent="0.3">
      <c r="A12" s="452" t="s">
        <v>395</v>
      </c>
      <c r="B12" s="453" t="s">
        <v>386</v>
      </c>
      <c r="C12" s="35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102"/>
      <c r="P12" s="34"/>
      <c r="Q12" s="34"/>
      <c r="R12" s="34"/>
      <c r="S12" s="34"/>
      <c r="T12" s="34"/>
      <c r="U12" s="42"/>
    </row>
    <row r="13" spans="1:21" s="25" customFormat="1" ht="13.8" x14ac:dyDescent="0.3">
      <c r="A13" s="474" t="s">
        <v>398</v>
      </c>
      <c r="B13" s="41" t="s">
        <v>384</v>
      </c>
      <c r="C13" s="43" t="s">
        <v>12</v>
      </c>
      <c r="D13" s="34"/>
      <c r="E13" s="34"/>
      <c r="F13" s="34"/>
      <c r="G13" s="34"/>
      <c r="H13" s="44">
        <f>'BLOQUE 05'!P21</f>
        <v>99.484000000000009</v>
      </c>
      <c r="I13" s="34"/>
      <c r="J13" s="34"/>
      <c r="K13" s="34"/>
      <c r="L13" s="34"/>
      <c r="M13" s="34"/>
      <c r="N13" s="34"/>
      <c r="O13" s="102"/>
      <c r="P13" s="34"/>
      <c r="Q13" s="34"/>
      <c r="R13" s="34"/>
      <c r="S13" s="34"/>
      <c r="T13" s="34"/>
      <c r="U13" s="42">
        <f t="shared" ref="U13" si="0">SUM(D13:T13)</f>
        <v>99.484000000000009</v>
      </c>
    </row>
    <row r="14" spans="1:21" s="25" customFormat="1" ht="13.8" x14ac:dyDescent="0.3">
      <c r="A14" s="37" t="s">
        <v>396</v>
      </c>
      <c r="B14" s="39" t="s">
        <v>18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42"/>
    </row>
    <row r="15" spans="1:21" s="25" customFormat="1" ht="13.8" x14ac:dyDescent="0.3">
      <c r="A15" s="36" t="s">
        <v>399</v>
      </c>
      <c r="B15" s="41" t="s">
        <v>148</v>
      </c>
      <c r="C15" s="43" t="s">
        <v>12</v>
      </c>
      <c r="D15" s="34"/>
      <c r="E15" s="34"/>
      <c r="F15" s="44"/>
      <c r="G15" s="34"/>
      <c r="H15" s="44"/>
      <c r="I15" s="34"/>
      <c r="J15" s="34"/>
      <c r="K15" s="34"/>
      <c r="L15" s="44">
        <f>'BLOQUE 09'!P21</f>
        <v>71.091000000000022</v>
      </c>
      <c r="M15" s="34"/>
      <c r="N15" s="44">
        <f>'BLOQUE 11'!P21</f>
        <v>138.485435</v>
      </c>
      <c r="O15" s="102"/>
      <c r="P15" s="34"/>
      <c r="Q15" s="34"/>
      <c r="R15" s="34"/>
      <c r="S15" s="44">
        <f>ESTACIONAMIENTO!P21</f>
        <v>22.271999999999998</v>
      </c>
      <c r="T15" s="34"/>
      <c r="U15" s="42">
        <f>SUM(D15:T15)</f>
        <v>231.84843499999999</v>
      </c>
    </row>
    <row r="16" spans="1:21" s="25" customFormat="1" ht="13.8" x14ac:dyDescent="0.3">
      <c r="A16" s="36" t="s">
        <v>400</v>
      </c>
      <c r="B16" s="41" t="s">
        <v>149</v>
      </c>
      <c r="C16" s="43" t="s">
        <v>12</v>
      </c>
      <c r="D16" s="34"/>
      <c r="E16" s="34"/>
      <c r="F16" s="44"/>
      <c r="G16" s="34"/>
      <c r="H16" s="44"/>
      <c r="I16" s="34"/>
      <c r="J16" s="34"/>
      <c r="K16" s="34"/>
      <c r="L16" s="34"/>
      <c r="M16" s="34"/>
      <c r="N16" s="34"/>
      <c r="O16" s="102"/>
      <c r="P16" s="34"/>
      <c r="Q16" s="34"/>
      <c r="R16" s="34"/>
      <c r="S16" s="44">
        <f>ESTACIONAMIENTO!P25</f>
        <v>779.548</v>
      </c>
      <c r="T16" s="34"/>
      <c r="U16" s="42">
        <f>SUM(D16:T16)</f>
        <v>779.548</v>
      </c>
    </row>
    <row r="17" spans="1:21" s="25" customFormat="1" ht="13.8" x14ac:dyDescent="0.3">
      <c r="A17" s="37" t="s">
        <v>397</v>
      </c>
      <c r="B17" s="39" t="s">
        <v>20</v>
      </c>
      <c r="C17" s="35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</row>
    <row r="18" spans="1:21" s="25" customFormat="1" ht="13.8" x14ac:dyDescent="0.3">
      <c r="A18" s="26" t="s">
        <v>401</v>
      </c>
      <c r="B18" s="40" t="s">
        <v>21</v>
      </c>
      <c r="C18" s="35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</row>
    <row r="19" spans="1:21" s="25" customFormat="1" ht="13.8" x14ac:dyDescent="0.3">
      <c r="A19" s="36" t="s">
        <v>402</v>
      </c>
      <c r="B19" s="41" t="s">
        <v>387</v>
      </c>
      <c r="C19" s="43" t="s">
        <v>12</v>
      </c>
      <c r="D19" s="34"/>
      <c r="E19" s="34"/>
      <c r="F19" s="34"/>
      <c r="G19" s="34"/>
      <c r="H19" s="34"/>
      <c r="I19" s="34"/>
      <c r="J19" s="34"/>
      <c r="K19" s="34"/>
      <c r="L19" s="44">
        <f>'BLOQUE 09'!P97</f>
        <v>212.67000000000002</v>
      </c>
      <c r="M19" s="34"/>
      <c r="N19" s="44">
        <f>'BLOQUE 11'!P85</f>
        <v>373.79</v>
      </c>
      <c r="O19" s="34"/>
      <c r="P19" s="34"/>
      <c r="Q19" s="34"/>
      <c r="R19" s="44">
        <f>'ESCALERAS Y RAMPAS'!P22</f>
        <v>213.32870000000003</v>
      </c>
      <c r="S19" s="34"/>
      <c r="T19" s="34"/>
      <c r="U19" s="42">
        <f>SUM(D19:T19)</f>
        <v>799.78870000000006</v>
      </c>
    </row>
    <row r="20" spans="1:21" s="25" customFormat="1" ht="13.8" x14ac:dyDescent="0.3">
      <c r="A20" s="36" t="s">
        <v>403</v>
      </c>
      <c r="B20" s="41" t="str">
        <f>'ESCALERA ING.'!D22</f>
        <v>REVESTIMIENTO DE PEDESTAL CON TERRAZO PULIDO</v>
      </c>
      <c r="C20" s="43" t="s">
        <v>8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44">
        <f>'ESCALERA ING.'!P22</f>
        <v>26</v>
      </c>
      <c r="P20" s="34"/>
      <c r="Q20" s="34"/>
      <c r="R20" s="34"/>
      <c r="S20" s="34"/>
      <c r="T20" s="44"/>
      <c r="U20" s="42">
        <f>SUM(D20:T20)</f>
        <v>26</v>
      </c>
    </row>
    <row r="21" spans="1:21" s="25" customFormat="1" ht="13.8" x14ac:dyDescent="0.3">
      <c r="A21" s="26" t="s">
        <v>410</v>
      </c>
      <c r="B21" s="40" t="s">
        <v>144</v>
      </c>
      <c r="C21" s="35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</row>
    <row r="22" spans="1:21" s="25" customFormat="1" ht="13.8" x14ac:dyDescent="0.3">
      <c r="A22" s="36" t="s">
        <v>411</v>
      </c>
      <c r="B22" s="41" t="s">
        <v>150</v>
      </c>
      <c r="C22" s="43" t="s">
        <v>13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44">
        <f>EXTERIORES!P21</f>
        <v>52.649999999999991</v>
      </c>
      <c r="U22" s="42">
        <f>SUM(D22:T22)</f>
        <v>52.649999999999991</v>
      </c>
    </row>
    <row r="23" spans="1:21" s="25" customFormat="1" ht="13.8" x14ac:dyDescent="0.3">
      <c r="A23" s="36" t="s">
        <v>412</v>
      </c>
      <c r="B23" s="41" t="s">
        <v>391</v>
      </c>
      <c r="C23" s="43" t="s">
        <v>13</v>
      </c>
      <c r="D23" s="34"/>
      <c r="E23" s="34"/>
      <c r="F23" s="34"/>
      <c r="G23" s="34"/>
      <c r="H23" s="34"/>
      <c r="I23" s="34"/>
      <c r="J23" s="34"/>
      <c r="K23" s="34"/>
      <c r="L23" s="44">
        <f>'BLOQUE 09'!P113</f>
        <v>42.09</v>
      </c>
      <c r="M23" s="34"/>
      <c r="N23" s="34"/>
      <c r="O23" s="34"/>
      <c r="P23" s="34"/>
      <c r="Q23" s="34"/>
      <c r="R23" s="34"/>
      <c r="S23" s="34"/>
      <c r="T23" s="44">
        <f>EXTERIORES!P32</f>
        <v>14.82</v>
      </c>
      <c r="U23" s="42">
        <f>SUM(D23:T23)</f>
        <v>56.910000000000004</v>
      </c>
    </row>
    <row r="24" spans="1:21" s="25" customFormat="1" ht="13.8" x14ac:dyDescent="0.3">
      <c r="A24" s="36" t="s">
        <v>413</v>
      </c>
      <c r="B24" s="41" t="s">
        <v>392</v>
      </c>
      <c r="C24" s="43" t="s">
        <v>13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44">
        <f>EXTERIORES!P37</f>
        <v>12.6</v>
      </c>
      <c r="U24" s="42">
        <f>SUM(D24:T24)</f>
        <v>12.6</v>
      </c>
    </row>
    <row r="25" spans="1:21" s="25" customFormat="1" ht="13.8" x14ac:dyDescent="0.3">
      <c r="A25" s="37" t="s">
        <v>404</v>
      </c>
      <c r="B25" s="39" t="s">
        <v>22</v>
      </c>
      <c r="C25" s="35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</row>
    <row r="26" spans="1:21" s="25" customFormat="1" ht="13.8" x14ac:dyDescent="0.3">
      <c r="A26" s="26" t="s">
        <v>405</v>
      </c>
      <c r="B26" s="40" t="s">
        <v>23</v>
      </c>
      <c r="C26" s="45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</row>
    <row r="27" spans="1:21" s="25" customFormat="1" ht="13.8" x14ac:dyDescent="0.3">
      <c r="A27" s="36" t="s">
        <v>414</v>
      </c>
      <c r="B27" s="41" t="s">
        <v>152</v>
      </c>
      <c r="C27" s="43" t="s">
        <v>13</v>
      </c>
      <c r="D27" s="44">
        <f>'BLOQUE 01'!P22</f>
        <v>27.05</v>
      </c>
      <c r="E27" s="44">
        <f>'BLOQUE 02'!P22</f>
        <v>51.95</v>
      </c>
      <c r="F27" s="44">
        <f>'BLOQUE 03'!P22</f>
        <v>6.75</v>
      </c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42">
        <f>SUM(D27:T27)</f>
        <v>85.75</v>
      </c>
    </row>
    <row r="28" spans="1:21" s="25" customFormat="1" ht="13.8" x14ac:dyDescent="0.3">
      <c r="A28" s="36" t="s">
        <v>415</v>
      </c>
      <c r="B28" s="41" t="s">
        <v>153</v>
      </c>
      <c r="C28" s="43" t="s">
        <v>13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44">
        <f>ESTACIONAMIENTO!P41</f>
        <v>69.77</v>
      </c>
      <c r="T28" s="34"/>
      <c r="U28" s="42">
        <f>SUM(D28:T28)</f>
        <v>69.77</v>
      </c>
    </row>
    <row r="29" spans="1:21" s="25" customFormat="1" ht="13.8" x14ac:dyDescent="0.3">
      <c r="A29" s="37" t="s">
        <v>416</v>
      </c>
      <c r="B29" s="39" t="s">
        <v>154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</row>
    <row r="30" spans="1:21" s="25" customFormat="1" ht="13.8" x14ac:dyDescent="0.3">
      <c r="A30" s="36" t="s">
        <v>417</v>
      </c>
      <c r="B30" s="41" t="s">
        <v>155</v>
      </c>
      <c r="C30" s="43" t="s">
        <v>12</v>
      </c>
      <c r="D30" s="34"/>
      <c r="E30" s="34"/>
      <c r="F30" s="44"/>
      <c r="G30" s="34"/>
      <c r="H30" s="34"/>
      <c r="I30" s="34"/>
      <c r="J30" s="34"/>
      <c r="K30" s="34"/>
      <c r="L30" s="34"/>
      <c r="M30" s="34"/>
      <c r="N30" s="34"/>
      <c r="O30" s="34"/>
      <c r="P30" s="44">
        <f>QUIOSCOS!P21</f>
        <v>37.065999999999995</v>
      </c>
      <c r="Q30" s="44">
        <f>GUARDIANÍAS!P21</f>
        <v>32.07</v>
      </c>
      <c r="R30" s="34"/>
      <c r="S30" s="34"/>
      <c r="T30" s="34"/>
      <c r="U30" s="42">
        <f>SUM(D30:T30)</f>
        <v>69.135999999999996</v>
      </c>
    </row>
    <row r="31" spans="1:21" s="25" customFormat="1" ht="13.8" x14ac:dyDescent="0.3">
      <c r="A31" s="36" t="s">
        <v>418</v>
      </c>
      <c r="B31" s="41" t="str">
        <f>'BLOQUE 09'!D118</f>
        <v>COBERTURA DE POLICARBONATO SOLIDO Y TUBO DE ACERO LAC</v>
      </c>
      <c r="C31" s="43" t="s">
        <v>8</v>
      </c>
      <c r="D31" s="34"/>
      <c r="E31" s="34"/>
      <c r="F31" s="44"/>
      <c r="G31" s="34"/>
      <c r="H31" s="34"/>
      <c r="I31" s="34"/>
      <c r="J31" s="34"/>
      <c r="K31" s="34"/>
      <c r="L31" s="44">
        <f>'BLOQUE 09'!P118</f>
        <v>1</v>
      </c>
      <c r="M31" s="34"/>
      <c r="N31" s="34"/>
      <c r="O31" s="34"/>
      <c r="P31" s="44"/>
      <c r="Q31" s="44"/>
      <c r="R31" s="34"/>
      <c r="S31" s="34"/>
      <c r="T31" s="34"/>
      <c r="U31" s="42">
        <f t="shared" ref="U31" si="1">SUM(D31:T31)</f>
        <v>1</v>
      </c>
    </row>
    <row r="32" spans="1:21" s="25" customFormat="1" ht="13.8" x14ac:dyDescent="0.3">
      <c r="A32" s="37" t="s">
        <v>406</v>
      </c>
      <c r="B32" s="39" t="s">
        <v>26</v>
      </c>
      <c r="C32" s="35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</row>
    <row r="33" spans="1:21" s="25" customFormat="1" ht="13.8" x14ac:dyDescent="0.3">
      <c r="A33" s="26" t="s">
        <v>407</v>
      </c>
      <c r="B33" s="46" t="s">
        <v>27</v>
      </c>
      <c r="C33" s="35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</row>
    <row r="34" spans="1:21" s="25" customFormat="1" ht="13.8" x14ac:dyDescent="0.3">
      <c r="A34" s="36" t="s">
        <v>408</v>
      </c>
      <c r="B34" s="41" t="s">
        <v>436</v>
      </c>
      <c r="C34" s="35" t="s">
        <v>14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44"/>
      <c r="U34" s="42">
        <f>SUM(T35)</f>
        <v>339</v>
      </c>
    </row>
    <row r="35" spans="1:21" s="25" customFormat="1" ht="13.8" x14ac:dyDescent="0.3">
      <c r="A35" s="36"/>
      <c r="B35" s="41" t="s">
        <v>437</v>
      </c>
      <c r="C35" s="35"/>
      <c r="D35" s="34">
        <v>339</v>
      </c>
      <c r="E35" s="34"/>
      <c r="F35" s="34"/>
      <c r="G35" s="34"/>
      <c r="H35" s="34"/>
      <c r="I35" s="34"/>
      <c r="J35" s="34"/>
      <c r="K35" s="34"/>
      <c r="L35" s="34"/>
      <c r="M35" s="34"/>
      <c r="N35" s="34">
        <v>65.28</v>
      </c>
      <c r="O35" s="34"/>
      <c r="P35" s="34"/>
      <c r="Q35" s="34"/>
      <c r="R35" s="34"/>
      <c r="S35" s="34"/>
      <c r="T35" s="44">
        <v>339</v>
      </c>
      <c r="U35" s="42"/>
    </row>
    <row r="36" spans="1:21" s="25" customFormat="1" ht="13.8" x14ac:dyDescent="0.3">
      <c r="A36" s="36" t="s">
        <v>409</v>
      </c>
      <c r="B36" s="41" t="s">
        <v>157</v>
      </c>
      <c r="C36" s="43" t="s">
        <v>12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44"/>
      <c r="U36" s="455">
        <f>T37</f>
        <v>29.1</v>
      </c>
    </row>
    <row r="37" spans="1:21" s="25" customFormat="1" ht="13.2" customHeight="1" x14ac:dyDescent="0.3">
      <c r="A37" s="36"/>
      <c r="B37" s="41" t="s">
        <v>438</v>
      </c>
      <c r="C37" s="43"/>
      <c r="D37" s="34">
        <v>29.1</v>
      </c>
      <c r="E37" s="34"/>
      <c r="F37" s="44"/>
      <c r="G37" s="34"/>
      <c r="H37" s="34"/>
      <c r="I37" s="34"/>
      <c r="J37" s="34"/>
      <c r="K37" s="34"/>
      <c r="L37" s="34"/>
      <c r="M37" s="34"/>
      <c r="N37" s="34">
        <v>764.59</v>
      </c>
      <c r="O37" s="34"/>
      <c r="P37" s="34"/>
      <c r="Q37" s="34"/>
      <c r="R37" s="34"/>
      <c r="S37" s="34"/>
      <c r="T37" s="44">
        <v>29.1</v>
      </c>
      <c r="U37" s="42"/>
    </row>
    <row r="38" spans="1:21" s="25" customFormat="1" ht="13.2" customHeight="1" x14ac:dyDescent="0.3">
      <c r="A38" s="36" t="s">
        <v>419</v>
      </c>
      <c r="B38" s="41" t="s">
        <v>422</v>
      </c>
      <c r="C38" s="43" t="s">
        <v>14</v>
      </c>
      <c r="D38" s="34"/>
      <c r="E38" s="34"/>
      <c r="F38" s="4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44"/>
      <c r="U38" s="42">
        <f>T39</f>
        <v>1</v>
      </c>
    </row>
    <row r="39" spans="1:21" s="25" customFormat="1" ht="13.2" customHeight="1" x14ac:dyDescent="0.3">
      <c r="A39" s="36"/>
      <c r="B39" s="41" t="s">
        <v>439</v>
      </c>
      <c r="C39" s="43"/>
      <c r="D39" s="34">
        <v>1</v>
      </c>
      <c r="E39" s="34"/>
      <c r="F39" s="44"/>
      <c r="G39" s="34"/>
      <c r="H39" s="34"/>
      <c r="I39" s="34"/>
      <c r="J39" s="34"/>
      <c r="K39" s="34"/>
      <c r="L39" s="34"/>
      <c r="M39" s="34"/>
      <c r="N39" s="454">
        <v>5000</v>
      </c>
      <c r="O39" s="34"/>
      <c r="P39" s="34"/>
      <c r="Q39" s="34"/>
      <c r="R39" s="34"/>
      <c r="S39" s="34"/>
      <c r="T39" s="44">
        <v>1</v>
      </c>
      <c r="U39" s="42"/>
    </row>
    <row r="40" spans="1:21" s="25" customFormat="1" ht="13.2" customHeight="1" x14ac:dyDescent="0.3">
      <c r="A40" s="36" t="s">
        <v>420</v>
      </c>
      <c r="B40" s="41" t="s">
        <v>421</v>
      </c>
      <c r="C40" s="43" t="s">
        <v>12</v>
      </c>
      <c r="D40" s="34"/>
      <c r="E40" s="34"/>
      <c r="F40" s="44"/>
      <c r="G40" s="34"/>
      <c r="H40" s="34"/>
      <c r="I40" s="34"/>
      <c r="J40" s="34"/>
      <c r="K40" s="34"/>
      <c r="L40" s="34"/>
      <c r="M40" s="34"/>
      <c r="N40" s="454"/>
      <c r="O40" s="34"/>
      <c r="P40" s="34"/>
      <c r="Q40" s="34"/>
      <c r="R40" s="34"/>
      <c r="S40" s="34"/>
      <c r="T40" s="44"/>
      <c r="U40" s="42">
        <f>T41</f>
        <v>3.44</v>
      </c>
    </row>
    <row r="41" spans="1:21" s="25" customFormat="1" ht="13.2" customHeight="1" x14ac:dyDescent="0.3">
      <c r="A41" s="36"/>
      <c r="B41" s="41" t="s">
        <v>440</v>
      </c>
      <c r="C41" s="43"/>
      <c r="D41" s="34">
        <v>3.44</v>
      </c>
      <c r="E41" s="34"/>
      <c r="F41" s="44"/>
      <c r="G41" s="34"/>
      <c r="H41" s="34"/>
      <c r="I41" s="34"/>
      <c r="J41" s="34"/>
      <c r="K41" s="34"/>
      <c r="L41" s="34"/>
      <c r="M41" s="34"/>
      <c r="N41" s="34">
        <v>354.7</v>
      </c>
      <c r="O41" s="34"/>
      <c r="P41" s="34"/>
      <c r="Q41" s="34"/>
      <c r="R41" s="34"/>
      <c r="S41" s="34"/>
      <c r="T41" s="44">
        <v>3.44</v>
      </c>
      <c r="U41" s="42"/>
    </row>
    <row r="42" spans="1:21" s="25" customFormat="1" ht="13.8" x14ac:dyDescent="0.3">
      <c r="A42" s="37" t="s">
        <v>423</v>
      </c>
      <c r="B42" s="39" t="s">
        <v>28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</row>
    <row r="43" spans="1:21" s="25" customFormat="1" ht="13.8" x14ac:dyDescent="0.3">
      <c r="A43" s="36" t="s">
        <v>424</v>
      </c>
      <c r="B43" s="41" t="s">
        <v>158</v>
      </c>
      <c r="C43" s="43" t="s">
        <v>14</v>
      </c>
      <c r="D43" s="44">
        <f>'BLOQUE 01'!P30</f>
        <v>2</v>
      </c>
      <c r="E43" s="34"/>
      <c r="F43" s="44"/>
      <c r="G43" s="34"/>
      <c r="H43" s="44">
        <f>'BLOQUE 05'!P29</f>
        <v>4</v>
      </c>
      <c r="I43" s="34"/>
      <c r="J43" s="34"/>
      <c r="K43" s="34"/>
      <c r="L43" s="34"/>
      <c r="M43" s="44">
        <f>'BLOQUE 10'!P21</f>
        <v>3</v>
      </c>
      <c r="N43" s="34"/>
      <c r="O43" s="34"/>
      <c r="P43" s="34"/>
      <c r="Q43" s="34"/>
      <c r="R43" s="34"/>
      <c r="S43" s="34"/>
      <c r="T43" s="34"/>
      <c r="U43" s="42">
        <f>SUM(D43:T43)</f>
        <v>9</v>
      </c>
    </row>
    <row r="44" spans="1:21" s="25" customFormat="1" ht="13.8" x14ac:dyDescent="0.3">
      <c r="A44" s="36" t="s">
        <v>425</v>
      </c>
      <c r="B44" s="41" t="s">
        <v>159</v>
      </c>
      <c r="C44" s="43" t="s">
        <v>14</v>
      </c>
      <c r="D44" s="34"/>
      <c r="E44" s="44">
        <f>'BLOQUE 02'!P29</f>
        <v>9</v>
      </c>
      <c r="F44" s="44"/>
      <c r="G44" s="44">
        <f>'BLOQUE 04'!P21</f>
        <v>8</v>
      </c>
      <c r="H44" s="44">
        <f>'BLOQUE 05'!P34</f>
        <v>11</v>
      </c>
      <c r="I44" s="44">
        <f>'BLOQUE 06'!P102</f>
        <v>6</v>
      </c>
      <c r="J44" s="34"/>
      <c r="K44" s="44">
        <f>'BLOQUE 08'!P21</f>
        <v>6</v>
      </c>
      <c r="L44" s="34"/>
      <c r="M44" s="44">
        <f>'BLOQUE 10'!P27</f>
        <v>8</v>
      </c>
      <c r="N44" s="44">
        <f>'BLOQUE 11'!P108</f>
        <v>2</v>
      </c>
      <c r="O44" s="34"/>
      <c r="P44" s="34"/>
      <c r="Q44" s="34"/>
      <c r="R44" s="34"/>
      <c r="S44" s="34"/>
      <c r="T44" s="34"/>
      <c r="U44" s="42">
        <f>SUM(D44:T44)</f>
        <v>50</v>
      </c>
    </row>
    <row r="45" spans="1:21" s="25" customFormat="1" ht="13.8" x14ac:dyDescent="0.3">
      <c r="A45" s="37" t="s">
        <v>426</v>
      </c>
      <c r="B45" s="39" t="s">
        <v>29</v>
      </c>
      <c r="C45" s="35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</row>
    <row r="46" spans="1:21" s="25" customFormat="1" ht="13.8" x14ac:dyDescent="0.3">
      <c r="A46" s="36" t="s">
        <v>427</v>
      </c>
      <c r="B46" s="41" t="s">
        <v>160</v>
      </c>
      <c r="C46" s="43" t="s">
        <v>13</v>
      </c>
      <c r="D46" s="44">
        <f>'BLOQUE 01'!P36</f>
        <v>149.80000000000001</v>
      </c>
      <c r="E46" s="44">
        <f>'BLOQUE 02'!P39</f>
        <v>119.61000000000001</v>
      </c>
      <c r="F46" s="44">
        <f>'BLOQUE 03'!P27</f>
        <v>239.92000000000002</v>
      </c>
      <c r="G46" s="44">
        <f>'BLOQUE 04'!P36</f>
        <v>555.15000000000009</v>
      </c>
      <c r="H46" s="44">
        <f>'BLOQUE 05'!P46</f>
        <v>679.7700000000001</v>
      </c>
      <c r="I46" s="44">
        <f>'BLOQUE 06'!P112</f>
        <v>80.100000000000009</v>
      </c>
      <c r="J46" s="44">
        <f>'BLOQUE 07'!P21</f>
        <v>239.92000000000002</v>
      </c>
      <c r="K46" s="44">
        <f>'BLOQUE 08'!P31</f>
        <v>80.100000000000009</v>
      </c>
      <c r="L46" s="44">
        <f>'BLOQUE 09'!P123</f>
        <v>55.8</v>
      </c>
      <c r="M46" s="44">
        <f>'BLOQUE 10'!P35</f>
        <v>106.80000000000001</v>
      </c>
      <c r="N46" s="44">
        <f>'BLOQUE 11'!P114</f>
        <v>83.55</v>
      </c>
      <c r="O46" s="34"/>
      <c r="P46" s="44">
        <f>QUIOSCOS!P33</f>
        <v>155.1</v>
      </c>
      <c r="Q46" s="44"/>
      <c r="R46" s="34"/>
      <c r="S46" s="34"/>
      <c r="T46" s="34"/>
      <c r="U46" s="42">
        <f>SUM(D46:T46)</f>
        <v>2545.6200000000003</v>
      </c>
    </row>
    <row r="47" spans="1:21" x14ac:dyDescent="0.3">
      <c r="A47" s="37" t="s">
        <v>428</v>
      </c>
      <c r="B47" s="39" t="s">
        <v>16</v>
      </c>
      <c r="C47" s="200"/>
      <c r="D47" s="200"/>
      <c r="E47" s="34"/>
      <c r="F47" s="200"/>
      <c r="G47" s="201"/>
      <c r="H47" s="34"/>
      <c r="I47" s="34"/>
      <c r="J47" s="34"/>
      <c r="K47" s="34"/>
      <c r="L47" s="34"/>
      <c r="M47" s="34"/>
      <c r="N47" s="34"/>
      <c r="O47" s="201"/>
      <c r="P47" s="34"/>
      <c r="Q47" s="34"/>
      <c r="R47" s="34"/>
      <c r="S47" s="34"/>
      <c r="T47" s="34"/>
      <c r="U47" s="34"/>
    </row>
    <row r="48" spans="1:21" s="25" customFormat="1" x14ac:dyDescent="0.3">
      <c r="A48" s="47" t="s">
        <v>429</v>
      </c>
      <c r="B48" s="441" t="s">
        <v>373</v>
      </c>
      <c r="C48" s="43" t="s">
        <v>13</v>
      </c>
      <c r="D48" s="202">
        <f>'BLOQUE 01'!P50</f>
        <v>274.13</v>
      </c>
      <c r="E48" s="44">
        <f>'BLOQUE 02'!P45</f>
        <v>665.31999999999994</v>
      </c>
      <c r="F48" s="44">
        <f>'BLOQUE 03'!P38</f>
        <v>159.60000000000002</v>
      </c>
      <c r="G48" s="44">
        <f>'BLOQUE 04'!P51</f>
        <v>864.47000000000037</v>
      </c>
      <c r="H48" s="44">
        <f>'BLOQUE 05'!P57</f>
        <v>855.85</v>
      </c>
      <c r="I48" s="44">
        <f>'BLOQUE 06'!P118</f>
        <v>479.09999999999991</v>
      </c>
      <c r="J48" s="44">
        <f>'BLOQUE 07'!P32</f>
        <v>119.70000000000002</v>
      </c>
      <c r="K48" s="44">
        <f>'BLOQUE 08'!P37</f>
        <v>479.09999999999991</v>
      </c>
      <c r="L48" s="44">
        <f>'BLOQUE 09'!P128</f>
        <v>156.02000000000001</v>
      </c>
      <c r="M48" s="44">
        <f>'BLOQUE 10'!P41</f>
        <v>742.29000000000019</v>
      </c>
      <c r="N48" s="44">
        <f>'BLOQUE 11'!P119</f>
        <v>91.339999999999989</v>
      </c>
      <c r="O48" s="203"/>
      <c r="P48" s="44">
        <f>QUIOSCOS!P46</f>
        <v>282.68000000000012</v>
      </c>
      <c r="Q48" s="44">
        <f>GUARDIANÍAS!P30</f>
        <v>38.369999999999997</v>
      </c>
      <c r="R48" s="34"/>
      <c r="S48" s="34"/>
      <c r="T48" s="34"/>
      <c r="U48" s="42">
        <f t="shared" ref="U48:U54" si="2">SUM(D48:T48)</f>
        <v>5207.97</v>
      </c>
    </row>
    <row r="49" spans="1:21" s="25" customFormat="1" ht="13.8" x14ac:dyDescent="0.3">
      <c r="A49" s="47" t="s">
        <v>430</v>
      </c>
      <c r="B49" s="41" t="s">
        <v>371</v>
      </c>
      <c r="C49" s="43" t="s">
        <v>13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44">
        <f>'ESCALERA ING.'!P26</f>
        <v>249.05</v>
      </c>
      <c r="P49" s="34"/>
      <c r="Q49" s="34"/>
      <c r="R49" s="34"/>
      <c r="S49" s="34"/>
      <c r="T49" s="34"/>
      <c r="U49" s="42">
        <f t="shared" si="2"/>
        <v>249.05</v>
      </c>
    </row>
    <row r="50" spans="1:21" s="25" customFormat="1" x14ac:dyDescent="0.3">
      <c r="A50" s="47" t="s">
        <v>431</v>
      </c>
      <c r="B50" s="41" t="s">
        <v>376</v>
      </c>
      <c r="C50" s="43" t="s">
        <v>14</v>
      </c>
      <c r="D50" s="202">
        <f>'BLOQUE 01'!P96</f>
        <v>1</v>
      </c>
      <c r="E50" s="35"/>
      <c r="F50" s="35"/>
      <c r="G50" s="33"/>
      <c r="H50" s="34"/>
      <c r="I50" s="34"/>
      <c r="J50" s="34"/>
      <c r="K50" s="34"/>
      <c r="L50" s="34"/>
      <c r="M50" s="34"/>
      <c r="N50" s="34"/>
      <c r="O50" s="203"/>
      <c r="P50" s="34"/>
      <c r="Q50" s="34"/>
      <c r="R50" s="34"/>
      <c r="S50" s="34"/>
      <c r="T50" s="34"/>
      <c r="U50" s="42">
        <f t="shared" si="2"/>
        <v>1</v>
      </c>
    </row>
    <row r="51" spans="1:21" s="25" customFormat="1" x14ac:dyDescent="0.3">
      <c r="A51" s="47" t="s">
        <v>432</v>
      </c>
      <c r="B51" s="41" t="s">
        <v>377</v>
      </c>
      <c r="C51" s="43" t="s">
        <v>14</v>
      </c>
      <c r="D51" s="35"/>
      <c r="E51" s="35"/>
      <c r="F51" s="35"/>
      <c r="G51" s="33"/>
      <c r="H51" s="34"/>
      <c r="I51" s="34"/>
      <c r="J51" s="34"/>
      <c r="K51" s="34"/>
      <c r="L51" s="34"/>
      <c r="M51" s="34"/>
      <c r="N51" s="44">
        <f>'BLOQUE 11'!P144</f>
        <v>1</v>
      </c>
      <c r="O51" s="203"/>
      <c r="P51" s="34"/>
      <c r="Q51" s="34"/>
      <c r="R51" s="34"/>
      <c r="S51" s="34"/>
      <c r="T51" s="34"/>
      <c r="U51" s="42">
        <v>107.68</v>
      </c>
    </row>
    <row r="52" spans="1:21" s="25" customFormat="1" x14ac:dyDescent="0.3">
      <c r="A52" s="47" t="s">
        <v>433</v>
      </c>
      <c r="B52" s="41" t="s">
        <v>378</v>
      </c>
      <c r="C52" s="43" t="s">
        <v>14</v>
      </c>
      <c r="D52" s="35"/>
      <c r="E52" s="35"/>
      <c r="F52" s="35"/>
      <c r="G52" s="33"/>
      <c r="H52" s="34"/>
      <c r="I52" s="34"/>
      <c r="J52" s="34"/>
      <c r="K52" s="34"/>
      <c r="L52" s="34"/>
      <c r="M52" s="34"/>
      <c r="N52" s="44">
        <f>'BLOQUE 11'!P147</f>
        <v>1</v>
      </c>
      <c r="O52" s="203"/>
      <c r="P52" s="34"/>
      <c r="Q52" s="34"/>
      <c r="R52" s="34"/>
      <c r="S52" s="34"/>
      <c r="T52" s="34">
        <v>107.68</v>
      </c>
      <c r="U52" s="42">
        <f>SUM(D52:T52)</f>
        <v>108.68</v>
      </c>
    </row>
    <row r="53" spans="1:21" s="25" customFormat="1" x14ac:dyDescent="0.3">
      <c r="A53" s="47" t="s">
        <v>434</v>
      </c>
      <c r="B53" s="441" t="s">
        <v>379</v>
      </c>
      <c r="C53" s="43" t="s">
        <v>14</v>
      </c>
      <c r="D53" s="35"/>
      <c r="E53" s="35"/>
      <c r="F53" s="35"/>
      <c r="G53" s="33"/>
      <c r="H53" s="34"/>
      <c r="I53" s="34"/>
      <c r="J53" s="34"/>
      <c r="K53" s="34"/>
      <c r="L53" s="34"/>
      <c r="M53" s="34"/>
      <c r="N53" s="44" t="e">
        <f>'BLOQUE 11'!#REF!</f>
        <v>#REF!</v>
      </c>
      <c r="O53" s="203"/>
      <c r="P53" s="34"/>
      <c r="Q53" s="34"/>
      <c r="R53" s="34"/>
      <c r="S53" s="34"/>
      <c r="T53" s="34">
        <v>2</v>
      </c>
      <c r="U53" s="42">
        <f>SUM(T53)</f>
        <v>2</v>
      </c>
    </row>
    <row r="54" spans="1:21" s="25" customFormat="1" ht="13.8" x14ac:dyDescent="0.3">
      <c r="A54" s="47" t="s">
        <v>435</v>
      </c>
      <c r="B54" s="41" t="s">
        <v>380</v>
      </c>
      <c r="C54" s="35" t="s">
        <v>14</v>
      </c>
      <c r="D54" s="35"/>
      <c r="E54" s="35"/>
      <c r="F54" s="35"/>
      <c r="G54" s="33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44">
        <f>EXTERIORES!P59</f>
        <v>1</v>
      </c>
      <c r="U54" s="42">
        <f t="shared" si="2"/>
        <v>1</v>
      </c>
    </row>
    <row r="55" spans="1:21" s="25" customFormat="1" ht="13.8" x14ac:dyDescent="0.3">
      <c r="A55" s="204"/>
      <c r="B55" s="162"/>
      <c r="C55" s="205"/>
      <c r="D55" s="205"/>
      <c r="E55" s="205"/>
      <c r="F55" s="205"/>
      <c r="G55" s="206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207"/>
    </row>
    <row r="56" spans="1:21" s="25" customFormat="1" ht="13.8" x14ac:dyDescent="0.3">
      <c r="A56" s="208"/>
      <c r="B56" s="208"/>
      <c r="C56" s="209"/>
      <c r="D56" s="209"/>
      <c r="E56" s="209"/>
      <c r="F56" s="209"/>
      <c r="G56" s="210"/>
    </row>
    <row r="57" spans="1:21" s="25" customFormat="1" ht="13.8" x14ac:dyDescent="0.3">
      <c r="A57" s="208"/>
      <c r="B57" s="208"/>
      <c r="C57" s="209"/>
      <c r="D57" s="209"/>
      <c r="E57" s="209"/>
      <c r="F57" s="209"/>
      <c r="G57" s="210"/>
    </row>
    <row r="58" spans="1:21" s="25" customFormat="1" ht="13.8" x14ac:dyDescent="0.3">
      <c r="A58" s="208"/>
      <c r="B58" s="208"/>
      <c r="C58" s="209"/>
      <c r="D58" s="209"/>
      <c r="E58" s="209"/>
      <c r="F58" s="209"/>
      <c r="G58" s="210"/>
    </row>
    <row r="59" spans="1:21" s="25" customFormat="1" ht="13.8" x14ac:dyDescent="0.3">
      <c r="A59" s="208"/>
      <c r="B59" s="208"/>
      <c r="C59" s="209"/>
      <c r="D59" s="209"/>
      <c r="E59" s="209"/>
      <c r="F59" s="209"/>
      <c r="G59" s="210"/>
    </row>
    <row r="60" spans="1:21" s="25" customFormat="1" ht="13.8" x14ac:dyDescent="0.3">
      <c r="A60" s="208"/>
      <c r="B60" s="208"/>
      <c r="C60" s="209"/>
      <c r="D60" s="209"/>
      <c r="E60" s="209"/>
      <c r="F60" s="209"/>
      <c r="G60" s="210"/>
    </row>
    <row r="61" spans="1:21" s="25" customFormat="1" ht="13.8" x14ac:dyDescent="0.3">
      <c r="A61" s="208"/>
      <c r="B61" s="208"/>
      <c r="C61" s="209"/>
      <c r="D61" s="209"/>
      <c r="E61" s="209"/>
      <c r="F61" s="209"/>
      <c r="G61" s="210"/>
    </row>
    <row r="62" spans="1:21" s="25" customFormat="1" ht="13.8" x14ac:dyDescent="0.3">
      <c r="A62" s="208"/>
      <c r="B62" s="208"/>
      <c r="C62" s="209"/>
      <c r="D62" s="209"/>
      <c r="E62" s="209"/>
      <c r="F62" s="209"/>
      <c r="G62" s="210"/>
    </row>
    <row r="63" spans="1:21" s="25" customFormat="1" ht="13.8" x14ac:dyDescent="0.3">
      <c r="A63" s="208"/>
      <c r="B63" s="208"/>
      <c r="C63" s="209"/>
      <c r="D63" s="209"/>
      <c r="E63" s="209"/>
      <c r="F63" s="209"/>
      <c r="G63" s="210"/>
    </row>
    <row r="64" spans="1:21" s="25" customFormat="1" ht="13.8" x14ac:dyDescent="0.3">
      <c r="A64" s="208"/>
      <c r="B64" s="208"/>
      <c r="C64" s="209"/>
      <c r="D64" s="209"/>
      <c r="E64" s="209"/>
      <c r="F64" s="209"/>
      <c r="G64" s="210"/>
    </row>
    <row r="65" spans="1:7" s="25" customFormat="1" ht="13.8" x14ac:dyDescent="0.3">
      <c r="A65" s="208"/>
      <c r="B65" s="208"/>
      <c r="C65" s="209"/>
      <c r="D65" s="209"/>
      <c r="E65" s="209"/>
      <c r="F65" s="209"/>
      <c r="G65" s="210"/>
    </row>
    <row r="66" spans="1:7" s="25" customFormat="1" ht="13.8" x14ac:dyDescent="0.3">
      <c r="A66" s="208"/>
      <c r="B66" s="208"/>
      <c r="C66" s="209"/>
      <c r="D66" s="209"/>
      <c r="E66" s="209"/>
      <c r="F66" s="209"/>
      <c r="G66" s="210"/>
    </row>
    <row r="67" spans="1:7" s="25" customFormat="1" ht="13.8" x14ac:dyDescent="0.3">
      <c r="A67" s="208"/>
      <c r="B67" s="208"/>
      <c r="C67" s="209"/>
      <c r="D67" s="209"/>
      <c r="E67" s="209"/>
      <c r="F67" s="209"/>
      <c r="G67" s="210"/>
    </row>
    <row r="68" spans="1:7" s="25" customFormat="1" ht="13.8" x14ac:dyDescent="0.3">
      <c r="A68" s="208"/>
      <c r="B68" s="208"/>
      <c r="C68" s="209"/>
      <c r="D68" s="209"/>
      <c r="E68" s="209"/>
      <c r="F68" s="209"/>
      <c r="G68" s="210"/>
    </row>
    <row r="69" spans="1:7" s="25" customFormat="1" ht="13.8" x14ac:dyDescent="0.3">
      <c r="A69" s="208"/>
      <c r="B69" s="208"/>
      <c r="C69" s="209"/>
      <c r="D69" s="209"/>
      <c r="E69" s="209"/>
      <c r="F69" s="209"/>
      <c r="G69" s="210"/>
    </row>
    <row r="70" spans="1:7" s="25" customFormat="1" ht="13.8" x14ac:dyDescent="0.3">
      <c r="A70" s="208"/>
      <c r="B70" s="208"/>
      <c r="C70" s="209"/>
      <c r="D70" s="209"/>
      <c r="E70" s="209"/>
      <c r="F70" s="209"/>
      <c r="G70" s="210"/>
    </row>
    <row r="71" spans="1:7" s="25" customFormat="1" ht="13.8" x14ac:dyDescent="0.3">
      <c r="A71" s="208"/>
      <c r="B71" s="208"/>
      <c r="C71" s="209"/>
      <c r="D71" s="209"/>
      <c r="E71" s="209"/>
      <c r="F71" s="209"/>
      <c r="G71" s="210"/>
    </row>
    <row r="72" spans="1:7" s="25" customFormat="1" ht="13.8" x14ac:dyDescent="0.3">
      <c r="A72" s="208"/>
      <c r="B72" s="208"/>
      <c r="C72" s="209"/>
      <c r="D72" s="209"/>
      <c r="E72" s="209"/>
      <c r="F72" s="209"/>
      <c r="G72" s="210"/>
    </row>
    <row r="73" spans="1:7" s="25" customFormat="1" ht="13.8" x14ac:dyDescent="0.3">
      <c r="A73" s="208"/>
      <c r="B73" s="208"/>
      <c r="C73" s="209"/>
      <c r="D73" s="209"/>
      <c r="E73" s="209"/>
      <c r="F73" s="209"/>
      <c r="G73" s="210"/>
    </row>
    <row r="74" spans="1:7" s="25" customFormat="1" ht="13.8" x14ac:dyDescent="0.3">
      <c r="A74" s="208"/>
      <c r="B74" s="208"/>
      <c r="C74" s="209"/>
      <c r="D74" s="209"/>
      <c r="E74" s="209"/>
      <c r="F74" s="209"/>
      <c r="G74" s="210"/>
    </row>
    <row r="75" spans="1:7" s="25" customFormat="1" ht="13.8" x14ac:dyDescent="0.3">
      <c r="A75" s="208"/>
      <c r="B75" s="208"/>
      <c r="C75" s="209"/>
      <c r="D75" s="209"/>
      <c r="E75" s="209"/>
      <c r="F75" s="209"/>
      <c r="G75" s="210"/>
    </row>
    <row r="76" spans="1:7" s="25" customFormat="1" ht="13.8" x14ac:dyDescent="0.3">
      <c r="A76" s="208"/>
      <c r="B76" s="208"/>
      <c r="C76" s="209"/>
      <c r="D76" s="209"/>
      <c r="E76" s="209"/>
      <c r="F76" s="209"/>
      <c r="G76" s="210"/>
    </row>
    <row r="77" spans="1:7" s="25" customFormat="1" ht="13.8" x14ac:dyDescent="0.3">
      <c r="A77" s="208"/>
      <c r="B77" s="208"/>
      <c r="C77" s="209"/>
      <c r="D77" s="209"/>
      <c r="E77" s="209"/>
      <c r="F77" s="209"/>
      <c r="G77" s="210"/>
    </row>
    <row r="78" spans="1:7" s="25" customFormat="1" ht="13.8" x14ac:dyDescent="0.3">
      <c r="A78" s="208"/>
      <c r="B78" s="208"/>
      <c r="C78" s="209"/>
      <c r="D78" s="209"/>
      <c r="E78" s="209"/>
      <c r="F78" s="209"/>
      <c r="G78" s="210"/>
    </row>
    <row r="79" spans="1:7" s="25" customFormat="1" ht="13.8" x14ac:dyDescent="0.3">
      <c r="A79" s="208"/>
      <c r="B79" s="208"/>
      <c r="C79" s="209"/>
      <c r="D79" s="209"/>
      <c r="E79" s="209"/>
      <c r="F79" s="209"/>
      <c r="G79" s="210"/>
    </row>
    <row r="80" spans="1:7" s="25" customFormat="1" ht="13.8" x14ac:dyDescent="0.3">
      <c r="A80" s="208"/>
      <c r="B80" s="208"/>
      <c r="C80" s="209"/>
      <c r="D80" s="209"/>
      <c r="E80" s="209"/>
      <c r="F80" s="209"/>
      <c r="G80" s="210"/>
    </row>
    <row r="81" spans="1:7" s="25" customFormat="1" ht="13.8" x14ac:dyDescent="0.3">
      <c r="A81" s="208"/>
      <c r="B81" s="208"/>
      <c r="C81" s="209"/>
      <c r="D81" s="209"/>
      <c r="E81" s="209"/>
      <c r="F81" s="209"/>
      <c r="G81" s="210"/>
    </row>
    <row r="82" spans="1:7" s="25" customFormat="1" ht="13.8" x14ac:dyDescent="0.3">
      <c r="A82" s="208"/>
      <c r="B82" s="208"/>
      <c r="C82" s="209"/>
      <c r="D82" s="209"/>
      <c r="E82" s="209"/>
      <c r="F82" s="209"/>
      <c r="G82" s="210"/>
    </row>
    <row r="83" spans="1:7" s="25" customFormat="1" ht="13.8" x14ac:dyDescent="0.3">
      <c r="A83" s="208"/>
      <c r="B83" s="208"/>
      <c r="C83" s="209"/>
      <c r="D83" s="209"/>
      <c r="E83" s="209"/>
      <c r="F83" s="209"/>
      <c r="G83" s="210"/>
    </row>
    <row r="84" spans="1:7" s="25" customFormat="1" ht="13.8" x14ac:dyDescent="0.3">
      <c r="A84" s="208"/>
      <c r="B84" s="208"/>
      <c r="C84" s="209"/>
      <c r="D84" s="209"/>
      <c r="E84" s="209"/>
      <c r="F84" s="209"/>
      <c r="G84" s="210"/>
    </row>
    <row r="85" spans="1:7" s="25" customFormat="1" ht="13.8" x14ac:dyDescent="0.3">
      <c r="A85" s="208"/>
      <c r="B85" s="208"/>
      <c r="C85" s="209"/>
      <c r="D85" s="209"/>
      <c r="E85" s="209"/>
      <c r="F85" s="209"/>
      <c r="G85" s="210"/>
    </row>
    <row r="86" spans="1:7" s="25" customFormat="1" ht="13.8" x14ac:dyDescent="0.3">
      <c r="A86" s="208"/>
      <c r="B86" s="208"/>
      <c r="C86" s="209"/>
      <c r="D86" s="209"/>
      <c r="E86" s="209"/>
      <c r="F86" s="209"/>
      <c r="G86" s="210"/>
    </row>
    <row r="87" spans="1:7" s="25" customFormat="1" ht="13.8" x14ac:dyDescent="0.3">
      <c r="A87" s="208"/>
      <c r="B87" s="208"/>
      <c r="C87" s="209"/>
      <c r="D87" s="209"/>
      <c r="E87" s="209"/>
      <c r="F87" s="209"/>
      <c r="G87" s="210"/>
    </row>
    <row r="88" spans="1:7" s="25" customFormat="1" ht="13.8" x14ac:dyDescent="0.3">
      <c r="A88" s="208"/>
      <c r="B88" s="208"/>
      <c r="C88" s="209"/>
      <c r="D88" s="209"/>
      <c r="E88" s="209"/>
      <c r="F88" s="209"/>
      <c r="G88" s="210"/>
    </row>
    <row r="89" spans="1:7" s="25" customFormat="1" ht="13.8" x14ac:dyDescent="0.3">
      <c r="A89" s="208"/>
      <c r="B89" s="208"/>
      <c r="C89" s="209"/>
      <c r="D89" s="209"/>
      <c r="E89" s="209"/>
      <c r="F89" s="209"/>
      <c r="G89" s="210"/>
    </row>
    <row r="90" spans="1:7" s="25" customFormat="1" ht="13.8" x14ac:dyDescent="0.3">
      <c r="A90" s="208"/>
      <c r="B90" s="208"/>
      <c r="C90" s="209"/>
      <c r="D90" s="209"/>
      <c r="E90" s="209"/>
      <c r="F90" s="209"/>
      <c r="G90" s="210"/>
    </row>
    <row r="91" spans="1:7" s="25" customFormat="1" ht="13.8" x14ac:dyDescent="0.3">
      <c r="A91" s="208"/>
      <c r="B91" s="208"/>
      <c r="C91" s="209"/>
      <c r="D91" s="209"/>
      <c r="E91" s="209"/>
      <c r="F91" s="209"/>
      <c r="G91" s="210"/>
    </row>
    <row r="92" spans="1:7" s="25" customFormat="1" ht="13.8" x14ac:dyDescent="0.3">
      <c r="A92" s="208"/>
      <c r="B92" s="208"/>
      <c r="C92" s="209"/>
      <c r="D92" s="209"/>
      <c r="E92" s="209"/>
      <c r="F92" s="209"/>
      <c r="G92" s="210"/>
    </row>
    <row r="93" spans="1:7" s="25" customFormat="1" ht="13.8" x14ac:dyDescent="0.3">
      <c r="A93" s="208"/>
      <c r="B93" s="208"/>
      <c r="C93" s="209"/>
      <c r="D93" s="209"/>
      <c r="E93" s="209"/>
      <c r="F93" s="209"/>
      <c r="G93" s="210"/>
    </row>
    <row r="94" spans="1:7" s="25" customFormat="1" ht="13.8" x14ac:dyDescent="0.3">
      <c r="A94" s="208"/>
      <c r="B94" s="208"/>
      <c r="C94" s="209"/>
      <c r="D94" s="209"/>
      <c r="E94" s="209"/>
      <c r="F94" s="209"/>
      <c r="G94" s="210"/>
    </row>
    <row r="95" spans="1:7" s="25" customFormat="1" ht="13.8" x14ac:dyDescent="0.3">
      <c r="A95" s="208"/>
      <c r="B95" s="208"/>
      <c r="C95" s="209"/>
      <c r="D95" s="209"/>
      <c r="E95" s="209"/>
      <c r="F95" s="209"/>
      <c r="G95" s="210"/>
    </row>
    <row r="96" spans="1:7" s="25" customFormat="1" ht="13.8" x14ac:dyDescent="0.3">
      <c r="A96" s="208"/>
      <c r="B96" s="208"/>
      <c r="C96" s="209"/>
      <c r="D96" s="209"/>
      <c r="E96" s="209"/>
      <c r="F96" s="209"/>
      <c r="G96" s="210"/>
    </row>
    <row r="97" spans="1:7" s="25" customFormat="1" ht="13.8" x14ac:dyDescent="0.3">
      <c r="A97" s="208"/>
      <c r="B97" s="208"/>
      <c r="C97" s="209"/>
      <c r="D97" s="209"/>
      <c r="E97" s="209"/>
      <c r="F97" s="209"/>
      <c r="G97" s="210"/>
    </row>
    <row r="98" spans="1:7" s="25" customFormat="1" ht="13.8" x14ac:dyDescent="0.3">
      <c r="A98" s="208"/>
      <c r="B98" s="208"/>
      <c r="C98" s="209"/>
      <c r="D98" s="209"/>
      <c r="E98" s="209"/>
      <c r="F98" s="209"/>
      <c r="G98" s="210"/>
    </row>
    <row r="99" spans="1:7" s="25" customFormat="1" ht="13.8" x14ac:dyDescent="0.3">
      <c r="A99" s="208"/>
      <c r="B99" s="208"/>
      <c r="C99" s="209"/>
      <c r="D99" s="209"/>
      <c r="E99" s="209"/>
      <c r="F99" s="209"/>
      <c r="G99" s="210"/>
    </row>
    <row r="100" spans="1:7" s="25" customFormat="1" ht="13.8" x14ac:dyDescent="0.3">
      <c r="A100" s="208"/>
      <c r="B100" s="208"/>
      <c r="C100" s="209"/>
      <c r="D100" s="209"/>
      <c r="E100" s="209"/>
      <c r="F100" s="209"/>
      <c r="G100" s="210"/>
    </row>
    <row r="101" spans="1:7" s="25" customFormat="1" ht="13.8" x14ac:dyDescent="0.3">
      <c r="A101" s="208"/>
      <c r="B101" s="208"/>
      <c r="C101" s="209"/>
      <c r="D101" s="209"/>
      <c r="E101" s="209"/>
      <c r="F101" s="209"/>
      <c r="G101" s="210"/>
    </row>
    <row r="102" spans="1:7" s="25" customFormat="1" ht="13.8" x14ac:dyDescent="0.3">
      <c r="A102" s="208"/>
      <c r="B102" s="208"/>
      <c r="C102" s="209"/>
      <c r="D102" s="209"/>
      <c r="E102" s="209"/>
      <c r="F102" s="209"/>
      <c r="G102" s="210"/>
    </row>
    <row r="103" spans="1:7" s="25" customFormat="1" ht="13.8" x14ac:dyDescent="0.3">
      <c r="A103" s="208"/>
      <c r="B103" s="208"/>
      <c r="C103" s="209"/>
      <c r="D103" s="209"/>
      <c r="E103" s="209"/>
      <c r="F103" s="209"/>
      <c r="G103" s="210"/>
    </row>
    <row r="104" spans="1:7" s="25" customFormat="1" ht="13.8" x14ac:dyDescent="0.3">
      <c r="A104" s="208"/>
      <c r="B104" s="208"/>
      <c r="C104" s="209"/>
      <c r="D104" s="209"/>
      <c r="E104" s="209"/>
      <c r="F104" s="209"/>
      <c r="G104" s="210"/>
    </row>
    <row r="105" spans="1:7" s="25" customFormat="1" ht="13.8" x14ac:dyDescent="0.3">
      <c r="A105" s="208"/>
      <c r="B105" s="208"/>
      <c r="C105" s="209"/>
      <c r="D105" s="209"/>
      <c r="E105" s="209"/>
      <c r="F105" s="209"/>
      <c r="G105" s="210"/>
    </row>
    <row r="106" spans="1:7" s="25" customFormat="1" ht="13.8" x14ac:dyDescent="0.3">
      <c r="A106" s="208"/>
      <c r="B106" s="208"/>
      <c r="C106" s="209"/>
      <c r="D106" s="209"/>
      <c r="E106" s="209"/>
      <c r="F106" s="209"/>
      <c r="G106" s="210"/>
    </row>
    <row r="107" spans="1:7" s="25" customFormat="1" ht="13.8" x14ac:dyDescent="0.3">
      <c r="A107" s="208"/>
      <c r="B107" s="208"/>
      <c r="C107" s="209"/>
      <c r="D107" s="209"/>
      <c r="E107" s="209"/>
      <c r="F107" s="209"/>
      <c r="G107" s="210"/>
    </row>
    <row r="108" spans="1:7" s="25" customFormat="1" ht="13.8" x14ac:dyDescent="0.3">
      <c r="A108" s="208"/>
      <c r="B108" s="208"/>
      <c r="C108" s="209"/>
      <c r="D108" s="209"/>
      <c r="E108" s="209"/>
      <c r="F108" s="209"/>
      <c r="G108" s="210"/>
    </row>
    <row r="109" spans="1:7" s="25" customFormat="1" ht="13.8" x14ac:dyDescent="0.3">
      <c r="A109" s="208"/>
      <c r="B109" s="208"/>
      <c r="C109" s="209"/>
      <c r="D109" s="209"/>
      <c r="E109" s="209"/>
      <c r="F109" s="209"/>
      <c r="G109" s="210"/>
    </row>
    <row r="110" spans="1:7" s="25" customFormat="1" ht="13.8" x14ac:dyDescent="0.3">
      <c r="A110" s="208"/>
      <c r="B110" s="208"/>
      <c r="C110" s="209"/>
      <c r="D110" s="209"/>
      <c r="E110" s="209"/>
      <c r="F110" s="209"/>
      <c r="G110" s="210"/>
    </row>
    <row r="111" spans="1:7" s="25" customFormat="1" ht="13.8" x14ac:dyDescent="0.3">
      <c r="A111" s="208"/>
      <c r="B111" s="208"/>
      <c r="C111" s="209"/>
      <c r="D111" s="209"/>
      <c r="E111" s="209"/>
      <c r="F111" s="209"/>
      <c r="G111" s="210"/>
    </row>
    <row r="112" spans="1:7" s="25" customFormat="1" ht="13.8" x14ac:dyDescent="0.3">
      <c r="A112" s="208"/>
      <c r="B112" s="208"/>
      <c r="C112" s="209"/>
      <c r="D112" s="209"/>
      <c r="E112" s="209"/>
      <c r="F112" s="209"/>
      <c r="G112" s="210"/>
    </row>
    <row r="113" spans="1:7" s="25" customFormat="1" ht="13.8" x14ac:dyDescent="0.3">
      <c r="A113" s="208"/>
      <c r="B113" s="208"/>
      <c r="C113" s="209"/>
      <c r="D113" s="209"/>
      <c r="E113" s="209"/>
      <c r="F113" s="209"/>
      <c r="G113" s="210"/>
    </row>
    <row r="114" spans="1:7" s="25" customFormat="1" ht="13.8" x14ac:dyDescent="0.3">
      <c r="A114" s="208"/>
      <c r="B114" s="208"/>
      <c r="C114" s="209"/>
      <c r="D114" s="209"/>
      <c r="E114" s="209"/>
      <c r="F114" s="209"/>
      <c r="G114" s="210"/>
    </row>
    <row r="115" spans="1:7" s="25" customFormat="1" ht="13.8" x14ac:dyDescent="0.3">
      <c r="A115" s="208"/>
      <c r="B115" s="208"/>
      <c r="C115" s="209"/>
      <c r="D115" s="209"/>
      <c r="E115" s="209"/>
      <c r="F115" s="209"/>
      <c r="G115" s="210"/>
    </row>
    <row r="116" spans="1:7" s="25" customFormat="1" ht="13.8" x14ac:dyDescent="0.3">
      <c r="A116" s="208"/>
      <c r="B116" s="208"/>
      <c r="C116" s="209"/>
      <c r="D116" s="209"/>
      <c r="E116" s="209"/>
      <c r="F116" s="209"/>
      <c r="G116" s="210"/>
    </row>
    <row r="117" spans="1:7" s="25" customFormat="1" ht="13.8" x14ac:dyDescent="0.3">
      <c r="A117" s="208"/>
      <c r="B117" s="208"/>
      <c r="C117" s="209"/>
      <c r="D117" s="209"/>
      <c r="E117" s="209"/>
      <c r="F117" s="209"/>
      <c r="G117" s="210"/>
    </row>
    <row r="118" spans="1:7" s="25" customFormat="1" ht="13.8" x14ac:dyDescent="0.3">
      <c r="A118" s="208"/>
      <c r="B118" s="208"/>
      <c r="C118" s="209"/>
      <c r="D118" s="209"/>
      <c r="E118" s="209"/>
      <c r="F118" s="209"/>
      <c r="G118" s="210"/>
    </row>
    <row r="119" spans="1:7" s="25" customFormat="1" ht="13.8" x14ac:dyDescent="0.3">
      <c r="A119" s="208"/>
      <c r="B119" s="208"/>
      <c r="C119" s="209"/>
      <c r="D119" s="209"/>
      <c r="E119" s="209"/>
      <c r="F119" s="209"/>
      <c r="G119" s="210"/>
    </row>
    <row r="120" spans="1:7" s="25" customFormat="1" ht="13.8" x14ac:dyDescent="0.3">
      <c r="A120" s="208"/>
      <c r="B120" s="208"/>
      <c r="C120" s="209"/>
      <c r="D120" s="209"/>
      <c r="E120" s="209"/>
      <c r="F120" s="209"/>
      <c r="G120" s="210"/>
    </row>
    <row r="121" spans="1:7" s="25" customFormat="1" ht="13.8" x14ac:dyDescent="0.3">
      <c r="A121" s="208"/>
      <c r="B121" s="208"/>
      <c r="C121" s="209"/>
      <c r="D121" s="209"/>
      <c r="E121" s="209"/>
      <c r="F121" s="209"/>
      <c r="G121" s="210"/>
    </row>
    <row r="122" spans="1:7" s="25" customFormat="1" ht="13.8" x14ac:dyDescent="0.3">
      <c r="A122" s="208"/>
      <c r="B122" s="208"/>
      <c r="C122" s="209"/>
      <c r="D122" s="209"/>
      <c r="E122" s="209"/>
      <c r="F122" s="209"/>
      <c r="G122" s="210"/>
    </row>
    <row r="123" spans="1:7" s="25" customFormat="1" ht="13.8" x14ac:dyDescent="0.3">
      <c r="A123" s="208"/>
      <c r="B123" s="208"/>
      <c r="C123" s="209"/>
      <c r="D123" s="209"/>
      <c r="E123" s="209"/>
      <c r="F123" s="209"/>
      <c r="G123" s="210"/>
    </row>
    <row r="124" spans="1:7" s="25" customFormat="1" ht="13.8" x14ac:dyDescent="0.3">
      <c r="A124" s="208"/>
      <c r="B124" s="208"/>
      <c r="C124" s="209"/>
      <c r="D124" s="209"/>
      <c r="E124" s="209"/>
      <c r="F124" s="209"/>
      <c r="G124" s="210"/>
    </row>
    <row r="125" spans="1:7" s="25" customFormat="1" ht="13.8" x14ac:dyDescent="0.3">
      <c r="A125" s="208"/>
      <c r="B125" s="208"/>
      <c r="C125" s="209"/>
      <c r="D125" s="209"/>
      <c r="E125" s="209"/>
      <c r="F125" s="209"/>
      <c r="G125" s="210"/>
    </row>
    <row r="126" spans="1:7" s="25" customFormat="1" ht="13.8" x14ac:dyDescent="0.3">
      <c r="A126" s="208"/>
      <c r="B126" s="208"/>
      <c r="C126" s="209"/>
      <c r="D126" s="209"/>
      <c r="E126" s="209"/>
      <c r="F126" s="209"/>
      <c r="G126" s="210"/>
    </row>
    <row r="127" spans="1:7" s="25" customFormat="1" ht="13.8" x14ac:dyDescent="0.3">
      <c r="A127" s="208"/>
      <c r="B127" s="208"/>
      <c r="C127" s="209"/>
      <c r="D127" s="209"/>
      <c r="E127" s="209"/>
      <c r="F127" s="209"/>
      <c r="G127" s="210"/>
    </row>
    <row r="128" spans="1:7" s="25" customFormat="1" ht="13.8" x14ac:dyDescent="0.3">
      <c r="A128" s="208"/>
      <c r="B128" s="208"/>
      <c r="C128" s="209"/>
      <c r="D128" s="209"/>
      <c r="E128" s="209"/>
      <c r="F128" s="209"/>
      <c r="G128" s="210"/>
    </row>
    <row r="129" spans="1:7" s="25" customFormat="1" ht="13.8" x14ac:dyDescent="0.3">
      <c r="A129" s="208"/>
      <c r="B129" s="208"/>
      <c r="C129" s="209"/>
      <c r="D129" s="209"/>
      <c r="E129" s="209"/>
      <c r="F129" s="209"/>
      <c r="G129" s="210"/>
    </row>
    <row r="130" spans="1:7" s="25" customFormat="1" ht="13.8" x14ac:dyDescent="0.3">
      <c r="A130" s="208"/>
      <c r="B130" s="208"/>
      <c r="C130" s="209"/>
      <c r="D130" s="209"/>
      <c r="E130" s="209"/>
      <c r="F130" s="209"/>
      <c r="G130" s="210"/>
    </row>
    <row r="131" spans="1:7" s="25" customFormat="1" ht="13.8" x14ac:dyDescent="0.3">
      <c r="A131" s="208"/>
      <c r="B131" s="208"/>
      <c r="C131" s="209"/>
      <c r="D131" s="209"/>
      <c r="E131" s="209"/>
      <c r="F131" s="209"/>
      <c r="G131" s="210"/>
    </row>
    <row r="132" spans="1:7" s="25" customFormat="1" ht="13.8" x14ac:dyDescent="0.3">
      <c r="A132" s="208"/>
      <c r="B132" s="208"/>
      <c r="C132" s="209"/>
      <c r="D132" s="209"/>
      <c r="E132" s="209"/>
      <c r="F132" s="209"/>
      <c r="G132" s="210"/>
    </row>
    <row r="133" spans="1:7" s="25" customFormat="1" ht="13.8" x14ac:dyDescent="0.3">
      <c r="A133" s="208"/>
      <c r="B133" s="208"/>
      <c r="C133" s="209"/>
      <c r="D133" s="209"/>
      <c r="E133" s="209"/>
      <c r="F133" s="209"/>
      <c r="G133" s="210"/>
    </row>
    <row r="134" spans="1:7" s="25" customFormat="1" ht="13.8" x14ac:dyDescent="0.3">
      <c r="A134" s="208"/>
      <c r="B134" s="208"/>
      <c r="C134" s="209"/>
      <c r="D134" s="209"/>
      <c r="E134" s="209"/>
      <c r="F134" s="209"/>
      <c r="G134" s="210"/>
    </row>
    <row r="135" spans="1:7" s="25" customFormat="1" ht="13.8" x14ac:dyDescent="0.3">
      <c r="A135" s="208"/>
      <c r="B135" s="208"/>
      <c r="C135" s="209"/>
      <c r="D135" s="209"/>
      <c r="E135" s="209"/>
      <c r="F135" s="209"/>
      <c r="G135" s="210"/>
    </row>
    <row r="136" spans="1:7" s="25" customFormat="1" ht="13.8" x14ac:dyDescent="0.3">
      <c r="A136" s="208"/>
      <c r="B136" s="208"/>
      <c r="C136" s="209"/>
      <c r="D136" s="209"/>
      <c r="E136" s="209"/>
      <c r="F136" s="209"/>
      <c r="G136" s="210"/>
    </row>
    <row r="137" spans="1:7" s="25" customFormat="1" ht="13.8" x14ac:dyDescent="0.3">
      <c r="A137" s="208"/>
      <c r="B137" s="208"/>
      <c r="C137" s="209"/>
      <c r="D137" s="209"/>
      <c r="E137" s="209"/>
      <c r="F137" s="209"/>
      <c r="G137" s="210"/>
    </row>
    <row r="138" spans="1:7" s="25" customFormat="1" ht="13.8" x14ac:dyDescent="0.3">
      <c r="A138" s="208"/>
      <c r="B138" s="208"/>
      <c r="C138" s="209"/>
      <c r="D138" s="209"/>
      <c r="E138" s="209"/>
      <c r="F138" s="209"/>
      <c r="G138" s="210"/>
    </row>
    <row r="139" spans="1:7" s="25" customFormat="1" ht="13.8" x14ac:dyDescent="0.3">
      <c r="A139" s="208"/>
      <c r="B139" s="208"/>
      <c r="C139" s="209"/>
      <c r="D139" s="209"/>
      <c r="E139" s="209"/>
      <c r="F139" s="209"/>
      <c r="G139" s="210"/>
    </row>
    <row r="140" spans="1:7" s="25" customFormat="1" ht="13.8" x14ac:dyDescent="0.3">
      <c r="A140" s="208"/>
      <c r="B140" s="208"/>
      <c r="C140" s="209"/>
      <c r="D140" s="209"/>
      <c r="E140" s="209"/>
      <c r="F140" s="209"/>
      <c r="G140" s="210"/>
    </row>
    <row r="141" spans="1:7" s="25" customFormat="1" ht="13.8" x14ac:dyDescent="0.3">
      <c r="A141" s="208"/>
      <c r="B141" s="208"/>
      <c r="C141" s="209"/>
      <c r="D141" s="209"/>
      <c r="E141" s="209"/>
      <c r="F141" s="209"/>
      <c r="G141" s="210"/>
    </row>
    <row r="142" spans="1:7" s="25" customFormat="1" ht="13.8" x14ac:dyDescent="0.3">
      <c r="A142" s="208"/>
      <c r="B142" s="208"/>
      <c r="C142" s="209"/>
      <c r="D142" s="209"/>
      <c r="E142" s="209"/>
      <c r="F142" s="209"/>
      <c r="G142" s="210"/>
    </row>
    <row r="143" spans="1:7" s="25" customFormat="1" ht="13.8" x14ac:dyDescent="0.3">
      <c r="A143" s="208"/>
      <c r="B143" s="208"/>
      <c r="C143" s="209"/>
      <c r="D143" s="209"/>
      <c r="E143" s="209"/>
      <c r="F143" s="209"/>
      <c r="G143" s="210"/>
    </row>
    <row r="144" spans="1:7" s="25" customFormat="1" ht="13.8" x14ac:dyDescent="0.3">
      <c r="A144" s="208"/>
      <c r="B144" s="208"/>
      <c r="C144" s="209"/>
      <c r="D144" s="209"/>
      <c r="E144" s="209"/>
      <c r="F144" s="209"/>
      <c r="G144" s="210"/>
    </row>
    <row r="145" spans="1:7" s="25" customFormat="1" ht="13.8" x14ac:dyDescent="0.3">
      <c r="A145" s="208"/>
      <c r="B145" s="208"/>
      <c r="C145" s="209"/>
      <c r="D145" s="209"/>
      <c r="E145" s="209"/>
      <c r="F145" s="209"/>
      <c r="G145" s="210"/>
    </row>
    <row r="146" spans="1:7" s="25" customFormat="1" ht="13.8" x14ac:dyDescent="0.3">
      <c r="A146" s="208"/>
      <c r="B146" s="208"/>
      <c r="C146" s="209"/>
      <c r="D146" s="209"/>
      <c r="E146" s="209"/>
      <c r="F146" s="209"/>
      <c r="G146" s="210"/>
    </row>
    <row r="147" spans="1:7" s="25" customFormat="1" ht="13.8" x14ac:dyDescent="0.3">
      <c r="A147" s="208"/>
      <c r="B147" s="208"/>
      <c r="C147" s="209"/>
      <c r="D147" s="209"/>
      <c r="E147" s="209"/>
      <c r="F147" s="209"/>
      <c r="G147" s="210"/>
    </row>
    <row r="148" spans="1:7" s="25" customFormat="1" ht="13.8" x14ac:dyDescent="0.3">
      <c r="A148" s="208"/>
      <c r="B148" s="208"/>
      <c r="C148" s="209"/>
      <c r="D148" s="209"/>
      <c r="E148" s="209"/>
      <c r="F148" s="209"/>
      <c r="G148" s="210"/>
    </row>
    <row r="149" spans="1:7" s="25" customFormat="1" ht="13.8" x14ac:dyDescent="0.3">
      <c r="A149" s="208"/>
      <c r="B149" s="208"/>
      <c r="C149" s="209"/>
      <c r="D149" s="209"/>
      <c r="E149" s="209"/>
      <c r="F149" s="209"/>
      <c r="G149" s="210"/>
    </row>
    <row r="150" spans="1:7" s="25" customFormat="1" ht="13.8" x14ac:dyDescent="0.3">
      <c r="A150" s="208"/>
      <c r="B150" s="208"/>
      <c r="C150" s="209"/>
      <c r="D150" s="209"/>
      <c r="E150" s="209"/>
      <c r="F150" s="209"/>
      <c r="G150" s="210"/>
    </row>
    <row r="151" spans="1:7" s="25" customFormat="1" ht="13.8" x14ac:dyDescent="0.3">
      <c r="A151" s="208"/>
      <c r="B151" s="208"/>
      <c r="C151" s="209"/>
      <c r="D151" s="209"/>
      <c r="E151" s="209"/>
      <c r="F151" s="209"/>
      <c r="G151" s="210"/>
    </row>
    <row r="152" spans="1:7" s="25" customFormat="1" ht="13.8" x14ac:dyDescent="0.3">
      <c r="A152" s="208"/>
      <c r="B152" s="208"/>
      <c r="C152" s="209"/>
      <c r="D152" s="209"/>
      <c r="E152" s="209"/>
      <c r="F152" s="209"/>
      <c r="G152" s="210"/>
    </row>
    <row r="153" spans="1:7" s="25" customFormat="1" ht="13.8" x14ac:dyDescent="0.3">
      <c r="A153" s="208"/>
      <c r="B153" s="208"/>
      <c r="C153" s="209"/>
      <c r="D153" s="209"/>
      <c r="E153" s="209"/>
      <c r="F153" s="209"/>
      <c r="G153" s="210"/>
    </row>
    <row r="154" spans="1:7" s="25" customFormat="1" ht="13.8" x14ac:dyDescent="0.3">
      <c r="A154" s="208"/>
      <c r="B154" s="208"/>
      <c r="C154" s="209"/>
      <c r="D154" s="209"/>
      <c r="E154" s="209"/>
      <c r="F154" s="209"/>
      <c r="G154" s="210"/>
    </row>
    <row r="155" spans="1:7" s="25" customFormat="1" ht="13.8" x14ac:dyDescent="0.3">
      <c r="A155" s="208"/>
      <c r="B155" s="208"/>
      <c r="C155" s="209"/>
      <c r="D155" s="209"/>
      <c r="E155" s="209"/>
      <c r="F155" s="209"/>
      <c r="G155" s="210"/>
    </row>
    <row r="156" spans="1:7" s="25" customFormat="1" ht="13.8" x14ac:dyDescent="0.3">
      <c r="A156" s="208"/>
      <c r="B156" s="208"/>
      <c r="C156" s="209"/>
      <c r="D156" s="209"/>
      <c r="E156" s="209"/>
      <c r="F156" s="209"/>
      <c r="G156" s="210"/>
    </row>
    <row r="157" spans="1:7" s="25" customFormat="1" ht="13.8" x14ac:dyDescent="0.3">
      <c r="A157" s="208"/>
      <c r="B157" s="208"/>
      <c r="C157" s="209"/>
      <c r="D157" s="209"/>
      <c r="E157" s="209"/>
      <c r="F157" s="209"/>
      <c r="G157" s="210"/>
    </row>
    <row r="158" spans="1:7" s="25" customFormat="1" ht="13.8" x14ac:dyDescent="0.3">
      <c r="A158" s="208"/>
      <c r="B158" s="208"/>
      <c r="C158" s="209"/>
      <c r="D158" s="209"/>
      <c r="E158" s="209"/>
      <c r="F158" s="209"/>
      <c r="G158" s="210"/>
    </row>
    <row r="159" spans="1:7" s="25" customFormat="1" ht="13.8" x14ac:dyDescent="0.3">
      <c r="A159" s="208"/>
      <c r="B159" s="208"/>
      <c r="C159" s="209"/>
      <c r="D159" s="209"/>
      <c r="E159" s="209"/>
      <c r="F159" s="209"/>
      <c r="G159" s="210"/>
    </row>
    <row r="160" spans="1:7" s="25" customFormat="1" ht="13.8" x14ac:dyDescent="0.3">
      <c r="A160" s="208"/>
      <c r="B160" s="208"/>
      <c r="C160" s="209"/>
      <c r="D160" s="209"/>
      <c r="E160" s="209"/>
      <c r="F160" s="209"/>
      <c r="G160" s="210"/>
    </row>
    <row r="161" spans="1:7" s="25" customFormat="1" ht="13.8" x14ac:dyDescent="0.3">
      <c r="A161" s="208"/>
      <c r="B161" s="208"/>
      <c r="C161" s="209"/>
      <c r="D161" s="209"/>
      <c r="E161" s="209"/>
      <c r="F161" s="209"/>
      <c r="G161" s="210"/>
    </row>
    <row r="162" spans="1:7" s="25" customFormat="1" ht="13.8" x14ac:dyDescent="0.3">
      <c r="A162" s="208"/>
      <c r="B162" s="208"/>
      <c r="C162" s="209"/>
      <c r="D162" s="209"/>
      <c r="E162" s="209"/>
      <c r="F162" s="209"/>
      <c r="G162" s="210"/>
    </row>
    <row r="163" spans="1:7" s="25" customFormat="1" ht="13.8" x14ac:dyDescent="0.3">
      <c r="A163" s="208"/>
      <c r="B163" s="208"/>
      <c r="C163" s="209"/>
      <c r="D163" s="209"/>
      <c r="E163" s="209"/>
      <c r="F163" s="209"/>
      <c r="G163" s="210"/>
    </row>
    <row r="164" spans="1:7" s="25" customFormat="1" ht="13.8" x14ac:dyDescent="0.3">
      <c r="A164" s="208"/>
      <c r="B164" s="208"/>
      <c r="C164" s="209"/>
      <c r="D164" s="209"/>
      <c r="E164" s="209"/>
      <c r="F164" s="209"/>
      <c r="G164" s="210"/>
    </row>
    <row r="165" spans="1:7" s="25" customFormat="1" ht="13.8" x14ac:dyDescent="0.3">
      <c r="A165" s="208"/>
      <c r="B165" s="208"/>
      <c r="C165" s="209"/>
      <c r="D165" s="209"/>
      <c r="E165" s="209"/>
      <c r="F165" s="209"/>
      <c r="G165" s="210"/>
    </row>
    <row r="166" spans="1:7" s="25" customFormat="1" ht="13.8" x14ac:dyDescent="0.3">
      <c r="A166" s="208"/>
      <c r="B166" s="208"/>
      <c r="C166" s="209"/>
      <c r="D166" s="209"/>
      <c r="E166" s="209"/>
      <c r="F166" s="209"/>
      <c r="G166" s="210"/>
    </row>
    <row r="167" spans="1:7" s="25" customFormat="1" ht="13.8" x14ac:dyDescent="0.3">
      <c r="A167" s="208"/>
      <c r="B167" s="208"/>
      <c r="C167" s="209"/>
      <c r="D167" s="209"/>
      <c r="E167" s="209"/>
      <c r="F167" s="209"/>
      <c r="G167" s="210"/>
    </row>
    <row r="168" spans="1:7" s="25" customFormat="1" ht="13.8" x14ac:dyDescent="0.3">
      <c r="A168" s="208"/>
      <c r="B168" s="208"/>
      <c r="C168" s="209"/>
      <c r="D168" s="209"/>
      <c r="E168" s="209"/>
      <c r="F168" s="209"/>
      <c r="G168" s="210"/>
    </row>
    <row r="169" spans="1:7" s="25" customFormat="1" ht="13.8" x14ac:dyDescent="0.3">
      <c r="A169" s="208"/>
      <c r="B169" s="208"/>
      <c r="C169" s="209"/>
      <c r="D169" s="209"/>
      <c r="E169" s="209"/>
      <c r="F169" s="209"/>
      <c r="G169" s="210"/>
    </row>
    <row r="170" spans="1:7" s="25" customFormat="1" ht="13.8" x14ac:dyDescent="0.3">
      <c r="A170" s="208"/>
      <c r="B170" s="208"/>
      <c r="C170" s="209"/>
      <c r="D170" s="209"/>
      <c r="E170" s="209"/>
      <c r="F170" s="209"/>
      <c r="G170" s="210"/>
    </row>
    <row r="171" spans="1:7" s="25" customFormat="1" ht="13.8" x14ac:dyDescent="0.3">
      <c r="A171" s="208"/>
      <c r="B171" s="208"/>
      <c r="C171" s="209"/>
      <c r="D171" s="209"/>
      <c r="E171" s="209"/>
      <c r="F171" s="209"/>
      <c r="G171" s="210"/>
    </row>
    <row r="172" spans="1:7" s="25" customFormat="1" ht="13.8" x14ac:dyDescent="0.3">
      <c r="A172" s="208"/>
      <c r="B172" s="208"/>
      <c r="C172" s="209"/>
      <c r="D172" s="209"/>
      <c r="E172" s="209"/>
      <c r="F172" s="209"/>
      <c r="G172" s="210"/>
    </row>
    <row r="173" spans="1:7" s="25" customFormat="1" ht="13.8" x14ac:dyDescent="0.3">
      <c r="A173" s="208"/>
      <c r="B173" s="208"/>
      <c r="C173" s="209"/>
      <c r="D173" s="209"/>
      <c r="E173" s="209"/>
      <c r="F173" s="209"/>
      <c r="G173" s="210"/>
    </row>
    <row r="174" spans="1:7" s="25" customFormat="1" ht="13.8" x14ac:dyDescent="0.3">
      <c r="A174" s="208"/>
      <c r="B174" s="208"/>
      <c r="C174" s="209"/>
      <c r="D174" s="209"/>
      <c r="E174" s="209"/>
      <c r="F174" s="209"/>
      <c r="G174" s="210"/>
    </row>
    <row r="175" spans="1:7" s="25" customFormat="1" ht="13.8" x14ac:dyDescent="0.3">
      <c r="A175" s="208"/>
      <c r="B175" s="208"/>
      <c r="C175" s="209"/>
      <c r="D175" s="209"/>
      <c r="E175" s="209"/>
      <c r="F175" s="209"/>
      <c r="G175" s="210"/>
    </row>
    <row r="176" spans="1:7" s="25" customFormat="1" ht="13.8" x14ac:dyDescent="0.3">
      <c r="A176" s="208"/>
      <c r="B176" s="208"/>
      <c r="C176" s="209"/>
      <c r="D176" s="209"/>
      <c r="E176" s="209"/>
      <c r="F176" s="209"/>
      <c r="G176" s="210"/>
    </row>
    <row r="177" spans="1:7" s="25" customFormat="1" ht="13.8" x14ac:dyDescent="0.3">
      <c r="A177" s="208"/>
      <c r="B177" s="208"/>
      <c r="C177" s="209"/>
      <c r="D177" s="209"/>
      <c r="E177" s="209"/>
      <c r="F177" s="209"/>
      <c r="G177" s="210"/>
    </row>
    <row r="178" spans="1:7" s="25" customFormat="1" ht="13.8" x14ac:dyDescent="0.3">
      <c r="A178" s="208"/>
      <c r="B178" s="208"/>
      <c r="C178" s="209"/>
      <c r="D178" s="209"/>
      <c r="E178" s="209"/>
      <c r="F178" s="209"/>
      <c r="G178" s="210"/>
    </row>
    <row r="179" spans="1:7" s="25" customFormat="1" ht="13.8" x14ac:dyDescent="0.3">
      <c r="A179" s="208"/>
      <c r="B179" s="208"/>
      <c r="C179" s="209"/>
      <c r="D179" s="209"/>
      <c r="E179" s="209"/>
      <c r="F179" s="209"/>
      <c r="G179" s="210"/>
    </row>
    <row r="180" spans="1:7" s="25" customFormat="1" ht="13.8" x14ac:dyDescent="0.3">
      <c r="A180" s="208"/>
      <c r="B180" s="208"/>
      <c r="C180" s="209"/>
      <c r="D180" s="209"/>
      <c r="E180" s="209"/>
      <c r="F180" s="209"/>
      <c r="G180" s="210"/>
    </row>
    <row r="181" spans="1:7" s="25" customFormat="1" ht="13.8" x14ac:dyDescent="0.3">
      <c r="A181" s="208"/>
      <c r="B181" s="208"/>
      <c r="C181" s="209"/>
      <c r="D181" s="209"/>
      <c r="E181" s="209"/>
      <c r="F181" s="209"/>
      <c r="G181" s="210"/>
    </row>
    <row r="182" spans="1:7" s="25" customFormat="1" ht="13.8" x14ac:dyDescent="0.3">
      <c r="A182" s="208"/>
      <c r="B182" s="208"/>
      <c r="C182" s="209"/>
      <c r="D182" s="209"/>
      <c r="E182" s="209"/>
      <c r="F182" s="209"/>
      <c r="G182" s="210"/>
    </row>
    <row r="183" spans="1:7" s="25" customFormat="1" ht="13.8" x14ac:dyDescent="0.3">
      <c r="A183" s="208"/>
      <c r="B183" s="208"/>
      <c r="C183" s="209"/>
      <c r="D183" s="209"/>
      <c r="E183" s="209"/>
      <c r="F183" s="209"/>
      <c r="G183" s="210"/>
    </row>
    <row r="184" spans="1:7" s="25" customFormat="1" ht="13.8" x14ac:dyDescent="0.3">
      <c r="A184" s="208"/>
      <c r="B184" s="208"/>
      <c r="C184" s="209"/>
      <c r="D184" s="209"/>
      <c r="E184" s="209"/>
      <c r="F184" s="209"/>
      <c r="G184" s="210"/>
    </row>
    <row r="185" spans="1:7" s="25" customFormat="1" ht="13.8" x14ac:dyDescent="0.3">
      <c r="A185" s="208"/>
      <c r="B185" s="208"/>
      <c r="C185" s="209"/>
      <c r="D185" s="209"/>
      <c r="E185" s="209"/>
      <c r="F185" s="209"/>
      <c r="G185" s="210"/>
    </row>
    <row r="186" spans="1:7" s="25" customFormat="1" ht="13.8" x14ac:dyDescent="0.3">
      <c r="A186" s="208"/>
      <c r="B186" s="208"/>
      <c r="C186" s="209"/>
      <c r="D186" s="209"/>
      <c r="E186" s="209"/>
      <c r="F186" s="209"/>
      <c r="G186" s="210"/>
    </row>
    <row r="187" spans="1:7" s="25" customFormat="1" ht="13.8" x14ac:dyDescent="0.3">
      <c r="A187" s="208"/>
      <c r="B187" s="208"/>
      <c r="C187" s="209"/>
      <c r="D187" s="209"/>
      <c r="E187" s="209"/>
      <c r="F187" s="209"/>
      <c r="G187" s="210"/>
    </row>
    <row r="188" spans="1:7" s="25" customFormat="1" ht="13.8" x14ac:dyDescent="0.3">
      <c r="A188" s="208"/>
      <c r="B188" s="208"/>
      <c r="C188" s="209"/>
      <c r="D188" s="209"/>
      <c r="E188" s="209"/>
      <c r="F188" s="209"/>
      <c r="G188" s="210"/>
    </row>
    <row r="189" spans="1:7" s="25" customFormat="1" ht="13.8" x14ac:dyDescent="0.3">
      <c r="A189" s="208"/>
      <c r="B189" s="208"/>
      <c r="C189" s="209"/>
      <c r="D189" s="209"/>
      <c r="E189" s="209"/>
      <c r="F189" s="209"/>
      <c r="G189" s="210"/>
    </row>
    <row r="190" spans="1:7" s="25" customFormat="1" ht="13.8" x14ac:dyDescent="0.3">
      <c r="A190" s="208"/>
      <c r="B190" s="208"/>
      <c r="C190" s="209"/>
      <c r="D190" s="209"/>
      <c r="E190" s="209"/>
      <c r="F190" s="209"/>
      <c r="G190" s="210"/>
    </row>
    <row r="191" spans="1:7" s="25" customFormat="1" ht="13.8" x14ac:dyDescent="0.3">
      <c r="A191" s="208"/>
      <c r="B191" s="208"/>
      <c r="C191" s="209"/>
      <c r="D191" s="209"/>
      <c r="E191" s="209"/>
      <c r="F191" s="209"/>
      <c r="G191" s="210"/>
    </row>
    <row r="192" spans="1:7" s="25" customFormat="1" ht="13.8" x14ac:dyDescent="0.3">
      <c r="A192" s="208"/>
      <c r="B192" s="208"/>
      <c r="C192" s="209"/>
      <c r="D192" s="209"/>
      <c r="E192" s="209"/>
      <c r="F192" s="209"/>
      <c r="G192" s="210"/>
    </row>
    <row r="193" spans="1:7" s="25" customFormat="1" ht="13.8" x14ac:dyDescent="0.3">
      <c r="A193" s="208"/>
      <c r="B193" s="208"/>
      <c r="C193" s="209"/>
      <c r="D193" s="209"/>
      <c r="E193" s="209"/>
      <c r="F193" s="209"/>
      <c r="G193" s="210"/>
    </row>
    <row r="194" spans="1:7" s="25" customFormat="1" ht="13.8" x14ac:dyDescent="0.3">
      <c r="A194" s="208"/>
      <c r="B194" s="208"/>
      <c r="C194" s="209"/>
      <c r="D194" s="209"/>
      <c r="E194" s="209"/>
      <c r="F194" s="209"/>
      <c r="G194" s="210"/>
    </row>
    <row r="195" spans="1:7" s="25" customFormat="1" ht="13.8" x14ac:dyDescent="0.3">
      <c r="A195" s="208"/>
      <c r="B195" s="208"/>
      <c r="C195" s="209"/>
      <c r="D195" s="209"/>
      <c r="E195" s="209"/>
      <c r="F195" s="209"/>
      <c r="G195" s="210"/>
    </row>
    <row r="196" spans="1:7" s="25" customFormat="1" ht="13.8" x14ac:dyDescent="0.3">
      <c r="A196" s="208"/>
      <c r="B196" s="208"/>
      <c r="C196" s="209"/>
      <c r="D196" s="209"/>
      <c r="E196" s="209"/>
      <c r="F196" s="209"/>
      <c r="G196" s="210"/>
    </row>
    <row r="197" spans="1:7" s="25" customFormat="1" ht="13.8" x14ac:dyDescent="0.3">
      <c r="A197" s="208"/>
      <c r="B197" s="208"/>
      <c r="C197" s="209"/>
      <c r="D197" s="209"/>
      <c r="E197" s="209"/>
      <c r="F197" s="209"/>
      <c r="G197" s="210"/>
    </row>
    <row r="198" spans="1:7" s="25" customFormat="1" ht="13.8" x14ac:dyDescent="0.3">
      <c r="A198" s="208"/>
      <c r="B198" s="208"/>
      <c r="C198" s="209"/>
      <c r="D198" s="209"/>
      <c r="E198" s="209"/>
      <c r="F198" s="209"/>
      <c r="G198" s="210"/>
    </row>
    <row r="199" spans="1:7" s="25" customFormat="1" ht="13.8" x14ac:dyDescent="0.3">
      <c r="A199" s="208"/>
      <c r="B199" s="208"/>
      <c r="C199" s="209"/>
      <c r="D199" s="209"/>
      <c r="E199" s="209"/>
      <c r="F199" s="209"/>
      <c r="G199" s="210"/>
    </row>
    <row r="200" spans="1:7" s="25" customFormat="1" ht="13.8" x14ac:dyDescent="0.3">
      <c r="A200" s="208"/>
      <c r="B200" s="208"/>
      <c r="C200" s="209"/>
      <c r="D200" s="209"/>
      <c r="E200" s="209"/>
      <c r="F200" s="209"/>
      <c r="G200" s="210"/>
    </row>
    <row r="201" spans="1:7" s="25" customFormat="1" ht="13.8" x14ac:dyDescent="0.3">
      <c r="A201" s="208"/>
      <c r="B201" s="208"/>
      <c r="C201" s="209"/>
      <c r="D201" s="209"/>
      <c r="E201" s="209"/>
      <c r="F201" s="209"/>
      <c r="G201" s="210"/>
    </row>
    <row r="202" spans="1:7" s="25" customFormat="1" ht="13.8" x14ac:dyDescent="0.3">
      <c r="A202" s="208"/>
      <c r="B202" s="208"/>
      <c r="C202" s="209"/>
      <c r="D202" s="209"/>
      <c r="E202" s="209"/>
      <c r="F202" s="209"/>
      <c r="G202" s="210"/>
    </row>
    <row r="203" spans="1:7" s="25" customFormat="1" ht="13.8" x14ac:dyDescent="0.3">
      <c r="A203" s="208"/>
      <c r="B203" s="208"/>
      <c r="C203" s="209"/>
      <c r="D203" s="209"/>
      <c r="E203" s="209"/>
      <c r="F203" s="209"/>
      <c r="G203" s="210"/>
    </row>
    <row r="204" spans="1:7" s="25" customFormat="1" ht="13.8" x14ac:dyDescent="0.3">
      <c r="A204" s="208"/>
      <c r="B204" s="208"/>
      <c r="C204" s="209"/>
      <c r="D204" s="209"/>
      <c r="E204" s="209"/>
      <c r="F204" s="209"/>
      <c r="G204" s="210"/>
    </row>
    <row r="205" spans="1:7" s="25" customFormat="1" ht="13.8" x14ac:dyDescent="0.3">
      <c r="A205" s="208"/>
      <c r="B205" s="208"/>
      <c r="C205" s="209"/>
      <c r="D205" s="209"/>
      <c r="E205" s="209"/>
      <c r="F205" s="209"/>
      <c r="G205" s="210"/>
    </row>
    <row r="206" spans="1:7" s="25" customFormat="1" ht="13.8" x14ac:dyDescent="0.3">
      <c r="A206" s="208"/>
      <c r="B206" s="208"/>
      <c r="C206" s="209"/>
      <c r="D206" s="209"/>
      <c r="E206" s="209"/>
      <c r="F206" s="209"/>
      <c r="G206" s="210"/>
    </row>
    <row r="207" spans="1:7" s="25" customFormat="1" ht="13.8" x14ac:dyDescent="0.3">
      <c r="A207" s="208"/>
      <c r="B207" s="208"/>
      <c r="C207" s="209"/>
      <c r="D207" s="209"/>
      <c r="E207" s="209"/>
      <c r="F207" s="209"/>
      <c r="G207" s="210"/>
    </row>
    <row r="208" spans="1:7" s="25" customFormat="1" ht="13.8" x14ac:dyDescent="0.3">
      <c r="A208" s="208"/>
      <c r="B208" s="208"/>
      <c r="C208" s="209"/>
      <c r="D208" s="209"/>
      <c r="E208" s="209"/>
      <c r="F208" s="209"/>
      <c r="G208" s="210"/>
    </row>
    <row r="209" spans="1:7" s="25" customFormat="1" ht="13.8" x14ac:dyDescent="0.3">
      <c r="A209" s="208"/>
      <c r="B209" s="208"/>
      <c r="C209" s="209"/>
      <c r="D209" s="209"/>
      <c r="E209" s="209"/>
      <c r="F209" s="209"/>
      <c r="G209" s="210"/>
    </row>
    <row r="210" spans="1:7" s="25" customFormat="1" ht="13.8" x14ac:dyDescent="0.3">
      <c r="A210" s="208"/>
      <c r="B210" s="208"/>
      <c r="C210" s="209"/>
      <c r="D210" s="209"/>
      <c r="E210" s="209"/>
      <c r="F210" s="209"/>
      <c r="G210" s="210"/>
    </row>
    <row r="211" spans="1:7" s="25" customFormat="1" ht="13.8" x14ac:dyDescent="0.3">
      <c r="A211" s="208"/>
      <c r="B211" s="208"/>
      <c r="C211" s="209"/>
      <c r="D211" s="209"/>
      <c r="E211" s="209"/>
      <c r="F211" s="209"/>
      <c r="G211" s="210"/>
    </row>
    <row r="212" spans="1:7" s="25" customFormat="1" ht="13.8" x14ac:dyDescent="0.3">
      <c r="A212" s="208"/>
      <c r="B212" s="208"/>
      <c r="C212" s="209"/>
      <c r="D212" s="209"/>
      <c r="E212" s="209"/>
      <c r="F212" s="209"/>
      <c r="G212" s="210"/>
    </row>
    <row r="213" spans="1:7" s="25" customFormat="1" ht="13.8" x14ac:dyDescent="0.3">
      <c r="A213" s="208"/>
      <c r="B213" s="208"/>
      <c r="C213" s="209"/>
      <c r="D213" s="209"/>
      <c r="E213" s="209"/>
      <c r="F213" s="209"/>
      <c r="G213" s="210"/>
    </row>
    <row r="214" spans="1:7" s="25" customFormat="1" ht="13.8" x14ac:dyDescent="0.3">
      <c r="A214" s="208"/>
      <c r="B214" s="208"/>
      <c r="C214" s="209"/>
      <c r="D214" s="209"/>
      <c r="E214" s="209"/>
      <c r="F214" s="209"/>
      <c r="G214" s="210"/>
    </row>
    <row r="215" spans="1:7" s="25" customFormat="1" ht="13.8" x14ac:dyDescent="0.3">
      <c r="A215" s="208"/>
      <c r="B215" s="208"/>
      <c r="C215" s="209"/>
      <c r="D215" s="209"/>
      <c r="E215" s="209"/>
      <c r="F215" s="209"/>
      <c r="G215" s="210"/>
    </row>
    <row r="216" spans="1:7" s="25" customFormat="1" ht="13.8" x14ac:dyDescent="0.3">
      <c r="A216" s="208"/>
      <c r="B216" s="208"/>
      <c r="C216" s="209"/>
      <c r="D216" s="209"/>
      <c r="E216" s="209"/>
      <c r="F216" s="209"/>
      <c r="G216" s="210"/>
    </row>
    <row r="217" spans="1:7" s="25" customFormat="1" ht="13.8" x14ac:dyDescent="0.3">
      <c r="A217" s="208"/>
      <c r="B217" s="208"/>
      <c r="C217" s="209"/>
      <c r="D217" s="209"/>
      <c r="E217" s="209"/>
      <c r="F217" s="209"/>
      <c r="G217" s="210"/>
    </row>
    <row r="218" spans="1:7" s="25" customFormat="1" ht="13.8" x14ac:dyDescent="0.3">
      <c r="A218" s="208"/>
      <c r="B218" s="208"/>
      <c r="C218" s="209"/>
      <c r="D218" s="209"/>
      <c r="E218" s="209"/>
      <c r="F218" s="209"/>
      <c r="G218" s="210"/>
    </row>
    <row r="219" spans="1:7" s="25" customFormat="1" ht="13.8" x14ac:dyDescent="0.3">
      <c r="A219" s="208"/>
      <c r="B219" s="208"/>
      <c r="C219" s="209"/>
      <c r="D219" s="209"/>
      <c r="E219" s="209"/>
      <c r="F219" s="209"/>
      <c r="G219" s="210"/>
    </row>
    <row r="220" spans="1:7" s="25" customFormat="1" ht="13.8" x14ac:dyDescent="0.3">
      <c r="A220" s="208"/>
      <c r="B220" s="208"/>
      <c r="C220" s="209"/>
      <c r="D220" s="209"/>
      <c r="E220" s="209"/>
      <c r="F220" s="209"/>
      <c r="G220" s="210"/>
    </row>
    <row r="221" spans="1:7" s="25" customFormat="1" ht="13.8" x14ac:dyDescent="0.3">
      <c r="A221" s="208"/>
      <c r="B221" s="208"/>
      <c r="C221" s="209"/>
      <c r="D221" s="209"/>
      <c r="E221" s="209"/>
      <c r="F221" s="209"/>
      <c r="G221" s="210"/>
    </row>
    <row r="222" spans="1:7" s="25" customFormat="1" ht="13.8" x14ac:dyDescent="0.3">
      <c r="A222" s="208"/>
      <c r="B222" s="208"/>
      <c r="C222" s="209"/>
      <c r="D222" s="209"/>
      <c r="E222" s="209"/>
      <c r="F222" s="209"/>
      <c r="G222" s="210"/>
    </row>
    <row r="223" spans="1:7" s="25" customFormat="1" ht="13.8" x14ac:dyDescent="0.3">
      <c r="A223" s="208"/>
      <c r="B223" s="208"/>
      <c r="C223" s="209"/>
      <c r="D223" s="209"/>
      <c r="E223" s="209"/>
      <c r="F223" s="209"/>
      <c r="G223" s="210"/>
    </row>
    <row r="224" spans="1:7" s="25" customFormat="1" ht="13.8" x14ac:dyDescent="0.3">
      <c r="A224" s="208"/>
      <c r="B224" s="208"/>
      <c r="C224" s="209"/>
      <c r="D224" s="209"/>
      <c r="E224" s="209"/>
      <c r="F224" s="209"/>
      <c r="G224" s="210"/>
    </row>
    <row r="225" spans="1:7" s="25" customFormat="1" ht="13.8" x14ac:dyDescent="0.3">
      <c r="A225" s="208"/>
      <c r="B225" s="208"/>
      <c r="C225" s="209"/>
      <c r="D225" s="209"/>
      <c r="E225" s="209"/>
      <c r="F225" s="209"/>
      <c r="G225" s="210"/>
    </row>
    <row r="226" spans="1:7" s="25" customFormat="1" ht="13.8" x14ac:dyDescent="0.3">
      <c r="A226" s="208"/>
      <c r="B226" s="208"/>
      <c r="C226" s="209"/>
      <c r="D226" s="209"/>
      <c r="E226" s="209"/>
      <c r="F226" s="209"/>
      <c r="G226" s="210"/>
    </row>
    <row r="227" spans="1:7" s="25" customFormat="1" ht="13.8" x14ac:dyDescent="0.3">
      <c r="A227" s="208"/>
      <c r="B227" s="208"/>
      <c r="C227" s="209"/>
      <c r="D227" s="209"/>
      <c r="E227" s="209"/>
      <c r="F227" s="209"/>
      <c r="G227" s="210"/>
    </row>
    <row r="228" spans="1:7" s="25" customFormat="1" ht="13.8" x14ac:dyDescent="0.3">
      <c r="A228" s="208"/>
      <c r="B228" s="208"/>
      <c r="C228" s="209"/>
      <c r="D228" s="209"/>
      <c r="E228" s="209"/>
      <c r="F228" s="209"/>
      <c r="G228" s="210"/>
    </row>
    <row r="229" spans="1:7" s="25" customFormat="1" ht="13.8" x14ac:dyDescent="0.3">
      <c r="A229" s="208"/>
      <c r="B229" s="208"/>
      <c r="C229" s="209"/>
      <c r="D229" s="209"/>
      <c r="E229" s="209"/>
      <c r="F229" s="209"/>
      <c r="G229" s="210"/>
    </row>
    <row r="230" spans="1:7" s="25" customFormat="1" ht="13.8" x14ac:dyDescent="0.3">
      <c r="A230" s="208"/>
      <c r="B230" s="208"/>
      <c r="C230" s="209"/>
      <c r="D230" s="209"/>
      <c r="E230" s="209"/>
      <c r="F230" s="209"/>
      <c r="G230" s="210"/>
    </row>
    <row r="231" spans="1:7" s="25" customFormat="1" ht="13.8" x14ac:dyDescent="0.3">
      <c r="A231" s="208"/>
      <c r="B231" s="208"/>
      <c r="C231" s="209"/>
      <c r="D231" s="209"/>
      <c r="E231" s="209"/>
      <c r="F231" s="209"/>
      <c r="G231" s="210"/>
    </row>
    <row r="232" spans="1:7" s="25" customFormat="1" ht="13.8" x14ac:dyDescent="0.3">
      <c r="A232" s="208"/>
      <c r="B232" s="208"/>
      <c r="C232" s="209"/>
      <c r="D232" s="209"/>
      <c r="E232" s="209"/>
      <c r="F232" s="209"/>
      <c r="G232" s="210"/>
    </row>
    <row r="233" spans="1:7" s="25" customFormat="1" ht="13.8" x14ac:dyDescent="0.3">
      <c r="A233" s="208"/>
      <c r="B233" s="208"/>
      <c r="C233" s="209"/>
      <c r="D233" s="209"/>
      <c r="E233" s="209"/>
      <c r="F233" s="209"/>
      <c r="G233" s="210"/>
    </row>
    <row r="234" spans="1:7" s="25" customFormat="1" ht="13.8" x14ac:dyDescent="0.3">
      <c r="A234" s="208"/>
      <c r="B234" s="208"/>
      <c r="C234" s="209"/>
      <c r="D234" s="209"/>
      <c r="E234" s="209"/>
      <c r="F234" s="209"/>
      <c r="G234" s="210"/>
    </row>
    <row r="235" spans="1:7" s="25" customFormat="1" ht="13.8" x14ac:dyDescent="0.3">
      <c r="A235" s="208"/>
      <c r="B235" s="208"/>
      <c r="C235" s="209"/>
      <c r="D235" s="209"/>
      <c r="E235" s="209"/>
      <c r="F235" s="209"/>
      <c r="G235" s="210"/>
    </row>
    <row r="236" spans="1:7" s="25" customFormat="1" ht="13.8" x14ac:dyDescent="0.3">
      <c r="A236" s="208"/>
      <c r="B236" s="208"/>
      <c r="C236" s="209"/>
      <c r="D236" s="209"/>
      <c r="E236" s="209"/>
      <c r="F236" s="209"/>
      <c r="G236" s="210"/>
    </row>
    <row r="237" spans="1:7" s="25" customFormat="1" ht="13.8" x14ac:dyDescent="0.3">
      <c r="A237" s="208"/>
      <c r="B237" s="208"/>
      <c r="C237" s="209"/>
      <c r="D237" s="209"/>
      <c r="E237" s="209"/>
      <c r="F237" s="209"/>
      <c r="G237" s="210"/>
    </row>
    <row r="238" spans="1:7" s="25" customFormat="1" ht="13.8" x14ac:dyDescent="0.3">
      <c r="A238" s="208"/>
      <c r="B238" s="208"/>
      <c r="C238" s="209"/>
      <c r="D238" s="209"/>
      <c r="E238" s="209"/>
      <c r="F238" s="209"/>
      <c r="G238" s="210"/>
    </row>
    <row r="239" spans="1:7" s="25" customFormat="1" ht="13.8" x14ac:dyDescent="0.3">
      <c r="A239" s="208"/>
      <c r="B239" s="208"/>
      <c r="C239" s="209"/>
      <c r="D239" s="209"/>
      <c r="E239" s="209"/>
      <c r="F239" s="209"/>
      <c r="G239" s="210"/>
    </row>
    <row r="240" spans="1:7" s="25" customFormat="1" ht="13.8" x14ac:dyDescent="0.3">
      <c r="A240" s="208"/>
      <c r="B240" s="208"/>
      <c r="C240" s="209"/>
      <c r="D240" s="209"/>
      <c r="E240" s="209"/>
      <c r="F240" s="209"/>
      <c r="G240" s="210"/>
    </row>
    <row r="241" spans="1:7" s="25" customFormat="1" ht="13.8" x14ac:dyDescent="0.3">
      <c r="A241" s="208"/>
      <c r="B241" s="208"/>
      <c r="C241" s="209"/>
      <c r="D241" s="209"/>
      <c r="E241" s="209"/>
      <c r="F241" s="209"/>
      <c r="G241" s="210"/>
    </row>
    <row r="242" spans="1:7" s="25" customFormat="1" ht="13.8" x14ac:dyDescent="0.3">
      <c r="A242" s="208"/>
      <c r="B242" s="208"/>
      <c r="C242" s="209"/>
      <c r="D242" s="209"/>
      <c r="E242" s="209"/>
      <c r="F242" s="209"/>
      <c r="G242" s="210"/>
    </row>
    <row r="243" spans="1:7" s="25" customFormat="1" ht="13.8" x14ac:dyDescent="0.3">
      <c r="A243" s="208"/>
      <c r="B243" s="208"/>
      <c r="C243" s="209"/>
      <c r="D243" s="209"/>
      <c r="E243" s="209"/>
      <c r="F243" s="209"/>
      <c r="G243" s="210"/>
    </row>
    <row r="244" spans="1:7" s="25" customFormat="1" ht="13.8" x14ac:dyDescent="0.3">
      <c r="A244" s="208"/>
      <c r="B244" s="208"/>
      <c r="C244" s="209"/>
      <c r="D244" s="209"/>
      <c r="E244" s="209"/>
      <c r="F244" s="209"/>
      <c r="G244" s="210"/>
    </row>
    <row r="245" spans="1:7" s="25" customFormat="1" ht="13.8" x14ac:dyDescent="0.3">
      <c r="A245" s="208"/>
      <c r="B245" s="208"/>
      <c r="C245" s="209"/>
      <c r="D245" s="209"/>
      <c r="E245" s="209"/>
      <c r="F245" s="209"/>
      <c r="G245" s="210"/>
    </row>
    <row r="246" spans="1:7" s="25" customFormat="1" ht="13.8" x14ac:dyDescent="0.3">
      <c r="A246" s="208"/>
      <c r="B246" s="208"/>
      <c r="C246" s="209"/>
      <c r="D246" s="209"/>
      <c r="E246" s="209"/>
      <c r="F246" s="209"/>
      <c r="G246" s="210"/>
    </row>
    <row r="247" spans="1:7" s="25" customFormat="1" ht="13.8" x14ac:dyDescent="0.3">
      <c r="A247" s="208"/>
      <c r="B247" s="208"/>
      <c r="C247" s="209"/>
      <c r="D247" s="209"/>
      <c r="E247" s="209"/>
      <c r="F247" s="209"/>
      <c r="G247" s="210"/>
    </row>
    <row r="248" spans="1:7" s="25" customFormat="1" ht="13.8" x14ac:dyDescent="0.3">
      <c r="A248" s="208"/>
      <c r="B248" s="208"/>
      <c r="C248" s="209"/>
      <c r="D248" s="209"/>
      <c r="E248" s="209"/>
      <c r="F248" s="209"/>
      <c r="G248" s="210"/>
    </row>
    <row r="249" spans="1:7" s="25" customFormat="1" ht="13.8" x14ac:dyDescent="0.3">
      <c r="A249" s="208"/>
      <c r="B249" s="208"/>
      <c r="C249" s="209"/>
      <c r="D249" s="209"/>
      <c r="E249" s="209"/>
      <c r="F249" s="209"/>
      <c r="G249" s="210"/>
    </row>
    <row r="250" spans="1:7" s="25" customFormat="1" ht="13.8" x14ac:dyDescent="0.3">
      <c r="A250" s="208"/>
      <c r="B250" s="208"/>
      <c r="C250" s="209"/>
      <c r="D250" s="209"/>
      <c r="E250" s="209"/>
      <c r="F250" s="209"/>
      <c r="G250" s="210"/>
    </row>
    <row r="251" spans="1:7" s="25" customFormat="1" ht="13.8" x14ac:dyDescent="0.3">
      <c r="A251" s="208"/>
      <c r="B251" s="208"/>
      <c r="C251" s="209"/>
      <c r="D251" s="209"/>
      <c r="E251" s="209"/>
      <c r="F251" s="209"/>
      <c r="G251" s="210"/>
    </row>
    <row r="252" spans="1:7" s="25" customFormat="1" ht="13.8" x14ac:dyDescent="0.3">
      <c r="A252" s="208"/>
      <c r="B252" s="208"/>
      <c r="C252" s="209"/>
      <c r="D252" s="209"/>
      <c r="E252" s="209"/>
      <c r="F252" s="209"/>
      <c r="G252" s="210"/>
    </row>
    <row r="253" spans="1:7" s="25" customFormat="1" ht="13.8" x14ac:dyDescent="0.3">
      <c r="A253" s="208"/>
      <c r="B253" s="208"/>
      <c r="C253" s="209"/>
      <c r="D253" s="209"/>
      <c r="E253" s="209"/>
      <c r="F253" s="209"/>
      <c r="G253" s="210"/>
    </row>
    <row r="254" spans="1:7" s="25" customFormat="1" ht="13.8" x14ac:dyDescent="0.3">
      <c r="A254" s="208"/>
      <c r="B254" s="208"/>
      <c r="C254" s="209"/>
      <c r="D254" s="209"/>
      <c r="E254" s="209"/>
      <c r="F254" s="209"/>
      <c r="G254" s="210"/>
    </row>
    <row r="255" spans="1:7" s="25" customFormat="1" ht="13.8" x14ac:dyDescent="0.3">
      <c r="A255" s="208"/>
      <c r="B255" s="208"/>
      <c r="C255" s="209"/>
      <c r="D255" s="209"/>
      <c r="E255" s="209"/>
      <c r="F255" s="209"/>
      <c r="G255" s="210"/>
    </row>
    <row r="256" spans="1:7" s="25" customFormat="1" ht="13.8" x14ac:dyDescent="0.3">
      <c r="A256" s="208"/>
      <c r="B256" s="208"/>
      <c r="C256" s="209"/>
      <c r="D256" s="209"/>
      <c r="E256" s="209"/>
      <c r="F256" s="209"/>
      <c r="G256" s="210"/>
    </row>
    <row r="257" spans="1:7" s="25" customFormat="1" ht="13.8" x14ac:dyDescent="0.3">
      <c r="A257" s="208"/>
      <c r="B257" s="208"/>
      <c r="C257" s="209"/>
      <c r="D257" s="209"/>
      <c r="E257" s="209"/>
      <c r="F257" s="209"/>
      <c r="G257" s="210"/>
    </row>
    <row r="258" spans="1:7" s="25" customFormat="1" ht="13.8" x14ac:dyDescent="0.3">
      <c r="A258" s="208"/>
      <c r="B258" s="208"/>
      <c r="C258" s="209"/>
      <c r="D258" s="209"/>
      <c r="E258" s="209"/>
      <c r="F258" s="209"/>
      <c r="G258" s="210"/>
    </row>
    <row r="259" spans="1:7" s="25" customFormat="1" ht="13.8" x14ac:dyDescent="0.3">
      <c r="A259" s="208"/>
      <c r="B259" s="208"/>
      <c r="C259" s="209"/>
      <c r="D259" s="209"/>
      <c r="E259" s="209"/>
      <c r="F259" s="209"/>
      <c r="G259" s="210"/>
    </row>
    <row r="260" spans="1:7" s="25" customFormat="1" ht="13.8" x14ac:dyDescent="0.3">
      <c r="A260" s="208"/>
      <c r="B260" s="208"/>
      <c r="C260" s="209"/>
      <c r="D260" s="209"/>
      <c r="E260" s="209"/>
      <c r="F260" s="209"/>
      <c r="G260" s="210"/>
    </row>
    <row r="261" spans="1:7" s="25" customFormat="1" ht="13.8" x14ac:dyDescent="0.3">
      <c r="A261" s="208"/>
      <c r="B261" s="208"/>
      <c r="C261" s="209"/>
      <c r="D261" s="209"/>
      <c r="E261" s="209"/>
      <c r="F261" s="209"/>
      <c r="G261" s="210"/>
    </row>
    <row r="262" spans="1:7" s="25" customFormat="1" ht="13.8" x14ac:dyDescent="0.3">
      <c r="A262" s="208"/>
      <c r="B262" s="208"/>
      <c r="C262" s="209"/>
      <c r="D262" s="209"/>
      <c r="E262" s="209"/>
      <c r="F262" s="209"/>
      <c r="G262" s="210"/>
    </row>
    <row r="263" spans="1:7" s="25" customFormat="1" ht="13.8" x14ac:dyDescent="0.3">
      <c r="A263" s="208"/>
      <c r="B263" s="208"/>
      <c r="C263" s="209"/>
      <c r="D263" s="209"/>
      <c r="E263" s="209"/>
      <c r="F263" s="209"/>
      <c r="G263" s="210"/>
    </row>
    <row r="264" spans="1:7" s="25" customFormat="1" ht="13.8" x14ac:dyDescent="0.3">
      <c r="A264" s="208"/>
      <c r="B264" s="208"/>
      <c r="C264" s="209"/>
      <c r="D264" s="209"/>
      <c r="E264" s="209"/>
      <c r="F264" s="209"/>
      <c r="G264" s="210"/>
    </row>
    <row r="265" spans="1:7" s="25" customFormat="1" ht="13.8" x14ac:dyDescent="0.3">
      <c r="A265" s="208"/>
      <c r="B265" s="208"/>
      <c r="C265" s="209"/>
      <c r="D265" s="209"/>
      <c r="E265" s="209"/>
      <c r="F265" s="209"/>
      <c r="G265" s="210"/>
    </row>
    <row r="266" spans="1:7" s="25" customFormat="1" ht="13.8" x14ac:dyDescent="0.3">
      <c r="A266" s="208"/>
      <c r="B266" s="208"/>
      <c r="C266" s="209"/>
      <c r="D266" s="209"/>
      <c r="E266" s="209"/>
      <c r="F266" s="209"/>
      <c r="G266" s="210"/>
    </row>
    <row r="267" spans="1:7" s="25" customFormat="1" ht="13.8" x14ac:dyDescent="0.3">
      <c r="A267" s="208"/>
      <c r="B267" s="208"/>
      <c r="C267" s="209"/>
      <c r="D267" s="209"/>
      <c r="E267" s="209"/>
      <c r="F267" s="209"/>
      <c r="G267" s="210"/>
    </row>
    <row r="268" spans="1:7" s="25" customFormat="1" ht="13.8" x14ac:dyDescent="0.3">
      <c r="A268" s="208"/>
      <c r="B268" s="208"/>
      <c r="C268" s="209"/>
      <c r="D268" s="209"/>
      <c r="E268" s="209"/>
      <c r="F268" s="209"/>
      <c r="G268" s="210"/>
    </row>
    <row r="269" spans="1:7" s="25" customFormat="1" ht="13.8" x14ac:dyDescent="0.3">
      <c r="A269" s="208"/>
      <c r="B269" s="208"/>
      <c r="C269" s="209"/>
      <c r="D269" s="209"/>
      <c r="E269" s="209"/>
      <c r="F269" s="209"/>
      <c r="G269" s="210"/>
    </row>
    <row r="270" spans="1:7" s="25" customFormat="1" ht="13.8" x14ac:dyDescent="0.3">
      <c r="A270" s="208"/>
      <c r="B270" s="208"/>
      <c r="C270" s="209"/>
      <c r="D270" s="209"/>
      <c r="E270" s="209"/>
      <c r="F270" s="209"/>
      <c r="G270" s="210"/>
    </row>
    <row r="271" spans="1:7" s="25" customFormat="1" ht="13.8" x14ac:dyDescent="0.3">
      <c r="A271" s="208"/>
      <c r="B271" s="208"/>
      <c r="C271" s="209"/>
      <c r="D271" s="209"/>
      <c r="E271" s="209"/>
      <c r="F271" s="209"/>
      <c r="G271" s="210"/>
    </row>
    <row r="272" spans="1:7" s="25" customFormat="1" ht="13.8" x14ac:dyDescent="0.3">
      <c r="A272" s="208"/>
      <c r="B272" s="208"/>
      <c r="C272" s="209"/>
      <c r="D272" s="209"/>
      <c r="E272" s="209"/>
      <c r="F272" s="209"/>
      <c r="G272" s="210"/>
    </row>
    <row r="273" spans="1:7" s="25" customFormat="1" ht="13.8" x14ac:dyDescent="0.3">
      <c r="A273" s="208"/>
      <c r="B273" s="208"/>
      <c r="C273" s="209"/>
      <c r="D273" s="209"/>
      <c r="E273" s="209"/>
      <c r="F273" s="209"/>
      <c r="G273" s="210"/>
    </row>
    <row r="274" spans="1:7" s="25" customFormat="1" ht="13.8" x14ac:dyDescent="0.3">
      <c r="A274" s="208"/>
      <c r="B274" s="208"/>
      <c r="C274" s="209"/>
      <c r="D274" s="209"/>
      <c r="E274" s="209"/>
      <c r="F274" s="209"/>
      <c r="G274" s="210"/>
    </row>
    <row r="275" spans="1:7" s="25" customFormat="1" ht="13.8" x14ac:dyDescent="0.3">
      <c r="A275" s="208"/>
      <c r="B275" s="208"/>
      <c r="C275" s="209"/>
      <c r="D275" s="209"/>
      <c r="E275" s="209"/>
      <c r="F275" s="209"/>
      <c r="G275" s="210"/>
    </row>
    <row r="276" spans="1:7" s="25" customFormat="1" ht="13.8" x14ac:dyDescent="0.3">
      <c r="A276" s="208"/>
      <c r="B276" s="208"/>
      <c r="C276" s="209"/>
      <c r="D276" s="209"/>
      <c r="E276" s="209"/>
      <c r="F276" s="209"/>
      <c r="G276" s="210"/>
    </row>
    <row r="277" spans="1:7" s="25" customFormat="1" ht="13.8" x14ac:dyDescent="0.3">
      <c r="A277" s="208"/>
      <c r="B277" s="208"/>
      <c r="C277" s="209"/>
      <c r="D277" s="209"/>
      <c r="E277" s="209"/>
      <c r="F277" s="209"/>
      <c r="G277" s="210"/>
    </row>
    <row r="278" spans="1:7" s="25" customFormat="1" ht="13.8" x14ac:dyDescent="0.3">
      <c r="A278" s="208"/>
      <c r="B278" s="208"/>
      <c r="C278" s="209"/>
      <c r="D278" s="209"/>
      <c r="E278" s="209"/>
      <c r="F278" s="209"/>
      <c r="G278" s="210"/>
    </row>
    <row r="279" spans="1:7" s="25" customFormat="1" ht="13.8" x14ac:dyDescent="0.3">
      <c r="A279" s="208"/>
      <c r="B279" s="208"/>
      <c r="C279" s="209"/>
      <c r="D279" s="209"/>
      <c r="E279" s="209"/>
      <c r="F279" s="209"/>
      <c r="G279" s="210"/>
    </row>
    <row r="280" spans="1:7" s="25" customFormat="1" ht="13.8" x14ac:dyDescent="0.3">
      <c r="A280" s="208"/>
      <c r="B280" s="208"/>
      <c r="C280" s="209"/>
      <c r="D280" s="209"/>
      <c r="E280" s="209"/>
      <c r="F280" s="209"/>
      <c r="G280" s="210"/>
    </row>
    <row r="281" spans="1:7" s="25" customFormat="1" ht="13.8" x14ac:dyDescent="0.3">
      <c r="A281" s="208"/>
      <c r="B281" s="208"/>
      <c r="C281" s="209"/>
      <c r="D281" s="209"/>
      <c r="E281" s="209"/>
      <c r="F281" s="209"/>
      <c r="G281" s="210"/>
    </row>
    <row r="282" spans="1:7" s="25" customFormat="1" ht="13.8" x14ac:dyDescent="0.3">
      <c r="A282" s="208"/>
      <c r="B282" s="208"/>
      <c r="C282" s="209"/>
      <c r="D282" s="209"/>
      <c r="E282" s="209"/>
      <c r="F282" s="209"/>
      <c r="G282" s="210"/>
    </row>
    <row r="283" spans="1:7" s="25" customFormat="1" ht="13.8" x14ac:dyDescent="0.3">
      <c r="A283" s="208"/>
      <c r="B283" s="208"/>
      <c r="C283" s="209"/>
      <c r="D283" s="209"/>
      <c r="E283" s="209"/>
      <c r="F283" s="209"/>
      <c r="G283" s="210"/>
    </row>
    <row r="284" spans="1:7" s="25" customFormat="1" ht="13.8" x14ac:dyDescent="0.3">
      <c r="A284" s="208"/>
      <c r="B284" s="208"/>
      <c r="C284" s="209"/>
      <c r="D284" s="209"/>
      <c r="E284" s="209"/>
      <c r="F284" s="209"/>
      <c r="G284" s="210"/>
    </row>
    <row r="285" spans="1:7" s="25" customFormat="1" ht="13.8" x14ac:dyDescent="0.3">
      <c r="A285" s="208"/>
      <c r="B285" s="208"/>
      <c r="C285" s="209"/>
      <c r="D285" s="209"/>
      <c r="E285" s="209"/>
      <c r="F285" s="209"/>
      <c r="G285" s="210"/>
    </row>
    <row r="286" spans="1:7" s="25" customFormat="1" ht="13.8" x14ac:dyDescent="0.3">
      <c r="A286" s="208"/>
      <c r="B286" s="208"/>
      <c r="C286" s="209"/>
      <c r="D286" s="209"/>
      <c r="E286" s="209"/>
      <c r="F286" s="209"/>
      <c r="G286" s="210"/>
    </row>
    <row r="287" spans="1:7" s="25" customFormat="1" ht="13.8" x14ac:dyDescent="0.3">
      <c r="A287" s="208"/>
      <c r="B287" s="208"/>
      <c r="C287" s="209"/>
      <c r="D287" s="209"/>
      <c r="E287" s="209"/>
      <c r="F287" s="209"/>
      <c r="G287" s="210"/>
    </row>
    <row r="288" spans="1:7" s="25" customFormat="1" ht="13.8" x14ac:dyDescent="0.3">
      <c r="A288" s="208"/>
      <c r="B288" s="208"/>
      <c r="C288" s="209"/>
      <c r="D288" s="209"/>
      <c r="E288" s="209"/>
      <c r="F288" s="209"/>
      <c r="G288" s="210"/>
    </row>
    <row r="289" spans="1:7" s="25" customFormat="1" ht="13.8" x14ac:dyDescent="0.3">
      <c r="A289" s="208"/>
      <c r="B289" s="208"/>
      <c r="C289" s="209"/>
      <c r="D289" s="209"/>
      <c r="E289" s="209"/>
      <c r="F289" s="209"/>
      <c r="G289" s="210"/>
    </row>
    <row r="290" spans="1:7" s="25" customFormat="1" ht="13.8" x14ac:dyDescent="0.3">
      <c r="A290" s="208"/>
      <c r="B290" s="208"/>
      <c r="C290" s="209"/>
      <c r="D290" s="209"/>
      <c r="E290" s="209"/>
      <c r="F290" s="209"/>
      <c r="G290" s="210"/>
    </row>
    <row r="291" spans="1:7" s="25" customFormat="1" ht="13.8" x14ac:dyDescent="0.3">
      <c r="A291" s="208"/>
      <c r="B291" s="208"/>
      <c r="C291" s="209"/>
      <c r="D291" s="209"/>
      <c r="E291" s="209"/>
      <c r="F291" s="209"/>
      <c r="G291" s="210"/>
    </row>
    <row r="292" spans="1:7" s="25" customFormat="1" ht="13.8" x14ac:dyDescent="0.3">
      <c r="A292" s="208"/>
      <c r="B292" s="208"/>
      <c r="C292" s="209"/>
      <c r="D292" s="209"/>
      <c r="E292" s="209"/>
      <c r="F292" s="209"/>
      <c r="G292" s="210"/>
    </row>
    <row r="293" spans="1:7" s="25" customFormat="1" ht="13.8" x14ac:dyDescent="0.3">
      <c r="A293" s="208"/>
      <c r="B293" s="208"/>
      <c r="C293" s="209"/>
      <c r="D293" s="209"/>
      <c r="E293" s="209"/>
      <c r="F293" s="209"/>
      <c r="G293" s="210"/>
    </row>
    <row r="294" spans="1:7" s="25" customFormat="1" ht="13.8" x14ac:dyDescent="0.3">
      <c r="A294" s="208"/>
      <c r="B294" s="208"/>
      <c r="C294" s="209"/>
      <c r="D294" s="209"/>
      <c r="E294" s="209"/>
      <c r="F294" s="209"/>
      <c r="G294" s="210"/>
    </row>
    <row r="295" spans="1:7" s="25" customFormat="1" ht="13.8" x14ac:dyDescent="0.3">
      <c r="A295" s="208"/>
      <c r="B295" s="208"/>
      <c r="C295" s="209"/>
      <c r="D295" s="209"/>
      <c r="E295" s="209"/>
      <c r="F295" s="209"/>
      <c r="G295" s="210"/>
    </row>
    <row r="296" spans="1:7" s="25" customFormat="1" ht="13.8" x14ac:dyDescent="0.3">
      <c r="A296" s="208"/>
      <c r="B296" s="208"/>
      <c r="C296" s="209"/>
      <c r="D296" s="209"/>
      <c r="E296" s="209"/>
      <c r="F296" s="209"/>
      <c r="G296" s="210"/>
    </row>
    <row r="297" spans="1:7" s="25" customFormat="1" ht="13.8" x14ac:dyDescent="0.3">
      <c r="A297" s="208"/>
      <c r="B297" s="208"/>
      <c r="C297" s="209"/>
      <c r="D297" s="209"/>
      <c r="E297" s="209"/>
      <c r="F297" s="209"/>
      <c r="G297" s="210"/>
    </row>
    <row r="298" spans="1:7" s="25" customFormat="1" ht="13.8" x14ac:dyDescent="0.3">
      <c r="A298" s="208"/>
      <c r="B298" s="208"/>
      <c r="C298" s="209"/>
      <c r="D298" s="209"/>
      <c r="E298" s="209"/>
      <c r="F298" s="209"/>
      <c r="G298" s="210"/>
    </row>
    <row r="299" spans="1:7" s="25" customFormat="1" ht="13.8" x14ac:dyDescent="0.3">
      <c r="A299" s="208"/>
      <c r="B299" s="208"/>
      <c r="C299" s="209"/>
      <c r="D299" s="209"/>
      <c r="E299" s="209"/>
      <c r="F299" s="209"/>
      <c r="G299" s="210"/>
    </row>
    <row r="300" spans="1:7" s="25" customFormat="1" ht="13.8" x14ac:dyDescent="0.3">
      <c r="A300" s="208"/>
      <c r="B300" s="208"/>
      <c r="C300" s="209"/>
      <c r="D300" s="209"/>
      <c r="E300" s="209"/>
      <c r="F300" s="209"/>
      <c r="G300" s="210"/>
    </row>
    <row r="301" spans="1:7" s="25" customFormat="1" ht="13.8" x14ac:dyDescent="0.3">
      <c r="A301" s="208"/>
      <c r="B301" s="208"/>
      <c r="C301" s="209"/>
      <c r="D301" s="209"/>
      <c r="E301" s="209"/>
      <c r="F301" s="209"/>
      <c r="G301" s="210"/>
    </row>
    <row r="302" spans="1:7" s="25" customFormat="1" ht="13.8" x14ac:dyDescent="0.3">
      <c r="A302" s="208"/>
      <c r="B302" s="208"/>
      <c r="C302" s="209"/>
      <c r="D302" s="209"/>
      <c r="E302" s="209"/>
      <c r="F302" s="209"/>
      <c r="G302" s="210"/>
    </row>
    <row r="303" spans="1:7" s="25" customFormat="1" ht="13.8" x14ac:dyDescent="0.3">
      <c r="A303" s="208"/>
      <c r="B303" s="208"/>
      <c r="C303" s="209"/>
      <c r="D303" s="209"/>
      <c r="E303" s="209"/>
      <c r="F303" s="209"/>
      <c r="G303" s="210"/>
    </row>
    <row r="304" spans="1:7" s="25" customFormat="1" ht="13.8" x14ac:dyDescent="0.3">
      <c r="A304" s="208"/>
      <c r="B304" s="208"/>
      <c r="C304" s="209"/>
      <c r="D304" s="209"/>
      <c r="E304" s="209"/>
      <c r="F304" s="209"/>
      <c r="G304" s="210"/>
    </row>
    <row r="305" spans="1:7" s="25" customFormat="1" ht="13.8" x14ac:dyDescent="0.3">
      <c r="A305" s="208"/>
      <c r="B305" s="208"/>
      <c r="C305" s="209"/>
      <c r="D305" s="209"/>
      <c r="E305" s="209"/>
      <c r="F305" s="209"/>
      <c r="G305" s="210"/>
    </row>
    <row r="306" spans="1:7" s="25" customFormat="1" ht="13.8" x14ac:dyDescent="0.3">
      <c r="A306" s="208"/>
      <c r="B306" s="208"/>
      <c r="C306" s="209"/>
      <c r="D306" s="209"/>
      <c r="E306" s="209"/>
      <c r="F306" s="209"/>
      <c r="G306" s="210"/>
    </row>
    <row r="307" spans="1:7" s="25" customFormat="1" ht="13.8" x14ac:dyDescent="0.3">
      <c r="A307" s="208"/>
      <c r="B307" s="208"/>
      <c r="C307" s="209"/>
      <c r="D307" s="209"/>
      <c r="E307" s="209"/>
      <c r="F307" s="209"/>
      <c r="G307" s="210"/>
    </row>
    <row r="308" spans="1:7" s="25" customFormat="1" ht="13.8" x14ac:dyDescent="0.3">
      <c r="A308" s="208"/>
      <c r="B308" s="208"/>
      <c r="C308" s="209"/>
      <c r="D308" s="209"/>
      <c r="E308" s="209"/>
      <c r="F308" s="209"/>
      <c r="G308" s="210"/>
    </row>
    <row r="309" spans="1:7" s="25" customFormat="1" ht="13.8" x14ac:dyDescent="0.3">
      <c r="A309" s="208"/>
      <c r="B309" s="208"/>
      <c r="C309" s="209"/>
      <c r="D309" s="209"/>
      <c r="E309" s="209"/>
      <c r="F309" s="209"/>
      <c r="G309" s="210"/>
    </row>
    <row r="310" spans="1:7" s="25" customFormat="1" ht="13.8" x14ac:dyDescent="0.3">
      <c r="A310" s="208"/>
      <c r="B310" s="208"/>
      <c r="C310" s="209"/>
      <c r="D310" s="209"/>
      <c r="E310" s="209"/>
      <c r="F310" s="209"/>
      <c r="G310" s="210"/>
    </row>
    <row r="311" spans="1:7" s="25" customFormat="1" ht="13.8" x14ac:dyDescent="0.3">
      <c r="A311" s="208"/>
      <c r="B311" s="208"/>
      <c r="C311" s="209"/>
      <c r="D311" s="209"/>
      <c r="E311" s="209"/>
      <c r="F311" s="209"/>
      <c r="G311" s="210"/>
    </row>
    <row r="312" spans="1:7" s="25" customFormat="1" ht="13.8" x14ac:dyDescent="0.3">
      <c r="A312" s="208"/>
      <c r="B312" s="208"/>
      <c r="C312" s="209"/>
      <c r="D312" s="209"/>
      <c r="E312" s="209"/>
      <c r="F312" s="209"/>
      <c r="G312" s="210"/>
    </row>
    <row r="313" spans="1:7" s="25" customFormat="1" ht="13.8" x14ac:dyDescent="0.3">
      <c r="A313" s="208"/>
      <c r="B313" s="208"/>
      <c r="C313" s="209"/>
      <c r="D313" s="209"/>
      <c r="E313" s="209"/>
      <c r="F313" s="209"/>
      <c r="G313" s="210"/>
    </row>
    <row r="314" spans="1:7" s="25" customFormat="1" ht="13.8" x14ac:dyDescent="0.3">
      <c r="A314" s="208"/>
      <c r="B314" s="208"/>
      <c r="C314" s="209"/>
      <c r="D314" s="209"/>
      <c r="E314" s="209"/>
      <c r="F314" s="209"/>
      <c r="G314" s="210"/>
    </row>
    <row r="315" spans="1:7" s="25" customFormat="1" ht="13.8" x14ac:dyDescent="0.3">
      <c r="A315" s="208"/>
      <c r="B315" s="208"/>
      <c r="C315" s="209"/>
      <c r="D315" s="209"/>
      <c r="E315" s="209"/>
      <c r="F315" s="209"/>
      <c r="G315" s="210"/>
    </row>
    <row r="316" spans="1:7" s="25" customFormat="1" ht="13.8" x14ac:dyDescent="0.3">
      <c r="A316" s="208"/>
      <c r="B316" s="208"/>
      <c r="C316" s="209"/>
      <c r="D316" s="209"/>
      <c r="E316" s="209"/>
      <c r="F316" s="209"/>
      <c r="G316" s="210"/>
    </row>
    <row r="317" spans="1:7" s="25" customFormat="1" ht="13.8" x14ac:dyDescent="0.3">
      <c r="A317" s="208"/>
      <c r="B317" s="208"/>
      <c r="C317" s="209"/>
      <c r="D317" s="209"/>
      <c r="E317" s="209"/>
      <c r="F317" s="209"/>
      <c r="G317" s="210"/>
    </row>
    <row r="318" spans="1:7" s="25" customFormat="1" ht="13.8" x14ac:dyDescent="0.3">
      <c r="A318" s="208"/>
      <c r="B318" s="208"/>
      <c r="C318" s="209"/>
      <c r="D318" s="209"/>
      <c r="E318" s="209"/>
      <c r="F318" s="209"/>
      <c r="G318" s="210"/>
    </row>
    <row r="319" spans="1:7" s="25" customFormat="1" ht="13.8" x14ac:dyDescent="0.3">
      <c r="A319" s="208"/>
      <c r="B319" s="208"/>
      <c r="C319" s="209"/>
      <c r="D319" s="209"/>
      <c r="E319" s="209"/>
      <c r="F319" s="209"/>
      <c r="G319" s="210"/>
    </row>
    <row r="320" spans="1:7" s="25" customFormat="1" ht="13.8" x14ac:dyDescent="0.3">
      <c r="A320" s="208"/>
      <c r="B320" s="208"/>
      <c r="C320" s="209"/>
      <c r="D320" s="209"/>
      <c r="E320" s="209"/>
      <c r="F320" s="209"/>
      <c r="G320" s="210"/>
    </row>
    <row r="321" spans="1:7" s="25" customFormat="1" ht="13.8" x14ac:dyDescent="0.3">
      <c r="A321" s="208"/>
      <c r="B321" s="208"/>
      <c r="C321" s="209"/>
      <c r="D321" s="209"/>
      <c r="E321" s="209"/>
      <c r="F321" s="209"/>
      <c r="G321" s="210"/>
    </row>
    <row r="322" spans="1:7" s="25" customFormat="1" ht="13.8" x14ac:dyDescent="0.3">
      <c r="A322" s="208"/>
      <c r="B322" s="208"/>
      <c r="C322" s="209"/>
      <c r="D322" s="209"/>
      <c r="E322" s="209"/>
      <c r="F322" s="209"/>
      <c r="G322" s="210"/>
    </row>
    <row r="323" spans="1:7" s="25" customFormat="1" ht="13.8" x14ac:dyDescent="0.3">
      <c r="A323" s="208"/>
      <c r="B323" s="208"/>
      <c r="C323" s="209"/>
      <c r="D323" s="209"/>
      <c r="E323" s="209"/>
      <c r="F323" s="209"/>
      <c r="G323" s="210"/>
    </row>
    <row r="324" spans="1:7" s="25" customFormat="1" ht="13.8" x14ac:dyDescent="0.3">
      <c r="A324" s="208"/>
      <c r="B324" s="208"/>
      <c r="C324" s="209"/>
      <c r="D324" s="209"/>
      <c r="E324" s="209"/>
      <c r="F324" s="209"/>
      <c r="G324" s="210"/>
    </row>
    <row r="325" spans="1:7" s="25" customFormat="1" ht="13.8" x14ac:dyDescent="0.3">
      <c r="A325" s="208"/>
      <c r="B325" s="208"/>
      <c r="C325" s="209"/>
      <c r="D325" s="209"/>
      <c r="E325" s="209"/>
      <c r="F325" s="209"/>
      <c r="G325" s="210"/>
    </row>
    <row r="326" spans="1:7" s="25" customFormat="1" ht="13.8" x14ac:dyDescent="0.3">
      <c r="A326" s="208"/>
      <c r="B326" s="208"/>
      <c r="C326" s="209"/>
      <c r="D326" s="209"/>
      <c r="E326" s="209"/>
      <c r="F326" s="209"/>
      <c r="G326" s="210"/>
    </row>
    <row r="327" spans="1:7" s="25" customFormat="1" ht="13.8" x14ac:dyDescent="0.3">
      <c r="A327" s="208"/>
      <c r="B327" s="208"/>
      <c r="C327" s="209"/>
      <c r="D327" s="209"/>
      <c r="E327" s="209"/>
      <c r="F327" s="209"/>
      <c r="G327" s="210"/>
    </row>
    <row r="328" spans="1:7" s="25" customFormat="1" ht="13.8" x14ac:dyDescent="0.3">
      <c r="A328" s="208"/>
      <c r="B328" s="208"/>
      <c r="C328" s="209"/>
      <c r="D328" s="209"/>
      <c r="E328" s="209"/>
      <c r="F328" s="209"/>
      <c r="G328" s="210"/>
    </row>
    <row r="329" spans="1:7" s="25" customFormat="1" ht="13.8" x14ac:dyDescent="0.3">
      <c r="A329" s="208"/>
      <c r="B329" s="208"/>
      <c r="C329" s="209"/>
      <c r="D329" s="209"/>
      <c r="E329" s="209"/>
      <c r="F329" s="209"/>
      <c r="G329" s="210"/>
    </row>
    <row r="330" spans="1:7" s="25" customFormat="1" ht="13.8" x14ac:dyDescent="0.3">
      <c r="A330" s="208"/>
      <c r="B330" s="208"/>
      <c r="C330" s="209"/>
      <c r="D330" s="209"/>
      <c r="E330" s="209"/>
      <c r="F330" s="209"/>
      <c r="G330" s="210"/>
    </row>
    <row r="331" spans="1:7" s="25" customFormat="1" ht="13.8" x14ac:dyDescent="0.3">
      <c r="A331" s="208"/>
      <c r="B331" s="208"/>
      <c r="C331" s="209"/>
      <c r="D331" s="209"/>
      <c r="E331" s="209"/>
      <c r="F331" s="209"/>
      <c r="G331" s="210"/>
    </row>
    <row r="332" spans="1:7" s="25" customFormat="1" ht="13.8" x14ac:dyDescent="0.3">
      <c r="A332" s="208"/>
      <c r="B332" s="208"/>
      <c r="C332" s="209"/>
      <c r="D332" s="209"/>
      <c r="E332" s="209"/>
      <c r="F332" s="209"/>
      <c r="G332" s="210"/>
    </row>
    <row r="333" spans="1:7" s="25" customFormat="1" ht="13.8" x14ac:dyDescent="0.3">
      <c r="A333" s="208"/>
      <c r="B333" s="208"/>
      <c r="C333" s="209"/>
      <c r="D333" s="209"/>
      <c r="E333" s="209"/>
      <c r="F333" s="209"/>
      <c r="G333" s="210"/>
    </row>
    <row r="334" spans="1:7" s="25" customFormat="1" ht="13.8" x14ac:dyDescent="0.3">
      <c r="A334" s="208"/>
      <c r="B334" s="208"/>
      <c r="C334" s="209"/>
      <c r="D334" s="209"/>
      <c r="E334" s="209"/>
      <c r="F334" s="209"/>
      <c r="G334" s="210"/>
    </row>
    <row r="335" spans="1:7" s="25" customFormat="1" ht="13.8" x14ac:dyDescent="0.3">
      <c r="A335" s="208"/>
      <c r="B335" s="208"/>
      <c r="C335" s="209"/>
      <c r="D335" s="209"/>
      <c r="E335" s="209"/>
      <c r="F335" s="209"/>
      <c r="G335" s="210"/>
    </row>
    <row r="336" spans="1:7" s="25" customFormat="1" ht="13.8" x14ac:dyDescent="0.3">
      <c r="A336" s="208"/>
      <c r="B336" s="208"/>
      <c r="C336" s="209"/>
      <c r="D336" s="209"/>
      <c r="E336" s="209"/>
      <c r="F336" s="209"/>
      <c r="G336" s="210"/>
    </row>
    <row r="337" spans="1:7" s="25" customFormat="1" ht="13.8" x14ac:dyDescent="0.3">
      <c r="A337" s="208"/>
      <c r="B337" s="208"/>
      <c r="C337" s="209"/>
      <c r="D337" s="209"/>
      <c r="E337" s="209"/>
      <c r="F337" s="209"/>
      <c r="G337" s="210"/>
    </row>
    <row r="338" spans="1:7" s="25" customFormat="1" ht="13.8" x14ac:dyDescent="0.3">
      <c r="A338" s="208"/>
      <c r="B338" s="208"/>
      <c r="C338" s="209"/>
      <c r="D338" s="209"/>
      <c r="E338" s="209"/>
      <c r="F338" s="209"/>
      <c r="G338" s="210"/>
    </row>
    <row r="339" spans="1:7" s="25" customFormat="1" ht="13.8" x14ac:dyDescent="0.3">
      <c r="A339" s="208"/>
      <c r="B339" s="208"/>
      <c r="C339" s="209"/>
      <c r="D339" s="209"/>
      <c r="E339" s="209"/>
      <c r="F339" s="209"/>
      <c r="G339" s="210"/>
    </row>
    <row r="340" spans="1:7" s="25" customFormat="1" ht="13.8" x14ac:dyDescent="0.3">
      <c r="A340" s="208"/>
      <c r="B340" s="208"/>
      <c r="C340" s="209"/>
      <c r="D340" s="209"/>
      <c r="E340" s="209"/>
      <c r="F340" s="209"/>
      <c r="G340" s="210"/>
    </row>
    <row r="341" spans="1:7" s="25" customFormat="1" ht="13.8" x14ac:dyDescent="0.3">
      <c r="A341" s="208"/>
      <c r="B341" s="208"/>
      <c r="C341" s="209"/>
      <c r="D341" s="209"/>
      <c r="E341" s="209"/>
      <c r="F341" s="209"/>
      <c r="G341" s="210"/>
    </row>
    <row r="342" spans="1:7" s="25" customFormat="1" ht="13.8" x14ac:dyDescent="0.3">
      <c r="A342" s="208"/>
      <c r="B342" s="208"/>
      <c r="C342" s="209"/>
      <c r="D342" s="209"/>
      <c r="E342" s="209"/>
      <c r="F342" s="209"/>
      <c r="G342" s="210"/>
    </row>
    <row r="343" spans="1:7" s="25" customFormat="1" ht="13.8" x14ac:dyDescent="0.3">
      <c r="A343" s="208"/>
      <c r="B343" s="208"/>
      <c r="C343" s="209"/>
      <c r="D343" s="209"/>
      <c r="E343" s="209"/>
      <c r="F343" s="209"/>
      <c r="G343" s="210"/>
    </row>
    <row r="344" spans="1:7" s="25" customFormat="1" ht="13.8" x14ac:dyDescent="0.3">
      <c r="A344" s="208"/>
      <c r="B344" s="208"/>
      <c r="C344" s="209"/>
      <c r="D344" s="209"/>
      <c r="E344" s="209"/>
      <c r="F344" s="209"/>
      <c r="G344" s="210"/>
    </row>
    <row r="345" spans="1:7" s="25" customFormat="1" ht="13.8" x14ac:dyDescent="0.3">
      <c r="A345" s="208"/>
      <c r="B345" s="208"/>
      <c r="C345" s="209"/>
      <c r="D345" s="209"/>
      <c r="E345" s="209"/>
      <c r="F345" s="209"/>
      <c r="G345" s="210"/>
    </row>
    <row r="346" spans="1:7" s="25" customFormat="1" ht="13.8" x14ac:dyDescent="0.3">
      <c r="A346" s="208"/>
      <c r="B346" s="208"/>
      <c r="C346" s="209"/>
      <c r="D346" s="209"/>
      <c r="E346" s="209"/>
      <c r="F346" s="209"/>
      <c r="G346" s="210"/>
    </row>
    <row r="347" spans="1:7" s="25" customFormat="1" ht="13.8" x14ac:dyDescent="0.3">
      <c r="A347" s="208"/>
      <c r="B347" s="208"/>
      <c r="C347" s="209"/>
      <c r="D347" s="209"/>
      <c r="E347" s="209"/>
      <c r="F347" s="209"/>
      <c r="G347" s="210"/>
    </row>
    <row r="348" spans="1:7" s="25" customFormat="1" ht="13.8" x14ac:dyDescent="0.3">
      <c r="A348" s="208"/>
      <c r="B348" s="208"/>
      <c r="C348" s="209"/>
      <c r="D348" s="209"/>
      <c r="E348" s="209"/>
      <c r="F348" s="209"/>
      <c r="G348" s="210"/>
    </row>
    <row r="349" spans="1:7" s="25" customFormat="1" ht="13.8" x14ac:dyDescent="0.3">
      <c r="A349" s="208"/>
      <c r="B349" s="208"/>
      <c r="C349" s="209"/>
      <c r="D349" s="209"/>
      <c r="E349" s="209"/>
      <c r="F349" s="209"/>
      <c r="G349" s="210"/>
    </row>
    <row r="350" spans="1:7" s="25" customFormat="1" ht="13.8" x14ac:dyDescent="0.3">
      <c r="A350" s="208"/>
      <c r="B350" s="208"/>
      <c r="C350" s="209"/>
      <c r="D350" s="209"/>
      <c r="E350" s="209"/>
      <c r="F350" s="209"/>
      <c r="G350" s="210"/>
    </row>
    <row r="351" spans="1:7" s="25" customFormat="1" ht="13.8" x14ac:dyDescent="0.3">
      <c r="A351" s="208"/>
      <c r="B351" s="208"/>
      <c r="C351" s="209"/>
      <c r="D351" s="209"/>
      <c r="E351" s="209"/>
      <c r="F351" s="209"/>
      <c r="G351" s="210"/>
    </row>
    <row r="352" spans="1:7" s="25" customFormat="1" ht="13.8" x14ac:dyDescent="0.3">
      <c r="A352" s="208"/>
      <c r="B352" s="208"/>
      <c r="C352" s="209"/>
      <c r="D352" s="209"/>
      <c r="E352" s="209"/>
      <c r="F352" s="209"/>
      <c r="G352" s="210"/>
    </row>
    <row r="353" spans="1:7" s="25" customFormat="1" ht="13.8" x14ac:dyDescent="0.3">
      <c r="A353" s="208"/>
      <c r="B353" s="208"/>
      <c r="C353" s="209"/>
      <c r="D353" s="209"/>
      <c r="E353" s="209"/>
      <c r="F353" s="209"/>
      <c r="G353" s="210"/>
    </row>
    <row r="354" spans="1:7" s="25" customFormat="1" ht="13.8" x14ac:dyDescent="0.3">
      <c r="A354" s="208"/>
      <c r="B354" s="208"/>
      <c r="C354" s="209"/>
      <c r="D354" s="209"/>
      <c r="E354" s="209"/>
      <c r="F354" s="209"/>
      <c r="G354" s="210"/>
    </row>
    <row r="355" spans="1:7" s="25" customFormat="1" ht="13.8" x14ac:dyDescent="0.3">
      <c r="A355" s="208"/>
      <c r="B355" s="208"/>
      <c r="C355" s="209"/>
      <c r="D355" s="209"/>
      <c r="E355" s="209"/>
      <c r="F355" s="209"/>
      <c r="G355" s="210"/>
    </row>
    <row r="356" spans="1:7" s="25" customFormat="1" ht="13.8" x14ac:dyDescent="0.3">
      <c r="A356" s="208"/>
      <c r="B356" s="208"/>
      <c r="C356" s="209"/>
      <c r="D356" s="209"/>
      <c r="E356" s="209"/>
      <c r="F356" s="209"/>
      <c r="G356" s="210"/>
    </row>
    <row r="357" spans="1:7" s="25" customFormat="1" ht="13.8" x14ac:dyDescent="0.3">
      <c r="A357" s="208"/>
      <c r="B357" s="208"/>
      <c r="C357" s="209"/>
      <c r="D357" s="209"/>
      <c r="E357" s="209"/>
      <c r="F357" s="209"/>
      <c r="G357" s="210"/>
    </row>
    <row r="358" spans="1:7" s="25" customFormat="1" ht="13.8" x14ac:dyDescent="0.3">
      <c r="A358" s="208"/>
      <c r="B358" s="208"/>
      <c r="C358" s="209"/>
      <c r="D358" s="209"/>
      <c r="E358" s="209"/>
      <c r="F358" s="209"/>
      <c r="G358" s="210"/>
    </row>
    <row r="359" spans="1:7" s="25" customFormat="1" ht="13.8" x14ac:dyDescent="0.3">
      <c r="A359" s="208"/>
      <c r="B359" s="208"/>
      <c r="C359" s="209"/>
      <c r="D359" s="209"/>
      <c r="E359" s="209"/>
      <c r="F359" s="209"/>
      <c r="G359" s="210"/>
    </row>
    <row r="360" spans="1:7" s="25" customFormat="1" ht="13.8" x14ac:dyDescent="0.3">
      <c r="A360" s="208"/>
      <c r="B360" s="208"/>
      <c r="C360" s="209"/>
      <c r="D360" s="209"/>
      <c r="E360" s="209"/>
      <c r="F360" s="209"/>
      <c r="G360" s="210"/>
    </row>
    <row r="361" spans="1:7" s="25" customFormat="1" ht="13.8" x14ac:dyDescent="0.3">
      <c r="A361" s="208"/>
      <c r="B361" s="208"/>
      <c r="C361" s="209"/>
      <c r="D361" s="209"/>
      <c r="E361" s="209"/>
      <c r="F361" s="209"/>
      <c r="G361" s="210"/>
    </row>
    <row r="362" spans="1:7" s="25" customFormat="1" ht="13.8" x14ac:dyDescent="0.3">
      <c r="A362" s="208"/>
      <c r="B362" s="208"/>
      <c r="C362" s="209"/>
      <c r="D362" s="209"/>
      <c r="E362" s="209"/>
      <c r="F362" s="209"/>
      <c r="G362" s="210"/>
    </row>
    <row r="363" spans="1:7" s="25" customFormat="1" ht="13.8" x14ac:dyDescent="0.3">
      <c r="A363" s="208"/>
      <c r="B363" s="208"/>
      <c r="C363" s="209"/>
      <c r="D363" s="209"/>
      <c r="E363" s="209"/>
      <c r="F363" s="209"/>
      <c r="G363" s="210"/>
    </row>
    <row r="364" spans="1:7" s="25" customFormat="1" ht="13.8" x14ac:dyDescent="0.3">
      <c r="A364" s="208"/>
      <c r="B364" s="208"/>
      <c r="C364" s="209"/>
      <c r="D364" s="209"/>
      <c r="E364" s="209"/>
      <c r="F364" s="209"/>
      <c r="G364" s="210"/>
    </row>
    <row r="365" spans="1:7" s="25" customFormat="1" ht="13.8" x14ac:dyDescent="0.3">
      <c r="A365" s="208"/>
      <c r="B365" s="208"/>
      <c r="C365" s="209"/>
      <c r="D365" s="209"/>
      <c r="E365" s="209"/>
      <c r="F365" s="209"/>
      <c r="G365" s="210"/>
    </row>
    <row r="366" spans="1:7" s="25" customFormat="1" ht="13.8" x14ac:dyDescent="0.3">
      <c r="A366" s="208"/>
      <c r="B366" s="208"/>
      <c r="C366" s="209"/>
      <c r="D366" s="209"/>
      <c r="E366" s="209"/>
      <c r="F366" s="209"/>
      <c r="G366" s="210"/>
    </row>
    <row r="367" spans="1:7" s="25" customFormat="1" ht="13.8" x14ac:dyDescent="0.3">
      <c r="A367" s="208"/>
      <c r="B367" s="208"/>
      <c r="C367" s="209"/>
      <c r="D367" s="209"/>
      <c r="E367" s="209"/>
      <c r="F367" s="209"/>
      <c r="G367" s="210"/>
    </row>
    <row r="368" spans="1:7" s="25" customFormat="1" ht="13.8" x14ac:dyDescent="0.3">
      <c r="A368" s="208"/>
      <c r="B368" s="208"/>
      <c r="C368" s="209"/>
      <c r="D368" s="209"/>
      <c r="E368" s="209"/>
      <c r="F368" s="209"/>
      <c r="G368" s="210"/>
    </row>
    <row r="369" spans="1:7" s="25" customFormat="1" ht="13.8" x14ac:dyDescent="0.3">
      <c r="A369" s="208"/>
      <c r="B369" s="208"/>
      <c r="C369" s="209"/>
      <c r="D369" s="209"/>
      <c r="E369" s="209"/>
      <c r="F369" s="209"/>
      <c r="G369" s="210"/>
    </row>
    <row r="370" spans="1:7" s="25" customFormat="1" ht="13.8" x14ac:dyDescent="0.3">
      <c r="A370" s="208"/>
      <c r="B370" s="208"/>
      <c r="C370" s="209"/>
      <c r="D370" s="209"/>
      <c r="E370" s="209"/>
      <c r="F370" s="209"/>
      <c r="G370" s="210"/>
    </row>
    <row r="371" spans="1:7" s="25" customFormat="1" ht="13.8" x14ac:dyDescent="0.3">
      <c r="A371" s="208"/>
      <c r="B371" s="208"/>
      <c r="C371" s="209"/>
      <c r="D371" s="209"/>
      <c r="E371" s="209"/>
      <c r="F371" s="209"/>
      <c r="G371" s="210"/>
    </row>
    <row r="372" spans="1:7" s="25" customFormat="1" ht="13.8" x14ac:dyDescent="0.3">
      <c r="A372" s="208"/>
      <c r="B372" s="208"/>
      <c r="C372" s="209"/>
      <c r="D372" s="209"/>
      <c r="E372" s="209"/>
      <c r="F372" s="209"/>
      <c r="G372" s="210"/>
    </row>
    <row r="373" spans="1:7" s="25" customFormat="1" ht="13.8" x14ac:dyDescent="0.3">
      <c r="A373" s="208"/>
      <c r="B373" s="208"/>
      <c r="C373" s="209"/>
      <c r="D373" s="209"/>
      <c r="E373" s="209"/>
      <c r="F373" s="209"/>
      <c r="G373" s="210"/>
    </row>
    <row r="374" spans="1:7" s="25" customFormat="1" ht="13.8" x14ac:dyDescent="0.3">
      <c r="A374" s="208"/>
      <c r="B374" s="208"/>
      <c r="C374" s="209"/>
      <c r="D374" s="209"/>
      <c r="E374" s="209"/>
      <c r="F374" s="209"/>
      <c r="G374" s="210"/>
    </row>
    <row r="375" spans="1:7" s="25" customFormat="1" ht="13.8" x14ac:dyDescent="0.3">
      <c r="A375" s="208"/>
      <c r="B375" s="208"/>
      <c r="C375" s="209"/>
      <c r="D375" s="209"/>
      <c r="E375" s="209"/>
      <c r="F375" s="209"/>
      <c r="G375" s="210"/>
    </row>
    <row r="376" spans="1:7" s="25" customFormat="1" ht="13.8" x14ac:dyDescent="0.3">
      <c r="A376" s="208"/>
      <c r="B376" s="208"/>
      <c r="C376" s="209"/>
      <c r="D376" s="209"/>
      <c r="E376" s="209"/>
      <c r="F376" s="209"/>
      <c r="G376" s="210"/>
    </row>
    <row r="377" spans="1:7" s="25" customFormat="1" ht="13.8" x14ac:dyDescent="0.3">
      <c r="A377" s="208"/>
      <c r="B377" s="208"/>
      <c r="C377" s="209"/>
      <c r="D377" s="209"/>
      <c r="E377" s="209"/>
      <c r="F377" s="209"/>
      <c r="G377" s="210"/>
    </row>
    <row r="378" spans="1:7" s="25" customFormat="1" ht="13.8" x14ac:dyDescent="0.3">
      <c r="A378" s="208"/>
      <c r="B378" s="208"/>
      <c r="C378" s="209"/>
      <c r="D378" s="209"/>
      <c r="E378" s="209"/>
      <c r="F378" s="209"/>
      <c r="G378" s="210"/>
    </row>
    <row r="379" spans="1:7" s="25" customFormat="1" ht="13.8" x14ac:dyDescent="0.3">
      <c r="A379" s="208"/>
      <c r="B379" s="208"/>
      <c r="C379" s="209"/>
      <c r="D379" s="209"/>
      <c r="E379" s="209"/>
      <c r="F379" s="209"/>
      <c r="G379" s="210"/>
    </row>
    <row r="380" spans="1:7" s="25" customFormat="1" ht="13.8" x14ac:dyDescent="0.3">
      <c r="A380" s="208"/>
      <c r="B380" s="208"/>
      <c r="C380" s="209"/>
      <c r="D380" s="209"/>
      <c r="E380" s="209"/>
      <c r="F380" s="209"/>
      <c r="G380" s="210"/>
    </row>
    <row r="381" spans="1:7" s="25" customFormat="1" ht="13.8" x14ac:dyDescent="0.3">
      <c r="A381" s="208"/>
      <c r="B381" s="208"/>
      <c r="C381" s="209"/>
      <c r="D381" s="209"/>
      <c r="E381" s="209"/>
      <c r="F381" s="209"/>
      <c r="G381" s="210"/>
    </row>
    <row r="382" spans="1:7" s="25" customFormat="1" ht="13.8" x14ac:dyDescent="0.3">
      <c r="A382" s="208"/>
      <c r="B382" s="208"/>
      <c r="C382" s="209"/>
      <c r="D382" s="209"/>
      <c r="E382" s="209"/>
      <c r="F382" s="209"/>
      <c r="G382" s="210"/>
    </row>
    <row r="383" spans="1:7" s="25" customFormat="1" ht="13.8" x14ac:dyDescent="0.3">
      <c r="A383" s="208"/>
      <c r="B383" s="208"/>
      <c r="C383" s="209"/>
      <c r="D383" s="209"/>
      <c r="E383" s="209"/>
      <c r="F383" s="209"/>
      <c r="G383" s="210"/>
    </row>
    <row r="384" spans="1:7" s="25" customFormat="1" ht="13.8" x14ac:dyDescent="0.3">
      <c r="A384" s="208"/>
      <c r="B384" s="208"/>
      <c r="C384" s="209"/>
      <c r="D384" s="209"/>
      <c r="E384" s="209"/>
      <c r="F384" s="209"/>
      <c r="G384" s="210"/>
    </row>
    <row r="385" spans="1:7" s="25" customFormat="1" ht="13.8" x14ac:dyDescent="0.3">
      <c r="A385" s="208"/>
      <c r="B385" s="208"/>
      <c r="C385" s="209"/>
      <c r="D385" s="209"/>
      <c r="E385" s="209"/>
      <c r="F385" s="209"/>
      <c r="G385" s="210"/>
    </row>
    <row r="386" spans="1:7" s="25" customFormat="1" ht="13.8" x14ac:dyDescent="0.3">
      <c r="A386" s="208"/>
      <c r="B386" s="208"/>
      <c r="C386" s="209"/>
      <c r="D386" s="209"/>
      <c r="E386" s="209"/>
      <c r="F386" s="209"/>
      <c r="G386" s="210"/>
    </row>
    <row r="387" spans="1:7" s="25" customFormat="1" ht="13.8" x14ac:dyDescent="0.3">
      <c r="A387" s="208"/>
      <c r="B387" s="208"/>
      <c r="C387" s="209"/>
      <c r="D387" s="209"/>
      <c r="E387" s="209"/>
      <c r="F387" s="209"/>
      <c r="G387" s="210"/>
    </row>
    <row r="388" spans="1:7" s="25" customFormat="1" ht="13.8" x14ac:dyDescent="0.3">
      <c r="A388" s="208"/>
      <c r="B388" s="208"/>
      <c r="C388" s="209"/>
      <c r="D388" s="209"/>
      <c r="E388" s="209"/>
      <c r="F388" s="209"/>
      <c r="G388" s="210"/>
    </row>
    <row r="389" spans="1:7" s="25" customFormat="1" ht="13.8" x14ac:dyDescent="0.3">
      <c r="A389" s="208"/>
      <c r="B389" s="208"/>
      <c r="C389" s="209"/>
      <c r="D389" s="209"/>
      <c r="E389" s="209"/>
      <c r="F389" s="209"/>
      <c r="G389" s="210"/>
    </row>
    <row r="390" spans="1:7" s="25" customFormat="1" ht="13.8" x14ac:dyDescent="0.3">
      <c r="A390" s="208"/>
      <c r="B390" s="208"/>
      <c r="C390" s="209"/>
      <c r="D390" s="209"/>
      <c r="E390" s="209"/>
      <c r="F390" s="209"/>
      <c r="G390" s="210"/>
    </row>
    <row r="391" spans="1:7" s="25" customFormat="1" ht="13.8" x14ac:dyDescent="0.3">
      <c r="A391" s="208"/>
      <c r="B391" s="208"/>
      <c r="C391" s="209"/>
      <c r="D391" s="209"/>
      <c r="E391" s="209"/>
      <c r="F391" s="209"/>
      <c r="G391" s="210"/>
    </row>
    <row r="392" spans="1:7" s="25" customFormat="1" ht="13.8" x14ac:dyDescent="0.3">
      <c r="A392" s="208"/>
      <c r="B392" s="208"/>
      <c r="C392" s="209"/>
      <c r="D392" s="209"/>
      <c r="E392" s="209"/>
      <c r="F392" s="209"/>
      <c r="G392" s="210"/>
    </row>
    <row r="393" spans="1:7" s="25" customFormat="1" ht="13.8" x14ac:dyDescent="0.3">
      <c r="A393" s="208"/>
      <c r="B393" s="208"/>
      <c r="C393" s="209"/>
      <c r="D393" s="209"/>
      <c r="E393" s="209"/>
      <c r="F393" s="209"/>
      <c r="G393" s="210"/>
    </row>
    <row r="394" spans="1:7" s="25" customFormat="1" ht="13.8" x14ac:dyDescent="0.3">
      <c r="A394" s="208"/>
      <c r="B394" s="208"/>
      <c r="C394" s="209"/>
      <c r="D394" s="209"/>
      <c r="E394" s="209"/>
      <c r="F394" s="209"/>
      <c r="G394" s="210"/>
    </row>
    <row r="395" spans="1:7" s="25" customFormat="1" ht="13.8" x14ac:dyDescent="0.3">
      <c r="A395" s="208"/>
      <c r="B395" s="208"/>
      <c r="C395" s="209"/>
      <c r="D395" s="209"/>
      <c r="E395" s="209"/>
      <c r="F395" s="209"/>
      <c r="G395" s="210"/>
    </row>
    <row r="396" spans="1:7" s="25" customFormat="1" ht="13.8" x14ac:dyDescent="0.3">
      <c r="A396" s="208"/>
      <c r="B396" s="208"/>
      <c r="C396" s="209"/>
      <c r="D396" s="209"/>
      <c r="E396" s="209"/>
      <c r="F396" s="209"/>
      <c r="G396" s="210"/>
    </row>
    <row r="397" spans="1:7" s="25" customFormat="1" ht="13.8" x14ac:dyDescent="0.3">
      <c r="A397" s="208"/>
      <c r="B397" s="208"/>
      <c r="C397" s="209"/>
      <c r="D397" s="209"/>
      <c r="E397" s="209"/>
      <c r="F397" s="209"/>
      <c r="G397" s="210"/>
    </row>
    <row r="398" spans="1:7" s="25" customFormat="1" ht="13.8" x14ac:dyDescent="0.3">
      <c r="A398" s="208"/>
      <c r="B398" s="208"/>
      <c r="C398" s="209"/>
      <c r="D398" s="209"/>
      <c r="E398" s="209"/>
      <c r="F398" s="209"/>
      <c r="G398" s="210"/>
    </row>
    <row r="399" spans="1:7" s="25" customFormat="1" ht="13.8" x14ac:dyDescent="0.3">
      <c r="A399" s="208"/>
      <c r="B399" s="208"/>
      <c r="C399" s="209"/>
      <c r="D399" s="209"/>
      <c r="E399" s="209"/>
      <c r="F399" s="209"/>
      <c r="G399" s="210"/>
    </row>
    <row r="400" spans="1:7" s="25" customFormat="1" ht="13.8" x14ac:dyDescent="0.3">
      <c r="A400" s="208"/>
      <c r="B400" s="208"/>
      <c r="C400" s="209"/>
      <c r="D400" s="209"/>
      <c r="E400" s="209"/>
      <c r="F400" s="209"/>
      <c r="G400" s="210"/>
    </row>
    <row r="401" spans="1:7" s="25" customFormat="1" ht="13.8" x14ac:dyDescent="0.3">
      <c r="A401" s="208"/>
      <c r="B401" s="208"/>
      <c r="C401" s="209"/>
      <c r="D401" s="209"/>
      <c r="E401" s="209"/>
      <c r="F401" s="209"/>
      <c r="G401" s="210"/>
    </row>
    <row r="402" spans="1:7" s="25" customFormat="1" ht="13.8" x14ac:dyDescent="0.3">
      <c r="A402" s="208"/>
      <c r="B402" s="208"/>
      <c r="C402" s="209"/>
      <c r="D402" s="209"/>
      <c r="E402" s="209"/>
      <c r="F402" s="209"/>
      <c r="G402" s="210"/>
    </row>
    <row r="403" spans="1:7" s="25" customFormat="1" ht="13.8" x14ac:dyDescent="0.3">
      <c r="A403" s="208"/>
      <c r="B403" s="208"/>
      <c r="C403" s="209"/>
      <c r="D403" s="209"/>
      <c r="E403" s="209"/>
      <c r="F403" s="209"/>
      <c r="G403" s="210"/>
    </row>
    <row r="404" spans="1:7" s="25" customFormat="1" ht="13.8" x14ac:dyDescent="0.3">
      <c r="A404" s="208"/>
      <c r="B404" s="208"/>
      <c r="C404" s="209"/>
      <c r="D404" s="209"/>
      <c r="E404" s="209"/>
      <c r="F404" s="209"/>
      <c r="G404" s="210"/>
    </row>
    <row r="405" spans="1:7" s="25" customFormat="1" ht="13.8" x14ac:dyDescent="0.3">
      <c r="A405" s="208"/>
      <c r="B405" s="208"/>
      <c r="C405" s="209"/>
      <c r="D405" s="209"/>
      <c r="E405" s="209"/>
      <c r="F405" s="209"/>
      <c r="G405" s="210"/>
    </row>
    <row r="406" spans="1:7" s="25" customFormat="1" ht="13.8" x14ac:dyDescent="0.3">
      <c r="A406" s="208"/>
      <c r="B406" s="208"/>
      <c r="C406" s="209"/>
      <c r="D406" s="209"/>
      <c r="E406" s="209"/>
      <c r="F406" s="209"/>
      <c r="G406" s="210"/>
    </row>
    <row r="407" spans="1:7" s="25" customFormat="1" ht="13.8" x14ac:dyDescent="0.3">
      <c r="A407" s="208"/>
      <c r="B407" s="208"/>
      <c r="C407" s="209"/>
      <c r="D407" s="209"/>
      <c r="E407" s="209"/>
      <c r="F407" s="209"/>
      <c r="G407" s="210"/>
    </row>
    <row r="408" spans="1:7" s="25" customFormat="1" ht="13.8" x14ac:dyDescent="0.3">
      <c r="A408" s="208"/>
      <c r="B408" s="208"/>
      <c r="C408" s="209"/>
      <c r="D408" s="209"/>
      <c r="E408" s="209"/>
      <c r="F408" s="209"/>
      <c r="G408" s="210"/>
    </row>
    <row r="409" spans="1:7" s="25" customFormat="1" ht="13.8" x14ac:dyDescent="0.3">
      <c r="A409" s="208"/>
      <c r="B409" s="208"/>
      <c r="C409" s="209"/>
      <c r="D409" s="209"/>
      <c r="E409" s="209"/>
      <c r="F409" s="209"/>
      <c r="G409" s="210"/>
    </row>
    <row r="410" spans="1:7" s="25" customFormat="1" ht="13.8" x14ac:dyDescent="0.3">
      <c r="A410" s="208"/>
      <c r="B410" s="208"/>
      <c r="C410" s="209"/>
      <c r="D410" s="209"/>
      <c r="E410" s="209"/>
      <c r="F410" s="209"/>
      <c r="G410" s="210"/>
    </row>
    <row r="411" spans="1:7" s="25" customFormat="1" ht="13.8" x14ac:dyDescent="0.3">
      <c r="A411" s="208"/>
      <c r="B411" s="208"/>
      <c r="C411" s="209"/>
      <c r="D411" s="209"/>
      <c r="E411" s="209"/>
      <c r="F411" s="209"/>
      <c r="G411" s="210"/>
    </row>
    <row r="412" spans="1:7" s="25" customFormat="1" ht="13.8" x14ac:dyDescent="0.3">
      <c r="A412" s="208"/>
      <c r="B412" s="208"/>
      <c r="C412" s="209"/>
      <c r="D412" s="209"/>
      <c r="E412" s="209"/>
      <c r="F412" s="209"/>
      <c r="G412" s="210"/>
    </row>
    <row r="413" spans="1:7" s="25" customFormat="1" ht="13.8" x14ac:dyDescent="0.3">
      <c r="A413" s="208"/>
      <c r="B413" s="208"/>
      <c r="C413" s="209"/>
      <c r="D413" s="209"/>
      <c r="E413" s="209"/>
      <c r="F413" s="209"/>
      <c r="G413" s="210"/>
    </row>
    <row r="414" spans="1:7" s="25" customFormat="1" ht="13.8" x14ac:dyDescent="0.3">
      <c r="A414" s="208"/>
      <c r="B414" s="208"/>
      <c r="C414" s="209"/>
      <c r="D414" s="209"/>
      <c r="E414" s="209"/>
      <c r="F414" s="209"/>
      <c r="G414" s="210"/>
    </row>
    <row r="415" spans="1:7" s="25" customFormat="1" ht="13.8" x14ac:dyDescent="0.3">
      <c r="A415" s="208"/>
      <c r="B415" s="208"/>
      <c r="C415" s="209"/>
      <c r="D415" s="209"/>
      <c r="E415" s="209"/>
      <c r="F415" s="209"/>
      <c r="G415" s="210"/>
    </row>
    <row r="416" spans="1:7" s="25" customFormat="1" ht="13.8" x14ac:dyDescent="0.3">
      <c r="A416" s="208"/>
      <c r="B416" s="208"/>
      <c r="C416" s="209"/>
      <c r="D416" s="209"/>
      <c r="E416" s="209"/>
      <c r="F416" s="209"/>
      <c r="G416" s="210"/>
    </row>
    <row r="417" spans="1:7" s="25" customFormat="1" ht="13.8" x14ac:dyDescent="0.3">
      <c r="A417" s="208"/>
      <c r="B417" s="208"/>
      <c r="C417" s="209"/>
      <c r="D417" s="209"/>
      <c r="E417" s="209"/>
      <c r="F417" s="209"/>
      <c r="G417" s="210"/>
    </row>
    <row r="418" spans="1:7" s="25" customFormat="1" ht="13.8" x14ac:dyDescent="0.3">
      <c r="A418" s="208"/>
      <c r="B418" s="208"/>
      <c r="C418" s="209"/>
      <c r="D418" s="209"/>
      <c r="E418" s="209"/>
      <c r="F418" s="209"/>
      <c r="G418" s="210"/>
    </row>
    <row r="419" spans="1:7" s="25" customFormat="1" ht="13.8" x14ac:dyDescent="0.3">
      <c r="A419" s="208"/>
      <c r="B419" s="208"/>
      <c r="C419" s="209"/>
      <c r="D419" s="209"/>
      <c r="E419" s="209"/>
      <c r="F419" s="209"/>
      <c r="G419" s="210"/>
    </row>
    <row r="420" spans="1:7" s="25" customFormat="1" ht="13.8" x14ac:dyDescent="0.3">
      <c r="A420" s="208"/>
      <c r="B420" s="208"/>
      <c r="C420" s="209"/>
      <c r="D420" s="209"/>
      <c r="E420" s="209"/>
      <c r="F420" s="209"/>
      <c r="G420" s="210"/>
    </row>
    <row r="421" spans="1:7" s="25" customFormat="1" ht="13.8" x14ac:dyDescent="0.3">
      <c r="A421" s="208"/>
      <c r="B421" s="208"/>
      <c r="C421" s="209"/>
      <c r="D421" s="209"/>
      <c r="E421" s="209"/>
      <c r="F421" s="209"/>
      <c r="G421" s="210"/>
    </row>
    <row r="422" spans="1:7" s="25" customFormat="1" ht="13.8" x14ac:dyDescent="0.3">
      <c r="A422" s="208"/>
      <c r="B422" s="208"/>
      <c r="C422" s="209"/>
      <c r="D422" s="209"/>
      <c r="E422" s="209"/>
      <c r="F422" s="209"/>
      <c r="G422" s="210"/>
    </row>
    <row r="423" spans="1:7" s="25" customFormat="1" ht="13.8" x14ac:dyDescent="0.3">
      <c r="A423" s="208"/>
      <c r="B423" s="208"/>
      <c r="C423" s="209"/>
      <c r="D423" s="209"/>
      <c r="E423" s="209"/>
      <c r="F423" s="209"/>
      <c r="G423" s="210"/>
    </row>
    <row r="424" spans="1:7" s="25" customFormat="1" ht="13.8" x14ac:dyDescent="0.3">
      <c r="A424" s="208"/>
      <c r="B424" s="208"/>
      <c r="C424" s="209"/>
      <c r="D424" s="209"/>
      <c r="E424" s="209"/>
      <c r="F424" s="209"/>
      <c r="G424" s="210"/>
    </row>
    <row r="425" spans="1:7" s="25" customFormat="1" ht="13.8" x14ac:dyDescent="0.3">
      <c r="A425" s="208"/>
      <c r="B425" s="208"/>
      <c r="C425" s="209"/>
      <c r="D425" s="209"/>
      <c r="E425" s="209"/>
      <c r="F425" s="209"/>
      <c r="G425" s="210"/>
    </row>
    <row r="426" spans="1:7" s="25" customFormat="1" ht="13.8" x14ac:dyDescent="0.3">
      <c r="A426" s="208"/>
      <c r="B426" s="208"/>
      <c r="C426" s="209"/>
      <c r="D426" s="209"/>
      <c r="E426" s="209"/>
      <c r="F426" s="209"/>
      <c r="G426" s="210"/>
    </row>
    <row r="427" spans="1:7" s="25" customFormat="1" ht="13.8" x14ac:dyDescent="0.3">
      <c r="A427" s="208"/>
      <c r="B427" s="208"/>
      <c r="C427" s="209"/>
      <c r="D427" s="209"/>
      <c r="E427" s="209"/>
      <c r="F427" s="209"/>
      <c r="G427" s="210"/>
    </row>
    <row r="428" spans="1:7" s="25" customFormat="1" ht="13.8" x14ac:dyDescent="0.3">
      <c r="A428" s="208"/>
      <c r="B428" s="208"/>
      <c r="C428" s="209"/>
      <c r="D428" s="209"/>
      <c r="E428" s="209"/>
      <c r="F428" s="209"/>
      <c r="G428" s="210"/>
    </row>
    <row r="429" spans="1:7" s="25" customFormat="1" ht="13.8" x14ac:dyDescent="0.3">
      <c r="A429" s="208"/>
      <c r="B429" s="208"/>
      <c r="C429" s="209"/>
      <c r="D429" s="209"/>
      <c r="E429" s="209"/>
      <c r="F429" s="209"/>
      <c r="G429" s="210"/>
    </row>
    <row r="430" spans="1:7" s="25" customFormat="1" ht="13.8" x14ac:dyDescent="0.3">
      <c r="A430" s="208"/>
      <c r="B430" s="208"/>
      <c r="C430" s="209"/>
      <c r="D430" s="209"/>
      <c r="E430" s="209"/>
      <c r="F430" s="209"/>
      <c r="G430" s="210"/>
    </row>
    <row r="431" spans="1:7" s="25" customFormat="1" ht="13.8" x14ac:dyDescent="0.3">
      <c r="A431" s="208"/>
      <c r="B431" s="208"/>
      <c r="C431" s="209"/>
      <c r="D431" s="209"/>
      <c r="E431" s="209"/>
      <c r="F431" s="209"/>
      <c r="G431" s="210"/>
    </row>
    <row r="432" spans="1:7" s="25" customFormat="1" ht="13.8" x14ac:dyDescent="0.3">
      <c r="A432" s="208"/>
      <c r="B432" s="208"/>
      <c r="C432" s="209"/>
      <c r="D432" s="209"/>
      <c r="E432" s="209"/>
      <c r="F432" s="209"/>
      <c r="G432" s="210"/>
    </row>
    <row r="433" spans="1:7" s="25" customFormat="1" ht="13.8" x14ac:dyDescent="0.3">
      <c r="A433" s="208"/>
      <c r="B433" s="208"/>
      <c r="C433" s="209"/>
      <c r="D433" s="209"/>
      <c r="E433" s="209"/>
      <c r="F433" s="209"/>
      <c r="G433" s="210"/>
    </row>
    <row r="434" spans="1:7" s="25" customFormat="1" ht="13.8" x14ac:dyDescent="0.3">
      <c r="A434" s="208"/>
      <c r="B434" s="208"/>
      <c r="C434" s="209"/>
      <c r="D434" s="209"/>
      <c r="E434" s="209"/>
      <c r="F434" s="209"/>
      <c r="G434" s="210"/>
    </row>
    <row r="435" spans="1:7" s="25" customFormat="1" ht="13.8" x14ac:dyDescent="0.3">
      <c r="A435" s="208"/>
      <c r="B435" s="208"/>
      <c r="C435" s="209"/>
      <c r="D435" s="209"/>
      <c r="E435" s="209"/>
      <c r="F435" s="209"/>
      <c r="G435" s="210"/>
    </row>
    <row r="436" spans="1:7" s="25" customFormat="1" ht="13.8" x14ac:dyDescent="0.3">
      <c r="A436" s="208"/>
      <c r="B436" s="208"/>
      <c r="C436" s="209"/>
      <c r="D436" s="209"/>
      <c r="E436" s="209"/>
      <c r="F436" s="209"/>
      <c r="G436" s="210"/>
    </row>
    <row r="437" spans="1:7" s="25" customFormat="1" ht="13.8" x14ac:dyDescent="0.3">
      <c r="A437" s="208"/>
      <c r="B437" s="208"/>
      <c r="C437" s="209"/>
      <c r="D437" s="209"/>
      <c r="E437" s="209"/>
      <c r="F437" s="209"/>
      <c r="G437" s="210"/>
    </row>
    <row r="438" spans="1:7" s="25" customFormat="1" ht="13.8" x14ac:dyDescent="0.3">
      <c r="A438" s="208"/>
      <c r="B438" s="208"/>
      <c r="C438" s="209"/>
      <c r="D438" s="209"/>
      <c r="E438" s="209"/>
      <c r="F438" s="209"/>
      <c r="G438" s="210"/>
    </row>
    <row r="439" spans="1:7" s="25" customFormat="1" ht="13.8" x14ac:dyDescent="0.3">
      <c r="A439" s="208"/>
      <c r="B439" s="208"/>
      <c r="C439" s="209"/>
      <c r="D439" s="209"/>
      <c r="E439" s="209"/>
      <c r="F439" s="209"/>
      <c r="G439" s="210"/>
    </row>
    <row r="440" spans="1:7" s="25" customFormat="1" ht="13.8" x14ac:dyDescent="0.3">
      <c r="A440" s="208"/>
      <c r="B440" s="208"/>
      <c r="C440" s="209"/>
      <c r="D440" s="209"/>
      <c r="E440" s="209"/>
      <c r="F440" s="209"/>
      <c r="G440" s="210"/>
    </row>
    <row r="441" spans="1:7" s="25" customFormat="1" ht="13.8" x14ac:dyDescent="0.3">
      <c r="A441" s="208"/>
      <c r="B441" s="208"/>
      <c r="C441" s="209"/>
      <c r="D441" s="209"/>
      <c r="E441" s="209"/>
      <c r="F441" s="209"/>
      <c r="G441" s="210"/>
    </row>
    <row r="442" spans="1:7" s="25" customFormat="1" ht="13.8" x14ac:dyDescent="0.3">
      <c r="A442" s="208"/>
      <c r="B442" s="208"/>
      <c r="C442" s="209"/>
      <c r="D442" s="209"/>
      <c r="E442" s="209"/>
      <c r="F442" s="209"/>
      <c r="G442" s="210"/>
    </row>
    <row r="443" spans="1:7" s="25" customFormat="1" ht="13.8" x14ac:dyDescent="0.3">
      <c r="A443" s="208"/>
      <c r="B443" s="208"/>
      <c r="C443" s="209"/>
      <c r="D443" s="209"/>
      <c r="E443" s="209"/>
      <c r="F443" s="209"/>
      <c r="G443" s="210"/>
    </row>
    <row r="444" spans="1:7" s="25" customFormat="1" ht="13.8" x14ac:dyDescent="0.3">
      <c r="A444" s="208"/>
      <c r="B444" s="208"/>
      <c r="C444" s="209"/>
      <c r="D444" s="209"/>
      <c r="E444" s="209"/>
      <c r="F444" s="209"/>
      <c r="G444" s="210"/>
    </row>
    <row r="445" spans="1:7" s="25" customFormat="1" ht="13.8" x14ac:dyDescent="0.3">
      <c r="A445" s="208"/>
      <c r="B445" s="208"/>
      <c r="C445" s="209"/>
      <c r="D445" s="209"/>
      <c r="E445" s="209"/>
      <c r="F445" s="209"/>
      <c r="G445" s="210"/>
    </row>
    <row r="446" spans="1:7" s="25" customFormat="1" ht="13.8" x14ac:dyDescent="0.3">
      <c r="A446" s="208"/>
      <c r="B446" s="208"/>
      <c r="C446" s="209"/>
      <c r="D446" s="209"/>
      <c r="E446" s="209"/>
      <c r="F446" s="209"/>
      <c r="G446" s="210"/>
    </row>
    <row r="447" spans="1:7" s="25" customFormat="1" ht="13.8" x14ac:dyDescent="0.3">
      <c r="A447" s="208"/>
      <c r="B447" s="208"/>
      <c r="C447" s="209"/>
      <c r="D447" s="209"/>
      <c r="E447" s="209"/>
      <c r="F447" s="209"/>
      <c r="G447" s="210"/>
    </row>
    <row r="448" spans="1:7" s="25" customFormat="1" ht="13.8" x14ac:dyDescent="0.3">
      <c r="A448" s="208"/>
      <c r="B448" s="208"/>
      <c r="C448" s="209"/>
      <c r="D448" s="209"/>
      <c r="E448" s="209"/>
      <c r="F448" s="209"/>
      <c r="G448" s="210"/>
    </row>
    <row r="449" spans="1:7" s="25" customFormat="1" ht="13.8" x14ac:dyDescent="0.3">
      <c r="A449" s="208"/>
      <c r="B449" s="208"/>
      <c r="C449" s="209"/>
      <c r="D449" s="209"/>
      <c r="E449" s="209"/>
      <c r="F449" s="209"/>
      <c r="G449" s="210"/>
    </row>
    <row r="450" spans="1:7" s="25" customFormat="1" ht="13.8" x14ac:dyDescent="0.3">
      <c r="A450" s="208"/>
      <c r="B450" s="208"/>
      <c r="C450" s="209"/>
      <c r="D450" s="209"/>
      <c r="E450" s="209"/>
      <c r="F450" s="209"/>
      <c r="G450" s="210"/>
    </row>
    <row r="451" spans="1:7" s="25" customFormat="1" ht="13.8" x14ac:dyDescent="0.3">
      <c r="A451" s="208"/>
      <c r="B451" s="208"/>
      <c r="C451" s="209"/>
      <c r="D451" s="209"/>
      <c r="E451" s="209"/>
      <c r="F451" s="209"/>
      <c r="G451" s="210"/>
    </row>
    <row r="452" spans="1:7" s="25" customFormat="1" ht="13.8" x14ac:dyDescent="0.3">
      <c r="A452" s="208"/>
      <c r="B452" s="208"/>
      <c r="C452" s="209"/>
      <c r="D452" s="209"/>
      <c r="E452" s="209"/>
      <c r="F452" s="209"/>
      <c r="G452" s="210"/>
    </row>
    <row r="453" spans="1:7" s="25" customFormat="1" ht="13.8" x14ac:dyDescent="0.3">
      <c r="A453" s="208"/>
      <c r="B453" s="208"/>
      <c r="C453" s="209"/>
      <c r="D453" s="209"/>
      <c r="E453" s="209"/>
      <c r="F453" s="209"/>
      <c r="G453" s="210"/>
    </row>
    <row r="454" spans="1:7" s="25" customFormat="1" ht="13.8" x14ac:dyDescent="0.3">
      <c r="A454" s="208"/>
      <c r="B454" s="208"/>
      <c r="C454" s="209"/>
      <c r="D454" s="209"/>
      <c r="E454" s="209"/>
      <c r="F454" s="209"/>
      <c r="G454" s="210"/>
    </row>
    <row r="455" spans="1:7" s="25" customFormat="1" ht="13.8" x14ac:dyDescent="0.3">
      <c r="A455" s="208"/>
      <c r="B455" s="208"/>
      <c r="C455" s="209"/>
      <c r="D455" s="209"/>
      <c r="E455" s="209"/>
      <c r="F455" s="209"/>
      <c r="G455" s="210"/>
    </row>
    <row r="456" spans="1:7" s="25" customFormat="1" ht="13.8" x14ac:dyDescent="0.3">
      <c r="A456" s="208"/>
      <c r="B456" s="208"/>
      <c r="C456" s="209"/>
      <c r="D456" s="209"/>
      <c r="E456" s="209"/>
      <c r="F456" s="209"/>
      <c r="G456" s="210"/>
    </row>
    <row r="457" spans="1:7" s="25" customFormat="1" ht="13.8" x14ac:dyDescent="0.3">
      <c r="A457" s="208"/>
      <c r="B457" s="208"/>
      <c r="C457" s="209"/>
      <c r="D457" s="209"/>
      <c r="E457" s="209"/>
      <c r="F457" s="209"/>
      <c r="G457" s="210"/>
    </row>
    <row r="458" spans="1:7" s="25" customFormat="1" ht="13.8" x14ac:dyDescent="0.3">
      <c r="A458" s="208"/>
      <c r="B458" s="208"/>
      <c r="C458" s="209"/>
      <c r="D458" s="209"/>
      <c r="E458" s="209"/>
      <c r="F458" s="209"/>
      <c r="G458" s="210"/>
    </row>
    <row r="459" spans="1:7" s="25" customFormat="1" ht="13.8" x14ac:dyDescent="0.3">
      <c r="A459" s="208"/>
      <c r="B459" s="208"/>
      <c r="C459" s="209"/>
      <c r="D459" s="209"/>
      <c r="E459" s="209"/>
      <c r="F459" s="209"/>
      <c r="G459" s="210"/>
    </row>
    <row r="460" spans="1:7" s="25" customFormat="1" ht="13.8" x14ac:dyDescent="0.3">
      <c r="A460" s="208"/>
      <c r="B460" s="208"/>
      <c r="C460" s="209"/>
      <c r="D460" s="209"/>
      <c r="E460" s="209"/>
      <c r="F460" s="209"/>
      <c r="G460" s="210"/>
    </row>
    <row r="461" spans="1:7" s="25" customFormat="1" ht="13.8" x14ac:dyDescent="0.3">
      <c r="A461" s="208"/>
      <c r="B461" s="208"/>
      <c r="C461" s="209"/>
      <c r="D461" s="209"/>
      <c r="E461" s="209"/>
      <c r="F461" s="209"/>
      <c r="G461" s="210"/>
    </row>
    <row r="462" spans="1:7" s="25" customFormat="1" ht="13.8" x14ac:dyDescent="0.3">
      <c r="A462" s="208"/>
      <c r="B462" s="208"/>
      <c r="C462" s="209"/>
      <c r="D462" s="209"/>
      <c r="E462" s="209"/>
      <c r="F462" s="209"/>
      <c r="G462" s="210"/>
    </row>
    <row r="463" spans="1:7" s="25" customFormat="1" ht="13.8" x14ac:dyDescent="0.3">
      <c r="A463" s="208"/>
      <c r="B463" s="208"/>
      <c r="C463" s="209"/>
      <c r="D463" s="209"/>
      <c r="E463" s="209"/>
      <c r="F463" s="209"/>
      <c r="G463" s="210"/>
    </row>
    <row r="464" spans="1:7" s="25" customFormat="1" ht="13.8" x14ac:dyDescent="0.3">
      <c r="A464" s="208"/>
      <c r="B464" s="208"/>
      <c r="C464" s="209"/>
      <c r="D464" s="209"/>
      <c r="E464" s="209"/>
      <c r="F464" s="209"/>
      <c r="G464" s="210"/>
    </row>
    <row r="465" spans="1:7" s="25" customFormat="1" ht="13.8" x14ac:dyDescent="0.3">
      <c r="A465" s="208"/>
      <c r="B465" s="208"/>
      <c r="C465" s="209"/>
      <c r="D465" s="209"/>
      <c r="E465" s="209"/>
      <c r="F465" s="209"/>
      <c r="G465" s="210"/>
    </row>
    <row r="466" spans="1:7" s="25" customFormat="1" ht="13.8" x14ac:dyDescent="0.3">
      <c r="A466" s="208"/>
      <c r="B466" s="208"/>
      <c r="C466" s="209"/>
      <c r="D466" s="209"/>
      <c r="E466" s="209"/>
      <c r="F466" s="209"/>
      <c r="G466" s="210"/>
    </row>
    <row r="467" spans="1:7" s="25" customFormat="1" ht="13.8" x14ac:dyDescent="0.3">
      <c r="A467" s="208"/>
      <c r="B467" s="208"/>
      <c r="C467" s="209"/>
      <c r="D467" s="209"/>
      <c r="E467" s="209"/>
      <c r="F467" s="209"/>
      <c r="G467" s="210"/>
    </row>
    <row r="468" spans="1:7" s="25" customFormat="1" ht="13.8" x14ac:dyDescent="0.3">
      <c r="A468" s="208"/>
      <c r="B468" s="208"/>
      <c r="C468" s="209"/>
      <c r="D468" s="209"/>
      <c r="E468" s="209"/>
      <c r="F468" s="209"/>
      <c r="G468" s="210"/>
    </row>
    <row r="469" spans="1:7" s="25" customFormat="1" ht="13.8" x14ac:dyDescent="0.3">
      <c r="A469" s="208"/>
      <c r="B469" s="208"/>
      <c r="C469" s="209"/>
      <c r="D469" s="209"/>
      <c r="E469" s="209"/>
      <c r="F469" s="209"/>
      <c r="G469" s="210"/>
    </row>
    <row r="470" spans="1:7" s="25" customFormat="1" ht="13.8" x14ac:dyDescent="0.3">
      <c r="A470" s="208"/>
      <c r="B470" s="208"/>
      <c r="C470" s="209"/>
      <c r="D470" s="209"/>
      <c r="E470" s="209"/>
      <c r="F470" s="209"/>
      <c r="G470" s="210"/>
    </row>
    <row r="471" spans="1:7" s="25" customFormat="1" ht="13.8" x14ac:dyDescent="0.3">
      <c r="A471" s="208"/>
      <c r="B471" s="208"/>
      <c r="C471" s="209"/>
      <c r="D471" s="209"/>
      <c r="E471" s="209"/>
      <c r="F471" s="209"/>
      <c r="G471" s="210"/>
    </row>
    <row r="472" spans="1:7" s="25" customFormat="1" ht="13.8" x14ac:dyDescent="0.3">
      <c r="A472" s="208"/>
      <c r="B472" s="208"/>
      <c r="C472" s="209"/>
      <c r="D472" s="209"/>
      <c r="E472" s="209"/>
      <c r="F472" s="209"/>
      <c r="G472" s="210"/>
    </row>
    <row r="473" spans="1:7" s="25" customFormat="1" ht="13.8" x14ac:dyDescent="0.3">
      <c r="A473" s="208"/>
      <c r="B473" s="208"/>
      <c r="C473" s="209"/>
      <c r="D473" s="209"/>
      <c r="E473" s="209"/>
      <c r="F473" s="209"/>
      <c r="G473" s="210"/>
    </row>
    <row r="474" spans="1:7" s="25" customFormat="1" ht="13.8" x14ac:dyDescent="0.3">
      <c r="A474" s="208"/>
      <c r="B474" s="208"/>
      <c r="C474" s="209"/>
      <c r="D474" s="209"/>
      <c r="E474" s="209"/>
      <c r="F474" s="209"/>
      <c r="G474" s="210"/>
    </row>
    <row r="475" spans="1:7" s="25" customFormat="1" ht="13.8" x14ac:dyDescent="0.3">
      <c r="A475" s="208"/>
      <c r="B475" s="208"/>
      <c r="C475" s="209"/>
      <c r="D475" s="209"/>
      <c r="E475" s="209"/>
      <c r="F475" s="209"/>
      <c r="G475" s="210"/>
    </row>
    <row r="476" spans="1:7" s="25" customFormat="1" ht="13.8" x14ac:dyDescent="0.3">
      <c r="A476" s="208"/>
      <c r="B476" s="208"/>
      <c r="C476" s="209"/>
      <c r="D476" s="209"/>
      <c r="E476" s="209"/>
      <c r="F476" s="209"/>
      <c r="G476" s="210"/>
    </row>
    <row r="477" spans="1:7" s="25" customFormat="1" ht="13.8" x14ac:dyDescent="0.3">
      <c r="A477" s="208"/>
      <c r="B477" s="208"/>
      <c r="C477" s="209"/>
      <c r="D477" s="209"/>
      <c r="E477" s="209"/>
      <c r="F477" s="209"/>
      <c r="G477" s="210"/>
    </row>
    <row r="478" spans="1:7" s="25" customFormat="1" ht="13.8" x14ac:dyDescent="0.3">
      <c r="A478" s="208"/>
      <c r="B478" s="208"/>
      <c r="C478" s="209"/>
      <c r="D478" s="209"/>
      <c r="E478" s="209"/>
      <c r="F478" s="209"/>
      <c r="G478" s="210"/>
    </row>
    <row r="479" spans="1:7" s="25" customFormat="1" ht="13.8" x14ac:dyDescent="0.3">
      <c r="A479" s="208"/>
      <c r="B479" s="208"/>
      <c r="C479" s="209"/>
      <c r="D479" s="209"/>
      <c r="E479" s="209"/>
      <c r="F479" s="209"/>
      <c r="G479" s="210"/>
    </row>
    <row r="480" spans="1:7" s="25" customFormat="1" ht="13.8" x14ac:dyDescent="0.3">
      <c r="A480" s="208"/>
      <c r="B480" s="208"/>
      <c r="C480" s="209"/>
      <c r="D480" s="209"/>
      <c r="E480" s="209"/>
      <c r="F480" s="209"/>
      <c r="G480" s="210"/>
    </row>
    <row r="481" spans="1:7" s="25" customFormat="1" ht="13.8" x14ac:dyDescent="0.3">
      <c r="A481" s="208"/>
      <c r="B481" s="208"/>
      <c r="C481" s="209"/>
      <c r="D481" s="209"/>
      <c r="E481" s="209"/>
      <c r="F481" s="209"/>
      <c r="G481" s="210"/>
    </row>
    <row r="482" spans="1:7" s="25" customFormat="1" ht="13.8" x14ac:dyDescent="0.3">
      <c r="A482" s="208"/>
      <c r="B482" s="208"/>
      <c r="C482" s="209"/>
      <c r="D482" s="209"/>
      <c r="E482" s="209"/>
      <c r="F482" s="209"/>
      <c r="G482" s="210"/>
    </row>
    <row r="483" spans="1:7" s="25" customFormat="1" ht="13.8" x14ac:dyDescent="0.3">
      <c r="A483" s="208"/>
      <c r="B483" s="208"/>
      <c r="C483" s="209"/>
      <c r="D483" s="209"/>
      <c r="E483" s="209"/>
      <c r="F483" s="209"/>
      <c r="G483" s="210"/>
    </row>
    <row r="484" spans="1:7" s="25" customFormat="1" ht="13.8" x14ac:dyDescent="0.3">
      <c r="A484" s="208"/>
      <c r="B484" s="208"/>
      <c r="C484" s="209"/>
      <c r="D484" s="209"/>
      <c r="E484" s="209"/>
      <c r="F484" s="209"/>
      <c r="G484" s="210"/>
    </row>
    <row r="485" spans="1:7" s="25" customFormat="1" ht="13.8" x14ac:dyDescent="0.3">
      <c r="A485" s="208"/>
      <c r="B485" s="208"/>
      <c r="C485" s="209"/>
      <c r="D485" s="209"/>
      <c r="E485" s="209"/>
      <c r="F485" s="209"/>
      <c r="G485" s="210"/>
    </row>
    <row r="486" spans="1:7" s="25" customFormat="1" ht="13.8" x14ac:dyDescent="0.3">
      <c r="A486" s="208"/>
      <c r="B486" s="208"/>
      <c r="C486" s="209"/>
      <c r="D486" s="209"/>
      <c r="E486" s="209"/>
      <c r="F486" s="209"/>
      <c r="G486" s="210"/>
    </row>
    <row r="487" spans="1:7" s="25" customFormat="1" ht="13.8" x14ac:dyDescent="0.3">
      <c r="A487" s="208"/>
      <c r="B487" s="208"/>
      <c r="C487" s="209"/>
      <c r="D487" s="209"/>
      <c r="E487" s="209"/>
      <c r="F487" s="209"/>
      <c r="G487" s="210"/>
    </row>
    <row r="488" spans="1:7" s="25" customFormat="1" ht="13.8" x14ac:dyDescent="0.3">
      <c r="A488" s="208"/>
      <c r="B488" s="208"/>
      <c r="C488" s="209"/>
      <c r="D488" s="209"/>
      <c r="E488" s="209"/>
      <c r="F488" s="209"/>
      <c r="G488" s="210"/>
    </row>
    <row r="489" spans="1:7" s="25" customFormat="1" ht="13.8" x14ac:dyDescent="0.3">
      <c r="A489" s="208"/>
      <c r="B489" s="208"/>
      <c r="C489" s="209"/>
      <c r="D489" s="209"/>
      <c r="E489" s="209"/>
      <c r="F489" s="209"/>
      <c r="G489" s="210"/>
    </row>
    <row r="490" spans="1:7" s="25" customFormat="1" ht="13.8" x14ac:dyDescent="0.3">
      <c r="A490" s="208"/>
      <c r="B490" s="208"/>
      <c r="C490" s="209"/>
      <c r="D490" s="209"/>
      <c r="E490" s="209"/>
      <c r="F490" s="209"/>
      <c r="G490" s="210"/>
    </row>
    <row r="491" spans="1:7" s="25" customFormat="1" ht="13.8" x14ac:dyDescent="0.3">
      <c r="A491" s="208"/>
      <c r="B491" s="208"/>
      <c r="C491" s="209"/>
      <c r="D491" s="209"/>
      <c r="E491" s="209"/>
      <c r="F491" s="209"/>
      <c r="G491" s="210"/>
    </row>
    <row r="492" spans="1:7" s="25" customFormat="1" ht="13.8" x14ac:dyDescent="0.3">
      <c r="A492" s="208"/>
      <c r="B492" s="208"/>
      <c r="C492" s="209"/>
      <c r="D492" s="209"/>
      <c r="E492" s="209"/>
      <c r="F492" s="209"/>
      <c r="G492" s="210"/>
    </row>
    <row r="493" spans="1:7" s="25" customFormat="1" ht="13.8" x14ac:dyDescent="0.3">
      <c r="A493" s="208"/>
      <c r="B493" s="208"/>
      <c r="C493" s="209"/>
      <c r="D493" s="209"/>
      <c r="E493" s="209"/>
      <c r="F493" s="209"/>
      <c r="G493" s="210"/>
    </row>
    <row r="494" spans="1:7" s="25" customFormat="1" ht="13.8" x14ac:dyDescent="0.3">
      <c r="A494" s="208"/>
      <c r="B494" s="208"/>
      <c r="C494" s="209"/>
      <c r="D494" s="209"/>
      <c r="E494" s="209"/>
      <c r="F494" s="209"/>
      <c r="G494" s="210"/>
    </row>
    <row r="495" spans="1:7" s="25" customFormat="1" ht="13.8" x14ac:dyDescent="0.3">
      <c r="A495" s="208"/>
      <c r="B495" s="208"/>
      <c r="C495" s="209"/>
      <c r="D495" s="209"/>
      <c r="E495" s="209"/>
      <c r="F495" s="209"/>
      <c r="G495" s="210"/>
    </row>
    <row r="496" spans="1:7" s="25" customFormat="1" ht="13.8" x14ac:dyDescent="0.3">
      <c r="A496" s="208"/>
      <c r="B496" s="208"/>
      <c r="C496" s="209"/>
      <c r="D496" s="209"/>
      <c r="E496" s="209"/>
      <c r="F496" s="209"/>
      <c r="G496" s="210"/>
    </row>
    <row r="497" spans="1:7" s="25" customFormat="1" ht="13.8" x14ac:dyDescent="0.3">
      <c r="A497" s="208"/>
      <c r="B497" s="208"/>
      <c r="C497" s="209"/>
      <c r="D497" s="209"/>
      <c r="E497" s="209"/>
      <c r="F497" s="209"/>
      <c r="G497" s="210"/>
    </row>
    <row r="498" spans="1:7" s="25" customFormat="1" ht="13.8" x14ac:dyDescent="0.3">
      <c r="A498" s="208"/>
      <c r="B498" s="208"/>
      <c r="C498" s="209"/>
      <c r="D498" s="209"/>
      <c r="E498" s="209"/>
      <c r="F498" s="209"/>
      <c r="G498" s="210"/>
    </row>
    <row r="499" spans="1:7" s="25" customFormat="1" ht="13.8" x14ac:dyDescent="0.3">
      <c r="A499" s="208"/>
      <c r="B499" s="208"/>
      <c r="C499" s="209"/>
      <c r="D499" s="209"/>
      <c r="E499" s="209"/>
      <c r="F499" s="209"/>
      <c r="G499" s="210"/>
    </row>
    <row r="500" spans="1:7" s="25" customFormat="1" ht="13.8" x14ac:dyDescent="0.3">
      <c r="A500" s="208"/>
      <c r="B500" s="208"/>
      <c r="C500" s="209"/>
      <c r="D500" s="209"/>
      <c r="E500" s="209"/>
      <c r="F500" s="209"/>
      <c r="G500" s="210"/>
    </row>
    <row r="501" spans="1:7" s="25" customFormat="1" ht="13.8" x14ac:dyDescent="0.3">
      <c r="A501" s="208"/>
      <c r="B501" s="208"/>
      <c r="C501" s="209"/>
      <c r="D501" s="209"/>
      <c r="E501" s="209"/>
      <c r="F501" s="209"/>
      <c r="G501" s="210"/>
    </row>
    <row r="502" spans="1:7" s="25" customFormat="1" ht="13.8" x14ac:dyDescent="0.3">
      <c r="A502" s="208"/>
      <c r="B502" s="208"/>
      <c r="C502" s="209"/>
      <c r="D502" s="209"/>
      <c r="E502" s="209"/>
      <c r="F502" s="209"/>
      <c r="G502" s="210"/>
    </row>
    <row r="503" spans="1:7" s="25" customFormat="1" ht="13.8" x14ac:dyDescent="0.3">
      <c r="A503" s="208"/>
      <c r="B503" s="208"/>
      <c r="C503" s="209"/>
      <c r="D503" s="209"/>
      <c r="E503" s="209"/>
      <c r="F503" s="209"/>
      <c r="G503" s="210"/>
    </row>
    <row r="504" spans="1:7" s="25" customFormat="1" ht="13.8" x14ac:dyDescent="0.3">
      <c r="A504" s="208"/>
      <c r="B504" s="208"/>
      <c r="C504" s="209"/>
      <c r="D504" s="209"/>
      <c r="E504" s="209"/>
      <c r="F504" s="209"/>
      <c r="G504" s="210"/>
    </row>
    <row r="505" spans="1:7" s="25" customFormat="1" ht="13.8" x14ac:dyDescent="0.3">
      <c r="A505" s="208"/>
      <c r="B505" s="208"/>
      <c r="C505" s="209"/>
      <c r="D505" s="209"/>
      <c r="E505" s="209"/>
      <c r="F505" s="209"/>
      <c r="G505" s="210"/>
    </row>
    <row r="506" spans="1:7" s="25" customFormat="1" ht="13.8" x14ac:dyDescent="0.3">
      <c r="A506" s="208"/>
      <c r="B506" s="208"/>
      <c r="C506" s="209"/>
      <c r="D506" s="209"/>
      <c r="E506" s="209"/>
      <c r="F506" s="209"/>
      <c r="G506" s="210"/>
    </row>
    <row r="507" spans="1:7" s="25" customFormat="1" ht="13.8" x14ac:dyDescent="0.3">
      <c r="A507" s="208"/>
      <c r="B507" s="208"/>
      <c r="C507" s="209"/>
      <c r="D507" s="209"/>
      <c r="E507" s="209"/>
      <c r="F507" s="209"/>
      <c r="G507" s="210"/>
    </row>
    <row r="508" spans="1:7" s="25" customFormat="1" ht="13.8" x14ac:dyDescent="0.3">
      <c r="A508" s="208"/>
      <c r="B508" s="208"/>
      <c r="C508" s="209"/>
      <c r="D508" s="209"/>
      <c r="E508" s="209"/>
      <c r="F508" s="209"/>
      <c r="G508" s="210"/>
    </row>
    <row r="509" spans="1:7" s="25" customFormat="1" ht="13.8" x14ac:dyDescent="0.3">
      <c r="A509" s="208"/>
      <c r="B509" s="208"/>
      <c r="C509" s="209"/>
      <c r="D509" s="209"/>
      <c r="E509" s="209"/>
      <c r="F509" s="209"/>
      <c r="G509" s="210"/>
    </row>
    <row r="510" spans="1:7" s="25" customFormat="1" ht="13.8" x14ac:dyDescent="0.3">
      <c r="A510" s="208"/>
      <c r="B510" s="208"/>
      <c r="C510" s="209"/>
      <c r="D510" s="209"/>
      <c r="E510" s="209"/>
      <c r="F510" s="209"/>
      <c r="G510" s="210"/>
    </row>
    <row r="511" spans="1:7" s="25" customFormat="1" ht="13.8" x14ac:dyDescent="0.3">
      <c r="A511" s="208"/>
      <c r="B511" s="208"/>
      <c r="C511" s="209"/>
      <c r="D511" s="209"/>
      <c r="E511" s="209"/>
      <c r="F511" s="209"/>
      <c r="G511" s="210"/>
    </row>
    <row r="512" spans="1:7" s="25" customFormat="1" ht="13.8" x14ac:dyDescent="0.3">
      <c r="A512" s="208"/>
      <c r="B512" s="208"/>
      <c r="C512" s="209"/>
      <c r="D512" s="209"/>
      <c r="E512" s="209"/>
      <c r="F512" s="209"/>
      <c r="G512" s="210"/>
    </row>
    <row r="513" spans="1:7" s="25" customFormat="1" ht="13.8" x14ac:dyDescent="0.3">
      <c r="A513" s="208"/>
      <c r="B513" s="208"/>
      <c r="C513" s="209"/>
      <c r="D513" s="209"/>
      <c r="E513" s="209"/>
      <c r="F513" s="209"/>
      <c r="G513" s="210"/>
    </row>
    <row r="514" spans="1:7" s="25" customFormat="1" ht="13.8" x14ac:dyDescent="0.3">
      <c r="A514" s="208"/>
      <c r="B514" s="208"/>
      <c r="C514" s="209"/>
      <c r="D514" s="209"/>
      <c r="E514" s="209"/>
      <c r="F514" s="209"/>
      <c r="G514" s="210"/>
    </row>
    <row r="515" spans="1:7" s="25" customFormat="1" ht="13.8" x14ac:dyDescent="0.3">
      <c r="A515" s="208"/>
      <c r="B515" s="208"/>
      <c r="C515" s="209"/>
      <c r="D515" s="209"/>
      <c r="E515" s="209"/>
      <c r="F515" s="209"/>
      <c r="G515" s="210"/>
    </row>
    <row r="516" spans="1:7" s="25" customFormat="1" ht="13.8" x14ac:dyDescent="0.3">
      <c r="A516" s="208"/>
      <c r="B516" s="208"/>
      <c r="C516" s="209"/>
      <c r="D516" s="209"/>
      <c r="E516" s="209"/>
      <c r="F516" s="209"/>
      <c r="G516" s="210"/>
    </row>
    <row r="517" spans="1:7" s="25" customFormat="1" ht="13.8" x14ac:dyDescent="0.3">
      <c r="A517" s="208"/>
      <c r="B517" s="208"/>
      <c r="C517" s="209"/>
      <c r="D517" s="209"/>
      <c r="E517" s="209"/>
      <c r="F517" s="209"/>
      <c r="G517" s="210"/>
    </row>
    <row r="518" spans="1:7" s="25" customFormat="1" ht="13.8" x14ac:dyDescent="0.3">
      <c r="A518" s="208"/>
      <c r="B518" s="208"/>
      <c r="C518" s="209"/>
      <c r="D518" s="209"/>
      <c r="E518" s="209"/>
      <c r="F518" s="209"/>
      <c r="G518" s="210"/>
    </row>
    <row r="519" spans="1:7" s="25" customFormat="1" ht="13.8" x14ac:dyDescent="0.3">
      <c r="A519" s="208"/>
      <c r="B519" s="208"/>
      <c r="C519" s="209"/>
      <c r="D519" s="209"/>
      <c r="E519" s="209"/>
      <c r="F519" s="209"/>
      <c r="G519" s="210"/>
    </row>
    <row r="520" spans="1:7" s="25" customFormat="1" ht="13.8" x14ac:dyDescent="0.3">
      <c r="A520" s="208"/>
      <c r="B520" s="208"/>
      <c r="C520" s="209"/>
      <c r="D520" s="209"/>
      <c r="E520" s="209"/>
      <c r="F520" s="209"/>
      <c r="G520" s="210"/>
    </row>
    <row r="521" spans="1:7" s="25" customFormat="1" ht="13.8" x14ac:dyDescent="0.3">
      <c r="A521" s="208"/>
      <c r="B521" s="208"/>
      <c r="C521" s="209"/>
      <c r="D521" s="209"/>
      <c r="E521" s="209"/>
      <c r="F521" s="209"/>
      <c r="G521" s="210"/>
    </row>
    <row r="522" spans="1:7" s="25" customFormat="1" ht="13.8" x14ac:dyDescent="0.3">
      <c r="A522" s="208"/>
      <c r="B522" s="208"/>
      <c r="C522" s="209"/>
      <c r="D522" s="209"/>
      <c r="E522" s="209"/>
      <c r="F522" s="209"/>
      <c r="G522" s="210"/>
    </row>
    <row r="523" spans="1:7" s="25" customFormat="1" ht="13.8" x14ac:dyDescent="0.3">
      <c r="A523" s="208"/>
      <c r="B523" s="208"/>
      <c r="C523" s="209"/>
      <c r="D523" s="209"/>
      <c r="E523" s="209"/>
      <c r="F523" s="209"/>
      <c r="G523" s="210"/>
    </row>
    <row r="524" spans="1:7" s="25" customFormat="1" ht="13.8" x14ac:dyDescent="0.3">
      <c r="A524" s="208"/>
      <c r="B524" s="208"/>
      <c r="C524" s="209"/>
      <c r="D524" s="209"/>
      <c r="E524" s="209"/>
      <c r="F524" s="209"/>
      <c r="G524" s="210"/>
    </row>
    <row r="525" spans="1:7" s="25" customFormat="1" ht="13.8" x14ac:dyDescent="0.3">
      <c r="A525" s="208"/>
      <c r="B525" s="208"/>
      <c r="C525" s="209"/>
      <c r="D525" s="209"/>
      <c r="E525" s="209"/>
      <c r="F525" s="209"/>
      <c r="G525" s="210"/>
    </row>
    <row r="526" spans="1:7" s="25" customFormat="1" ht="13.8" x14ac:dyDescent="0.3">
      <c r="A526" s="208"/>
      <c r="B526" s="208"/>
      <c r="C526" s="209"/>
      <c r="D526" s="209"/>
      <c r="E526" s="209"/>
      <c r="F526" s="209"/>
      <c r="G526" s="210"/>
    </row>
    <row r="527" spans="1:7" s="25" customFormat="1" ht="13.8" x14ac:dyDescent="0.3">
      <c r="A527" s="208"/>
      <c r="B527" s="208"/>
      <c r="C527" s="209"/>
      <c r="D527" s="209"/>
      <c r="E527" s="209"/>
      <c r="F527" s="209"/>
      <c r="G527" s="210"/>
    </row>
    <row r="528" spans="1:7" s="25" customFormat="1" ht="13.8" x14ac:dyDescent="0.3">
      <c r="A528" s="208"/>
      <c r="B528" s="208"/>
      <c r="C528" s="209"/>
      <c r="D528" s="209"/>
      <c r="E528" s="209"/>
      <c r="F528" s="209"/>
      <c r="G528" s="210"/>
    </row>
    <row r="529" spans="1:7" s="25" customFormat="1" ht="13.8" x14ac:dyDescent="0.3">
      <c r="A529" s="208"/>
      <c r="B529" s="208"/>
      <c r="C529" s="209"/>
      <c r="D529" s="209"/>
      <c r="E529" s="209"/>
      <c r="F529" s="209"/>
      <c r="G529" s="210"/>
    </row>
    <row r="530" spans="1:7" s="25" customFormat="1" ht="13.8" x14ac:dyDescent="0.3">
      <c r="A530" s="208"/>
      <c r="B530" s="208"/>
      <c r="C530" s="209"/>
      <c r="D530" s="209"/>
      <c r="E530" s="209"/>
      <c r="F530" s="209"/>
      <c r="G530" s="210"/>
    </row>
    <row r="531" spans="1:7" s="25" customFormat="1" ht="13.8" x14ac:dyDescent="0.3">
      <c r="A531" s="208"/>
      <c r="B531" s="208"/>
      <c r="C531" s="209"/>
      <c r="D531" s="209"/>
      <c r="E531" s="209"/>
      <c r="F531" s="209"/>
      <c r="G531" s="210"/>
    </row>
    <row r="532" spans="1:7" s="25" customFormat="1" ht="13.8" x14ac:dyDescent="0.3">
      <c r="A532" s="208"/>
      <c r="B532" s="208"/>
      <c r="C532" s="209"/>
      <c r="D532" s="209"/>
      <c r="E532" s="209"/>
      <c r="F532" s="209"/>
      <c r="G532" s="210"/>
    </row>
    <row r="533" spans="1:7" s="25" customFormat="1" ht="13.8" x14ac:dyDescent="0.3">
      <c r="A533" s="208"/>
      <c r="B533" s="208"/>
      <c r="C533" s="209"/>
      <c r="D533" s="209"/>
      <c r="E533" s="209"/>
      <c r="F533" s="209"/>
      <c r="G533" s="210"/>
    </row>
    <row r="534" spans="1:7" s="25" customFormat="1" ht="13.8" x14ac:dyDescent="0.3">
      <c r="A534" s="208"/>
      <c r="B534" s="208"/>
      <c r="C534" s="209"/>
      <c r="D534" s="209"/>
      <c r="E534" s="209"/>
      <c r="F534" s="209"/>
      <c r="G534" s="210"/>
    </row>
    <row r="535" spans="1:7" s="25" customFormat="1" ht="13.8" x14ac:dyDescent="0.3">
      <c r="A535" s="208"/>
      <c r="B535" s="208"/>
      <c r="C535" s="209"/>
      <c r="D535" s="209"/>
      <c r="E535" s="209"/>
      <c r="F535" s="209"/>
      <c r="G535" s="210"/>
    </row>
    <row r="536" spans="1:7" s="25" customFormat="1" ht="13.8" x14ac:dyDescent="0.3">
      <c r="A536" s="208"/>
      <c r="B536" s="208"/>
      <c r="C536" s="209"/>
      <c r="D536" s="209"/>
      <c r="E536" s="209"/>
      <c r="F536" s="209"/>
      <c r="G536" s="210"/>
    </row>
    <row r="537" spans="1:7" s="25" customFormat="1" ht="13.8" x14ac:dyDescent="0.3">
      <c r="A537" s="208"/>
      <c r="B537" s="208"/>
      <c r="C537" s="209"/>
      <c r="D537" s="209"/>
      <c r="E537" s="209"/>
      <c r="F537" s="209"/>
      <c r="G537" s="210"/>
    </row>
    <row r="538" spans="1:7" s="25" customFormat="1" ht="13.8" x14ac:dyDescent="0.3">
      <c r="A538" s="208"/>
      <c r="B538" s="208"/>
      <c r="C538" s="209"/>
      <c r="D538" s="209"/>
      <c r="E538" s="209"/>
      <c r="F538" s="209"/>
      <c r="G538" s="210"/>
    </row>
    <row r="539" spans="1:7" s="25" customFormat="1" ht="13.8" x14ac:dyDescent="0.3">
      <c r="A539" s="208"/>
      <c r="B539" s="208"/>
      <c r="C539" s="209"/>
      <c r="D539" s="209"/>
      <c r="E539" s="209"/>
      <c r="F539" s="209"/>
      <c r="G539" s="210"/>
    </row>
    <row r="540" spans="1:7" s="25" customFormat="1" ht="13.8" x14ac:dyDescent="0.3">
      <c r="A540" s="208"/>
      <c r="B540" s="208"/>
      <c r="C540" s="209"/>
      <c r="D540" s="209"/>
      <c r="E540" s="209"/>
      <c r="F540" s="209"/>
      <c r="G540" s="210"/>
    </row>
    <row r="541" spans="1:7" s="25" customFormat="1" ht="13.8" x14ac:dyDescent="0.3">
      <c r="A541" s="208"/>
      <c r="B541" s="208"/>
      <c r="C541" s="209"/>
      <c r="D541" s="209"/>
      <c r="E541" s="209"/>
      <c r="F541" s="209"/>
      <c r="G541" s="210"/>
    </row>
    <row r="542" spans="1:7" s="25" customFormat="1" ht="13.8" x14ac:dyDescent="0.3">
      <c r="A542" s="208"/>
      <c r="B542" s="208"/>
      <c r="C542" s="209"/>
      <c r="D542" s="209"/>
      <c r="E542" s="209"/>
      <c r="F542" s="209"/>
      <c r="G542" s="210"/>
    </row>
    <row r="543" spans="1:7" s="25" customFormat="1" ht="13.8" x14ac:dyDescent="0.3">
      <c r="A543" s="208"/>
      <c r="B543" s="208"/>
      <c r="C543" s="209"/>
      <c r="D543" s="209"/>
      <c r="E543" s="209"/>
      <c r="F543" s="209"/>
      <c r="G543" s="210"/>
    </row>
    <row r="544" spans="1:7" s="25" customFormat="1" ht="13.8" x14ac:dyDescent="0.3">
      <c r="A544" s="208"/>
      <c r="B544" s="208"/>
      <c r="C544" s="209"/>
      <c r="D544" s="209"/>
      <c r="E544" s="209"/>
      <c r="F544" s="209"/>
      <c r="G544" s="210"/>
    </row>
    <row r="545" spans="1:7" s="25" customFormat="1" ht="13.8" x14ac:dyDescent="0.3">
      <c r="A545" s="208"/>
      <c r="B545" s="208"/>
      <c r="C545" s="209"/>
      <c r="D545" s="209"/>
      <c r="E545" s="209"/>
      <c r="F545" s="209"/>
      <c r="G545" s="210"/>
    </row>
    <row r="546" spans="1:7" s="25" customFormat="1" ht="13.8" x14ac:dyDescent="0.3">
      <c r="A546" s="208"/>
      <c r="B546" s="208"/>
      <c r="C546" s="209"/>
      <c r="D546" s="209"/>
      <c r="E546" s="209"/>
      <c r="F546" s="209"/>
      <c r="G546" s="210"/>
    </row>
    <row r="547" spans="1:7" s="25" customFormat="1" ht="13.8" x14ac:dyDescent="0.3">
      <c r="A547" s="208"/>
      <c r="B547" s="208"/>
      <c r="C547" s="209"/>
      <c r="D547" s="209"/>
      <c r="E547" s="209"/>
      <c r="F547" s="209"/>
      <c r="G547" s="210"/>
    </row>
    <row r="548" spans="1:7" s="25" customFormat="1" ht="13.8" x14ac:dyDescent="0.3">
      <c r="A548" s="208"/>
      <c r="B548" s="208"/>
      <c r="C548" s="209"/>
      <c r="D548" s="209"/>
      <c r="E548" s="209"/>
      <c r="F548" s="209"/>
      <c r="G548" s="210"/>
    </row>
    <row r="549" spans="1:7" s="25" customFormat="1" ht="13.8" x14ac:dyDescent="0.3">
      <c r="A549" s="208"/>
      <c r="B549" s="208"/>
      <c r="C549" s="209"/>
      <c r="D549" s="209"/>
      <c r="E549" s="209"/>
      <c r="F549" s="209"/>
      <c r="G549" s="210"/>
    </row>
    <row r="550" spans="1:7" s="25" customFormat="1" ht="13.8" x14ac:dyDescent="0.3">
      <c r="A550" s="208"/>
      <c r="B550" s="208"/>
      <c r="C550" s="209"/>
      <c r="D550" s="209"/>
      <c r="E550" s="209"/>
      <c r="F550" s="209"/>
      <c r="G550" s="210"/>
    </row>
    <row r="551" spans="1:7" s="25" customFormat="1" ht="13.8" x14ac:dyDescent="0.3">
      <c r="A551" s="208"/>
      <c r="B551" s="208"/>
      <c r="C551" s="209"/>
      <c r="D551" s="209"/>
      <c r="E551" s="209"/>
      <c r="F551" s="209"/>
      <c r="G551" s="210"/>
    </row>
    <row r="552" spans="1:7" s="25" customFormat="1" ht="13.8" x14ac:dyDescent="0.3">
      <c r="A552" s="208"/>
      <c r="B552" s="208"/>
      <c r="C552" s="209"/>
      <c r="D552" s="209"/>
      <c r="E552" s="209"/>
      <c r="F552" s="209"/>
      <c r="G552" s="210"/>
    </row>
    <row r="553" spans="1:7" s="25" customFormat="1" ht="13.8" x14ac:dyDescent="0.3">
      <c r="A553" s="208"/>
      <c r="B553" s="208"/>
      <c r="C553" s="209"/>
      <c r="D553" s="209"/>
      <c r="E553" s="209"/>
      <c r="F553" s="209"/>
      <c r="G553" s="210"/>
    </row>
    <row r="554" spans="1:7" s="25" customFormat="1" ht="13.8" x14ac:dyDescent="0.3">
      <c r="A554" s="208"/>
      <c r="B554" s="208"/>
      <c r="C554" s="209"/>
      <c r="D554" s="209"/>
      <c r="E554" s="209"/>
      <c r="F554" s="209"/>
      <c r="G554" s="210"/>
    </row>
    <row r="555" spans="1:7" s="25" customFormat="1" ht="13.8" x14ac:dyDescent="0.3">
      <c r="A555" s="208"/>
      <c r="B555" s="208"/>
      <c r="C555" s="209"/>
      <c r="D555" s="209"/>
      <c r="E555" s="209"/>
      <c r="F555" s="209"/>
      <c r="G555" s="210"/>
    </row>
    <row r="556" spans="1:7" s="25" customFormat="1" ht="13.8" x14ac:dyDescent="0.3">
      <c r="A556" s="208"/>
      <c r="B556" s="208"/>
      <c r="C556" s="209"/>
      <c r="D556" s="209"/>
      <c r="E556" s="209"/>
      <c r="F556" s="209"/>
      <c r="G556" s="210"/>
    </row>
    <row r="557" spans="1:7" s="25" customFormat="1" ht="13.8" x14ac:dyDescent="0.3">
      <c r="A557" s="208"/>
      <c r="B557" s="208"/>
      <c r="C557" s="209"/>
      <c r="D557" s="209"/>
      <c r="E557" s="209"/>
      <c r="F557" s="209"/>
      <c r="G557" s="210"/>
    </row>
    <row r="558" spans="1:7" s="25" customFormat="1" ht="13.8" x14ac:dyDescent="0.3">
      <c r="A558" s="208"/>
      <c r="B558" s="208"/>
      <c r="C558" s="209"/>
      <c r="D558" s="209"/>
      <c r="E558" s="209"/>
      <c r="F558" s="209"/>
      <c r="G558" s="210"/>
    </row>
    <row r="559" spans="1:7" s="25" customFormat="1" ht="13.8" x14ac:dyDescent="0.3">
      <c r="A559" s="208"/>
      <c r="B559" s="208"/>
      <c r="C559" s="209"/>
      <c r="D559" s="209"/>
      <c r="E559" s="209"/>
      <c r="F559" s="209"/>
      <c r="G559" s="210"/>
    </row>
    <row r="560" spans="1:7" s="25" customFormat="1" ht="13.8" x14ac:dyDescent="0.3">
      <c r="A560" s="208"/>
      <c r="B560" s="208"/>
      <c r="C560" s="209"/>
      <c r="D560" s="209"/>
      <c r="E560" s="209"/>
      <c r="F560" s="209"/>
      <c r="G560" s="210"/>
    </row>
    <row r="561" spans="1:7" s="25" customFormat="1" ht="13.8" x14ac:dyDescent="0.3">
      <c r="A561" s="208"/>
      <c r="B561" s="208"/>
      <c r="C561" s="209"/>
      <c r="D561" s="209"/>
      <c r="E561" s="209"/>
      <c r="F561" s="209"/>
      <c r="G561" s="210"/>
    </row>
    <row r="562" spans="1:7" s="25" customFormat="1" ht="13.8" x14ac:dyDescent="0.3">
      <c r="A562" s="208"/>
      <c r="B562" s="208"/>
      <c r="C562" s="209"/>
      <c r="D562" s="209"/>
      <c r="E562" s="209"/>
      <c r="F562" s="209"/>
      <c r="G562" s="210"/>
    </row>
    <row r="563" spans="1:7" s="25" customFormat="1" ht="13.8" x14ac:dyDescent="0.3">
      <c r="A563" s="208"/>
      <c r="B563" s="208"/>
      <c r="C563" s="209"/>
      <c r="D563" s="209"/>
      <c r="E563" s="209"/>
      <c r="F563" s="209"/>
      <c r="G563" s="210"/>
    </row>
    <row r="564" spans="1:7" s="25" customFormat="1" ht="13.8" x14ac:dyDescent="0.3">
      <c r="A564" s="208"/>
      <c r="B564" s="208"/>
      <c r="C564" s="209"/>
      <c r="D564" s="209"/>
      <c r="E564" s="209"/>
      <c r="F564" s="209"/>
      <c r="G564" s="210"/>
    </row>
    <row r="565" spans="1:7" s="25" customFormat="1" ht="13.8" x14ac:dyDescent="0.3">
      <c r="A565" s="208"/>
      <c r="B565" s="208"/>
      <c r="C565" s="209"/>
      <c r="D565" s="209"/>
      <c r="E565" s="209"/>
      <c r="F565" s="209"/>
      <c r="G565" s="210"/>
    </row>
    <row r="566" spans="1:7" s="25" customFormat="1" ht="13.8" x14ac:dyDescent="0.3">
      <c r="A566" s="208"/>
      <c r="B566" s="208"/>
      <c r="C566" s="209"/>
      <c r="D566" s="209"/>
      <c r="E566" s="209"/>
      <c r="F566" s="209"/>
      <c r="G566" s="210"/>
    </row>
    <row r="567" spans="1:7" s="25" customFormat="1" ht="13.8" x14ac:dyDescent="0.3">
      <c r="A567" s="208"/>
      <c r="B567" s="208"/>
      <c r="C567" s="209"/>
      <c r="D567" s="209"/>
      <c r="E567" s="209"/>
      <c r="F567" s="209"/>
      <c r="G567" s="210"/>
    </row>
    <row r="568" spans="1:7" s="25" customFormat="1" ht="13.8" x14ac:dyDescent="0.3">
      <c r="A568" s="208"/>
      <c r="B568" s="208"/>
      <c r="C568" s="209"/>
      <c r="D568" s="209"/>
      <c r="E568" s="209"/>
      <c r="F568" s="209"/>
      <c r="G568" s="210"/>
    </row>
    <row r="569" spans="1:7" s="25" customFormat="1" ht="13.8" x14ac:dyDescent="0.3">
      <c r="A569" s="208"/>
      <c r="B569" s="208"/>
      <c r="C569" s="209"/>
      <c r="D569" s="209"/>
      <c r="E569" s="209"/>
      <c r="F569" s="209"/>
      <c r="G569" s="210"/>
    </row>
    <row r="570" spans="1:7" s="25" customFormat="1" ht="13.8" x14ac:dyDescent="0.3">
      <c r="A570" s="208"/>
      <c r="B570" s="208"/>
      <c r="C570" s="209"/>
      <c r="D570" s="209"/>
      <c r="E570" s="209"/>
      <c r="F570" s="209"/>
      <c r="G570" s="210"/>
    </row>
    <row r="571" spans="1:7" s="25" customFormat="1" ht="13.8" x14ac:dyDescent="0.3">
      <c r="A571" s="208"/>
      <c r="B571" s="208"/>
      <c r="C571" s="209"/>
      <c r="D571" s="209"/>
      <c r="E571" s="209"/>
      <c r="F571" s="209"/>
      <c r="G571" s="210"/>
    </row>
    <row r="572" spans="1:7" s="25" customFormat="1" ht="13.8" x14ac:dyDescent="0.3">
      <c r="A572" s="208"/>
      <c r="B572" s="208"/>
      <c r="C572" s="209"/>
      <c r="D572" s="209"/>
      <c r="E572" s="209"/>
      <c r="F572" s="209"/>
      <c r="G572" s="210"/>
    </row>
    <row r="573" spans="1:7" s="25" customFormat="1" ht="13.8" x14ac:dyDescent="0.3">
      <c r="A573" s="208"/>
      <c r="B573" s="208"/>
      <c r="C573" s="209"/>
      <c r="D573" s="209"/>
      <c r="E573" s="209"/>
      <c r="F573" s="209"/>
      <c r="G573" s="210"/>
    </row>
    <row r="574" spans="1:7" s="25" customFormat="1" ht="13.8" x14ac:dyDescent="0.3">
      <c r="A574" s="208"/>
      <c r="B574" s="208"/>
      <c r="C574" s="209"/>
      <c r="D574" s="209"/>
      <c r="E574" s="209"/>
      <c r="F574" s="209"/>
      <c r="G574" s="210"/>
    </row>
    <row r="575" spans="1:7" s="25" customFormat="1" ht="13.8" x14ac:dyDescent="0.3">
      <c r="A575" s="208"/>
      <c r="B575" s="208"/>
      <c r="C575" s="209"/>
      <c r="D575" s="209"/>
      <c r="E575" s="209"/>
      <c r="F575" s="209"/>
      <c r="G575" s="210"/>
    </row>
    <row r="576" spans="1:7" s="25" customFormat="1" ht="13.8" x14ac:dyDescent="0.3">
      <c r="A576" s="208"/>
      <c r="B576" s="208"/>
      <c r="C576" s="209"/>
      <c r="D576" s="209"/>
      <c r="E576" s="209"/>
      <c r="F576" s="209"/>
      <c r="G576" s="210"/>
    </row>
    <row r="577" spans="1:7" s="25" customFormat="1" ht="13.8" x14ac:dyDescent="0.3">
      <c r="A577" s="208"/>
      <c r="B577" s="208"/>
      <c r="C577" s="209"/>
      <c r="D577" s="209"/>
      <c r="E577" s="209"/>
      <c r="F577" s="209"/>
      <c r="G577" s="210"/>
    </row>
    <row r="578" spans="1:7" s="25" customFormat="1" ht="13.8" x14ac:dyDescent="0.3">
      <c r="A578" s="208"/>
      <c r="B578" s="208"/>
      <c r="C578" s="209"/>
      <c r="D578" s="209"/>
      <c r="E578" s="209"/>
      <c r="F578" s="209"/>
      <c r="G578" s="210"/>
    </row>
    <row r="579" spans="1:7" s="25" customFormat="1" ht="13.8" x14ac:dyDescent="0.3">
      <c r="A579" s="208"/>
      <c r="B579" s="208"/>
      <c r="C579" s="209"/>
      <c r="D579" s="209"/>
      <c r="E579" s="209"/>
      <c r="F579" s="209"/>
      <c r="G579" s="210"/>
    </row>
    <row r="580" spans="1:7" s="25" customFormat="1" ht="13.8" x14ac:dyDescent="0.3">
      <c r="A580" s="208"/>
      <c r="B580" s="208"/>
      <c r="C580" s="209"/>
      <c r="D580" s="209"/>
      <c r="E580" s="209"/>
      <c r="F580" s="209"/>
      <c r="G580" s="210"/>
    </row>
    <row r="581" spans="1:7" s="25" customFormat="1" ht="13.8" x14ac:dyDescent="0.3">
      <c r="A581" s="208"/>
      <c r="B581" s="208"/>
      <c r="C581" s="209"/>
      <c r="D581" s="209"/>
      <c r="E581" s="209"/>
      <c r="F581" s="209"/>
      <c r="G581" s="210"/>
    </row>
    <row r="582" spans="1:7" s="25" customFormat="1" ht="13.8" x14ac:dyDescent="0.3">
      <c r="A582" s="208"/>
      <c r="B582" s="208"/>
      <c r="C582" s="209"/>
      <c r="D582" s="209"/>
      <c r="E582" s="209"/>
      <c r="F582" s="209"/>
      <c r="G582" s="210"/>
    </row>
    <row r="583" spans="1:7" s="25" customFormat="1" ht="13.8" x14ac:dyDescent="0.3">
      <c r="A583" s="208"/>
      <c r="B583" s="208"/>
      <c r="C583" s="209"/>
      <c r="D583" s="209"/>
      <c r="E583" s="209"/>
      <c r="F583" s="209"/>
      <c r="G583" s="210"/>
    </row>
    <row r="584" spans="1:7" s="25" customFormat="1" ht="13.8" x14ac:dyDescent="0.3">
      <c r="A584" s="208"/>
      <c r="B584" s="208"/>
      <c r="C584" s="209"/>
      <c r="D584" s="209"/>
      <c r="E584" s="209"/>
      <c r="F584" s="209"/>
      <c r="G584" s="210"/>
    </row>
    <row r="585" spans="1:7" s="25" customFormat="1" ht="13.8" x14ac:dyDescent="0.3">
      <c r="A585" s="208"/>
      <c r="B585" s="208"/>
      <c r="C585" s="209"/>
      <c r="D585" s="209"/>
      <c r="E585" s="209"/>
      <c r="F585" s="209"/>
      <c r="G585" s="210"/>
    </row>
    <row r="586" spans="1:7" s="25" customFormat="1" ht="13.8" x14ac:dyDescent="0.3">
      <c r="A586" s="208"/>
      <c r="B586" s="208"/>
      <c r="C586" s="209"/>
      <c r="D586" s="209"/>
      <c r="E586" s="209"/>
      <c r="F586" s="209"/>
      <c r="G586" s="210"/>
    </row>
    <row r="587" spans="1:7" s="25" customFormat="1" ht="13.8" x14ac:dyDescent="0.3">
      <c r="A587" s="208"/>
      <c r="B587" s="208"/>
      <c r="C587" s="209"/>
      <c r="D587" s="209"/>
      <c r="E587" s="209"/>
      <c r="F587" s="209"/>
      <c r="G587" s="210"/>
    </row>
    <row r="588" spans="1:7" s="25" customFormat="1" ht="13.8" x14ac:dyDescent="0.3">
      <c r="A588" s="208"/>
      <c r="B588" s="208"/>
      <c r="C588" s="209"/>
      <c r="D588" s="209"/>
      <c r="E588" s="209"/>
      <c r="F588" s="209"/>
      <c r="G588" s="210"/>
    </row>
    <row r="589" spans="1:7" s="25" customFormat="1" ht="13.8" x14ac:dyDescent="0.3">
      <c r="A589" s="208"/>
      <c r="B589" s="208"/>
      <c r="C589" s="209"/>
      <c r="D589" s="209"/>
      <c r="E589" s="209"/>
      <c r="F589" s="209"/>
      <c r="G589" s="210"/>
    </row>
    <row r="590" spans="1:7" s="25" customFormat="1" ht="13.8" x14ac:dyDescent="0.3">
      <c r="A590" s="208"/>
      <c r="B590" s="208"/>
      <c r="C590" s="209"/>
      <c r="D590" s="209"/>
      <c r="E590" s="209"/>
      <c r="F590" s="209"/>
      <c r="G590" s="210"/>
    </row>
    <row r="591" spans="1:7" s="25" customFormat="1" ht="13.8" x14ac:dyDescent="0.3">
      <c r="A591" s="208"/>
      <c r="B591" s="208"/>
      <c r="C591" s="209"/>
      <c r="D591" s="209"/>
      <c r="E591" s="209"/>
      <c r="F591" s="209"/>
      <c r="G591" s="210"/>
    </row>
    <row r="592" spans="1:7" s="25" customFormat="1" ht="13.8" x14ac:dyDescent="0.3">
      <c r="A592" s="208"/>
      <c r="B592" s="208"/>
      <c r="C592" s="209"/>
      <c r="D592" s="209"/>
      <c r="E592" s="209"/>
      <c r="F592" s="209"/>
      <c r="G592" s="210"/>
    </row>
    <row r="593" spans="1:7" s="25" customFormat="1" ht="13.8" x14ac:dyDescent="0.3">
      <c r="A593" s="208"/>
      <c r="B593" s="208"/>
      <c r="C593" s="209"/>
      <c r="D593" s="209"/>
      <c r="E593" s="209"/>
      <c r="F593" s="209"/>
      <c r="G593" s="210"/>
    </row>
    <row r="594" spans="1:7" s="25" customFormat="1" ht="13.8" x14ac:dyDescent="0.3">
      <c r="A594" s="208"/>
      <c r="B594" s="208"/>
      <c r="C594" s="209"/>
      <c r="D594" s="209"/>
      <c r="E594" s="209"/>
      <c r="F594" s="209"/>
      <c r="G594" s="210"/>
    </row>
    <row r="595" spans="1:7" s="25" customFormat="1" ht="13.8" x14ac:dyDescent="0.3">
      <c r="A595" s="208"/>
      <c r="B595" s="208"/>
      <c r="C595" s="209"/>
      <c r="D595" s="209"/>
      <c r="E595" s="209"/>
      <c r="F595" s="209"/>
      <c r="G595" s="210"/>
    </row>
    <row r="596" spans="1:7" s="25" customFormat="1" ht="13.8" x14ac:dyDescent="0.3">
      <c r="A596" s="208"/>
      <c r="B596" s="208"/>
      <c r="C596" s="209"/>
      <c r="D596" s="209"/>
      <c r="E596" s="209"/>
      <c r="F596" s="209"/>
      <c r="G596" s="210"/>
    </row>
    <row r="597" spans="1:7" s="25" customFormat="1" ht="13.8" x14ac:dyDescent="0.3">
      <c r="A597" s="208"/>
      <c r="B597" s="208"/>
      <c r="C597" s="209"/>
      <c r="D597" s="209"/>
      <c r="E597" s="209"/>
      <c r="F597" s="209"/>
      <c r="G597" s="210"/>
    </row>
    <row r="598" spans="1:7" s="25" customFormat="1" ht="13.8" x14ac:dyDescent="0.3">
      <c r="A598" s="208"/>
      <c r="B598" s="208"/>
      <c r="C598" s="209"/>
      <c r="D598" s="209"/>
      <c r="E598" s="209"/>
      <c r="F598" s="209"/>
      <c r="G598" s="210"/>
    </row>
    <row r="599" spans="1:7" s="25" customFormat="1" ht="13.8" x14ac:dyDescent="0.3">
      <c r="A599" s="208"/>
      <c r="B599" s="208"/>
      <c r="C599" s="209"/>
      <c r="D599" s="209"/>
      <c r="E599" s="209"/>
      <c r="F599" s="209"/>
      <c r="G599" s="210"/>
    </row>
    <row r="600" spans="1:7" s="25" customFormat="1" ht="13.8" x14ac:dyDescent="0.3">
      <c r="A600" s="208"/>
      <c r="B600" s="208"/>
      <c r="C600" s="209"/>
      <c r="D600" s="209"/>
      <c r="E600" s="209"/>
      <c r="F600" s="209"/>
      <c r="G600" s="210"/>
    </row>
    <row r="601" spans="1:7" s="25" customFormat="1" ht="13.8" x14ac:dyDescent="0.3">
      <c r="A601" s="208"/>
      <c r="B601" s="208"/>
      <c r="C601" s="209"/>
      <c r="D601" s="209"/>
      <c r="E601" s="209"/>
      <c r="F601" s="209"/>
      <c r="G601" s="210"/>
    </row>
    <row r="602" spans="1:7" s="25" customFormat="1" ht="13.8" x14ac:dyDescent="0.3">
      <c r="A602" s="208"/>
      <c r="B602" s="208"/>
      <c r="C602" s="209"/>
      <c r="D602" s="209"/>
      <c r="E602" s="209"/>
      <c r="F602" s="209"/>
      <c r="G602" s="210"/>
    </row>
    <row r="603" spans="1:7" s="25" customFormat="1" ht="13.8" x14ac:dyDescent="0.3">
      <c r="A603" s="208"/>
      <c r="B603" s="208"/>
      <c r="C603" s="209"/>
      <c r="D603" s="209"/>
      <c r="E603" s="209"/>
      <c r="F603" s="209"/>
      <c r="G603" s="210"/>
    </row>
    <row r="604" spans="1:7" s="25" customFormat="1" ht="13.8" x14ac:dyDescent="0.3">
      <c r="A604" s="208"/>
      <c r="B604" s="208"/>
      <c r="C604" s="209"/>
      <c r="D604" s="209"/>
      <c r="E604" s="209"/>
      <c r="F604" s="209"/>
      <c r="G604" s="210"/>
    </row>
    <row r="605" spans="1:7" s="25" customFormat="1" ht="13.8" x14ac:dyDescent="0.3">
      <c r="A605" s="208"/>
      <c r="B605" s="208"/>
      <c r="C605" s="209"/>
      <c r="D605" s="209"/>
      <c r="E605" s="209"/>
      <c r="F605" s="209"/>
      <c r="G605" s="210"/>
    </row>
    <row r="606" spans="1:7" s="25" customFormat="1" ht="13.8" x14ac:dyDescent="0.3">
      <c r="A606" s="208"/>
      <c r="B606" s="208"/>
      <c r="C606" s="209"/>
      <c r="D606" s="209"/>
      <c r="E606" s="209"/>
      <c r="F606" s="209"/>
      <c r="G606" s="210"/>
    </row>
    <row r="607" spans="1:7" s="25" customFormat="1" ht="13.8" x14ac:dyDescent="0.3">
      <c r="A607" s="208"/>
      <c r="B607" s="208"/>
      <c r="C607" s="209"/>
      <c r="D607" s="209"/>
      <c r="E607" s="209"/>
      <c r="F607" s="209"/>
      <c r="G607" s="210"/>
    </row>
    <row r="608" spans="1:7" s="25" customFormat="1" ht="13.8" x14ac:dyDescent="0.3">
      <c r="A608" s="208"/>
      <c r="B608" s="208"/>
      <c r="C608" s="209"/>
      <c r="D608" s="209"/>
      <c r="E608" s="209"/>
      <c r="F608" s="209"/>
      <c r="G608" s="210"/>
    </row>
    <row r="609" spans="1:7" s="25" customFormat="1" ht="13.8" x14ac:dyDescent="0.3">
      <c r="A609" s="208"/>
      <c r="B609" s="208"/>
      <c r="C609" s="209"/>
      <c r="D609" s="209"/>
      <c r="E609" s="209"/>
      <c r="F609" s="209"/>
      <c r="G609" s="210"/>
    </row>
    <row r="610" spans="1:7" s="25" customFormat="1" ht="13.8" x14ac:dyDescent="0.3">
      <c r="A610" s="208"/>
      <c r="B610" s="208"/>
      <c r="C610" s="209"/>
      <c r="D610" s="209"/>
      <c r="E610" s="209"/>
      <c r="F610" s="209"/>
      <c r="G610" s="210"/>
    </row>
    <row r="611" spans="1:7" s="25" customFormat="1" ht="13.8" x14ac:dyDescent="0.3">
      <c r="A611" s="208"/>
      <c r="B611" s="208"/>
      <c r="C611" s="209"/>
      <c r="D611" s="209"/>
      <c r="E611" s="209"/>
      <c r="F611" s="209"/>
      <c r="G611" s="210"/>
    </row>
    <row r="612" spans="1:7" s="25" customFormat="1" ht="13.8" x14ac:dyDescent="0.3">
      <c r="A612" s="208"/>
      <c r="B612" s="208"/>
      <c r="C612" s="209"/>
      <c r="D612" s="209"/>
      <c r="E612" s="209"/>
      <c r="F612" s="209"/>
      <c r="G612" s="210"/>
    </row>
    <row r="613" spans="1:7" s="25" customFormat="1" ht="13.8" x14ac:dyDescent="0.3">
      <c r="A613" s="208"/>
      <c r="B613" s="208"/>
      <c r="C613" s="209"/>
      <c r="D613" s="209"/>
      <c r="E613" s="209"/>
      <c r="F613" s="209"/>
      <c r="G613" s="210"/>
    </row>
    <row r="614" spans="1:7" s="25" customFormat="1" ht="13.8" x14ac:dyDescent="0.3">
      <c r="A614" s="208"/>
      <c r="B614" s="208"/>
      <c r="C614" s="209"/>
      <c r="D614" s="209"/>
      <c r="E614" s="209"/>
      <c r="F614" s="209"/>
      <c r="G614" s="210"/>
    </row>
    <row r="615" spans="1:7" s="25" customFormat="1" ht="13.8" x14ac:dyDescent="0.3">
      <c r="A615" s="208"/>
      <c r="B615" s="208"/>
      <c r="C615" s="209"/>
      <c r="D615" s="209"/>
      <c r="E615" s="209"/>
      <c r="F615" s="209"/>
      <c r="G615" s="210"/>
    </row>
    <row r="616" spans="1:7" s="25" customFormat="1" ht="13.8" x14ac:dyDescent="0.3">
      <c r="A616" s="208"/>
      <c r="B616" s="208"/>
      <c r="C616" s="209"/>
      <c r="D616" s="209"/>
      <c r="E616" s="209"/>
      <c r="F616" s="209"/>
      <c r="G616" s="210"/>
    </row>
    <row r="617" spans="1:7" s="25" customFormat="1" ht="13.8" x14ac:dyDescent="0.3">
      <c r="A617" s="208"/>
      <c r="B617" s="208"/>
      <c r="C617" s="209"/>
      <c r="D617" s="209"/>
      <c r="E617" s="209"/>
      <c r="F617" s="209"/>
      <c r="G617" s="210"/>
    </row>
    <row r="618" spans="1:7" s="25" customFormat="1" ht="13.8" x14ac:dyDescent="0.3">
      <c r="A618" s="208"/>
      <c r="B618" s="208"/>
      <c r="C618" s="209"/>
      <c r="D618" s="209"/>
      <c r="E618" s="209"/>
      <c r="F618" s="209"/>
      <c r="G618" s="210"/>
    </row>
    <row r="619" spans="1:7" s="25" customFormat="1" ht="13.8" x14ac:dyDescent="0.3">
      <c r="A619" s="208"/>
      <c r="B619" s="208"/>
      <c r="C619" s="209"/>
      <c r="D619" s="209"/>
      <c r="E619" s="209"/>
      <c r="F619" s="209"/>
      <c r="G619" s="210"/>
    </row>
    <row r="620" spans="1:7" s="25" customFormat="1" ht="13.8" x14ac:dyDescent="0.3">
      <c r="A620" s="208"/>
      <c r="B620" s="208"/>
      <c r="C620" s="209"/>
      <c r="D620" s="209"/>
      <c r="E620" s="209"/>
      <c r="F620" s="209"/>
      <c r="G620" s="210"/>
    </row>
    <row r="621" spans="1:7" s="25" customFormat="1" ht="13.8" x14ac:dyDescent="0.3">
      <c r="A621" s="208"/>
      <c r="B621" s="208"/>
      <c r="C621" s="209"/>
      <c r="D621" s="209"/>
      <c r="E621" s="209"/>
      <c r="F621" s="209"/>
      <c r="G621" s="210"/>
    </row>
    <row r="622" spans="1:7" s="25" customFormat="1" ht="13.8" x14ac:dyDescent="0.3">
      <c r="A622" s="208"/>
      <c r="B622" s="208"/>
      <c r="C622" s="209"/>
      <c r="D622" s="209"/>
      <c r="E622" s="209"/>
      <c r="F622" s="209"/>
      <c r="G622" s="210"/>
    </row>
    <row r="623" spans="1:7" s="25" customFormat="1" ht="13.8" x14ac:dyDescent="0.3">
      <c r="A623" s="208"/>
      <c r="B623" s="208"/>
      <c r="C623" s="209"/>
      <c r="D623" s="209"/>
      <c r="E623" s="209"/>
      <c r="F623" s="209"/>
      <c r="G623" s="210"/>
    </row>
    <row r="624" spans="1:7" s="25" customFormat="1" ht="13.8" x14ac:dyDescent="0.3">
      <c r="A624" s="208"/>
      <c r="B624" s="208"/>
      <c r="C624" s="209"/>
      <c r="D624" s="209"/>
      <c r="E624" s="209"/>
      <c r="F624" s="209"/>
      <c r="G624" s="210"/>
    </row>
    <row r="625" spans="1:7" s="25" customFormat="1" ht="13.8" x14ac:dyDescent="0.3">
      <c r="A625" s="208"/>
      <c r="B625" s="208"/>
      <c r="C625" s="209"/>
      <c r="D625" s="209"/>
      <c r="E625" s="209"/>
      <c r="F625" s="209"/>
      <c r="G625" s="210"/>
    </row>
    <row r="626" spans="1:7" s="25" customFormat="1" ht="13.8" x14ac:dyDescent="0.3">
      <c r="A626" s="208"/>
      <c r="B626" s="208"/>
      <c r="C626" s="209"/>
      <c r="D626" s="209"/>
      <c r="E626" s="209"/>
      <c r="F626" s="209"/>
      <c r="G626" s="210"/>
    </row>
    <row r="627" spans="1:7" s="25" customFormat="1" ht="13.8" x14ac:dyDescent="0.3">
      <c r="A627" s="208"/>
      <c r="B627" s="208"/>
      <c r="C627" s="209"/>
      <c r="D627" s="209"/>
      <c r="E627" s="209"/>
      <c r="F627" s="209"/>
      <c r="G627" s="210"/>
    </row>
    <row r="628" spans="1:7" s="25" customFormat="1" ht="13.8" x14ac:dyDescent="0.3">
      <c r="A628" s="208"/>
      <c r="B628" s="208"/>
      <c r="C628" s="209"/>
      <c r="D628" s="209"/>
      <c r="E628" s="209"/>
      <c r="F628" s="209"/>
      <c r="G628" s="210"/>
    </row>
    <row r="629" spans="1:7" s="25" customFormat="1" ht="13.8" x14ac:dyDescent="0.3">
      <c r="A629" s="208"/>
      <c r="B629" s="208"/>
      <c r="C629" s="209"/>
      <c r="D629" s="209"/>
      <c r="E629" s="209"/>
      <c r="F629" s="209"/>
      <c r="G629" s="210"/>
    </row>
    <row r="630" spans="1:7" s="25" customFormat="1" ht="13.8" x14ac:dyDescent="0.3">
      <c r="A630" s="208"/>
      <c r="B630" s="208"/>
      <c r="C630" s="209"/>
      <c r="D630" s="209"/>
      <c r="E630" s="209"/>
      <c r="F630" s="209"/>
      <c r="G630" s="210"/>
    </row>
    <row r="631" spans="1:7" s="25" customFormat="1" ht="13.8" x14ac:dyDescent="0.3">
      <c r="A631" s="208"/>
      <c r="B631" s="208"/>
      <c r="C631" s="209"/>
      <c r="D631" s="209"/>
      <c r="E631" s="209"/>
      <c r="F631" s="209"/>
      <c r="G631" s="210"/>
    </row>
    <row r="632" spans="1:7" s="25" customFormat="1" ht="13.8" x14ac:dyDescent="0.3">
      <c r="A632" s="208"/>
      <c r="B632" s="208"/>
      <c r="C632" s="209"/>
      <c r="D632" s="209"/>
      <c r="E632" s="209"/>
      <c r="F632" s="209"/>
      <c r="G632" s="210"/>
    </row>
    <row r="633" spans="1:7" s="25" customFormat="1" ht="13.8" x14ac:dyDescent="0.3">
      <c r="A633" s="208"/>
      <c r="B633" s="208"/>
      <c r="C633" s="209"/>
      <c r="D633" s="209"/>
      <c r="E633" s="209"/>
      <c r="F633" s="209"/>
      <c r="G633" s="210"/>
    </row>
    <row r="634" spans="1:7" s="25" customFormat="1" ht="13.8" x14ac:dyDescent="0.3">
      <c r="A634" s="208"/>
      <c r="B634" s="208"/>
      <c r="C634" s="209"/>
      <c r="D634" s="209"/>
      <c r="E634" s="209"/>
      <c r="F634" s="209"/>
      <c r="G634" s="210"/>
    </row>
    <row r="635" spans="1:7" s="25" customFormat="1" ht="13.8" x14ac:dyDescent="0.3">
      <c r="A635" s="208"/>
      <c r="B635" s="208"/>
      <c r="C635" s="209"/>
      <c r="D635" s="209"/>
      <c r="E635" s="209"/>
      <c r="F635" s="209"/>
      <c r="G635" s="210"/>
    </row>
    <row r="636" spans="1:7" s="25" customFormat="1" ht="13.8" x14ac:dyDescent="0.3">
      <c r="A636" s="208"/>
      <c r="B636" s="208"/>
      <c r="C636" s="209"/>
      <c r="D636" s="209"/>
      <c r="E636" s="209"/>
      <c r="F636" s="209"/>
      <c r="G636" s="210"/>
    </row>
    <row r="637" spans="1:7" s="25" customFormat="1" ht="13.8" x14ac:dyDescent="0.3">
      <c r="A637" s="208"/>
      <c r="B637" s="208"/>
      <c r="C637" s="209"/>
      <c r="D637" s="209"/>
      <c r="E637" s="209"/>
      <c r="F637" s="209"/>
      <c r="G637" s="210"/>
    </row>
    <row r="638" spans="1:7" s="25" customFormat="1" ht="13.8" x14ac:dyDescent="0.3">
      <c r="A638" s="208"/>
      <c r="B638" s="208"/>
      <c r="C638" s="209"/>
      <c r="D638" s="209"/>
      <c r="E638" s="209"/>
      <c r="F638" s="209"/>
      <c r="G638" s="210"/>
    </row>
    <row r="639" spans="1:7" s="25" customFormat="1" ht="13.8" x14ac:dyDescent="0.3">
      <c r="A639" s="208"/>
      <c r="B639" s="208"/>
      <c r="C639" s="209"/>
      <c r="D639" s="209"/>
      <c r="E639" s="209"/>
      <c r="F639" s="209"/>
      <c r="G639" s="210"/>
    </row>
    <row r="640" spans="1:7" s="25" customFormat="1" ht="13.8" x14ac:dyDescent="0.3">
      <c r="A640" s="208"/>
      <c r="B640" s="208"/>
      <c r="C640" s="209"/>
      <c r="D640" s="209"/>
      <c r="E640" s="209"/>
      <c r="F640" s="209"/>
      <c r="G640" s="210"/>
    </row>
    <row r="641" spans="1:7" s="25" customFormat="1" ht="13.8" x14ac:dyDescent="0.3">
      <c r="A641" s="208"/>
      <c r="B641" s="208"/>
      <c r="C641" s="209"/>
      <c r="D641" s="209"/>
      <c r="E641" s="209"/>
      <c r="F641" s="209"/>
      <c r="G641" s="210"/>
    </row>
    <row r="642" spans="1:7" s="25" customFormat="1" ht="13.8" x14ac:dyDescent="0.3">
      <c r="A642" s="208"/>
      <c r="B642" s="208"/>
      <c r="C642" s="209"/>
      <c r="D642" s="209"/>
      <c r="E642" s="209"/>
      <c r="F642" s="209"/>
      <c r="G642" s="210"/>
    </row>
    <row r="643" spans="1:7" s="25" customFormat="1" ht="13.8" x14ac:dyDescent="0.3">
      <c r="A643" s="208"/>
      <c r="B643" s="208"/>
      <c r="C643" s="209"/>
      <c r="D643" s="209"/>
      <c r="E643" s="209"/>
      <c r="F643" s="209"/>
      <c r="G643" s="210"/>
    </row>
    <row r="644" spans="1:7" s="25" customFormat="1" ht="13.8" x14ac:dyDescent="0.3">
      <c r="A644" s="208"/>
      <c r="B644" s="208"/>
      <c r="C644" s="209"/>
      <c r="D644" s="209"/>
      <c r="E644" s="209"/>
      <c r="F644" s="209"/>
      <c r="G644" s="210"/>
    </row>
    <row r="645" spans="1:7" s="25" customFormat="1" ht="13.8" x14ac:dyDescent="0.3">
      <c r="A645" s="208"/>
      <c r="B645" s="208"/>
      <c r="C645" s="209"/>
      <c r="D645" s="209"/>
      <c r="E645" s="209"/>
      <c r="F645" s="209"/>
      <c r="G645" s="210"/>
    </row>
    <row r="646" spans="1:7" s="25" customFormat="1" ht="13.8" x14ac:dyDescent="0.3">
      <c r="A646" s="208"/>
      <c r="B646" s="208"/>
      <c r="C646" s="209"/>
      <c r="D646" s="209"/>
      <c r="E646" s="209"/>
      <c r="F646" s="209"/>
      <c r="G646" s="210"/>
    </row>
    <row r="647" spans="1:7" s="25" customFormat="1" ht="13.8" x14ac:dyDescent="0.3">
      <c r="A647" s="208"/>
      <c r="B647" s="208"/>
      <c r="C647" s="209"/>
      <c r="D647" s="209"/>
      <c r="E647" s="209"/>
      <c r="F647" s="209"/>
      <c r="G647" s="210"/>
    </row>
    <row r="648" spans="1:7" s="25" customFormat="1" ht="13.8" x14ac:dyDescent="0.3">
      <c r="A648" s="208"/>
      <c r="B648" s="208"/>
      <c r="C648" s="209"/>
      <c r="D648" s="209"/>
      <c r="E648" s="209"/>
      <c r="F648" s="209"/>
      <c r="G648" s="210"/>
    </row>
    <row r="649" spans="1:7" s="25" customFormat="1" ht="13.8" x14ac:dyDescent="0.3">
      <c r="A649" s="208"/>
      <c r="B649" s="208"/>
      <c r="C649" s="209"/>
      <c r="D649" s="209"/>
      <c r="E649" s="209"/>
      <c r="F649" s="209"/>
      <c r="G649" s="210"/>
    </row>
    <row r="650" spans="1:7" s="25" customFormat="1" ht="13.8" x14ac:dyDescent="0.3">
      <c r="A650" s="208"/>
      <c r="B650" s="208"/>
      <c r="C650" s="209"/>
      <c r="D650" s="209"/>
      <c r="E650" s="209"/>
      <c r="F650" s="209"/>
      <c r="G650" s="210"/>
    </row>
    <row r="651" spans="1:7" s="25" customFormat="1" ht="13.8" x14ac:dyDescent="0.3">
      <c r="A651" s="208"/>
      <c r="B651" s="208"/>
      <c r="C651" s="209"/>
      <c r="D651" s="209"/>
      <c r="E651" s="209"/>
      <c r="F651" s="209"/>
      <c r="G651" s="210"/>
    </row>
    <row r="652" spans="1:7" s="25" customFormat="1" ht="13.8" x14ac:dyDescent="0.3">
      <c r="A652" s="208"/>
      <c r="B652" s="208"/>
      <c r="C652" s="209"/>
      <c r="D652" s="209"/>
      <c r="E652" s="209"/>
      <c r="F652" s="209"/>
      <c r="G652" s="210"/>
    </row>
    <row r="653" spans="1:7" s="25" customFormat="1" ht="13.8" x14ac:dyDescent="0.3">
      <c r="A653" s="208"/>
      <c r="B653" s="208"/>
      <c r="C653" s="209"/>
      <c r="D653" s="209"/>
      <c r="E653" s="209"/>
      <c r="F653" s="209"/>
      <c r="G653" s="210"/>
    </row>
    <row r="654" spans="1:7" s="25" customFormat="1" ht="13.8" x14ac:dyDescent="0.3">
      <c r="A654" s="208"/>
      <c r="B654" s="208"/>
      <c r="C654" s="209"/>
      <c r="D654" s="209"/>
      <c r="E654" s="209"/>
      <c r="F654" s="209"/>
      <c r="G654" s="210"/>
    </row>
    <row r="655" spans="1:7" s="25" customFormat="1" ht="13.8" x14ac:dyDescent="0.3">
      <c r="A655" s="208"/>
      <c r="B655" s="208"/>
      <c r="C655" s="209"/>
      <c r="D655" s="209"/>
      <c r="E655" s="209"/>
      <c r="F655" s="209"/>
      <c r="G655" s="210"/>
    </row>
    <row r="656" spans="1:7" s="25" customFormat="1" ht="13.8" x14ac:dyDescent="0.3">
      <c r="A656" s="208"/>
      <c r="B656" s="208"/>
      <c r="C656" s="209"/>
      <c r="D656" s="209"/>
      <c r="E656" s="209"/>
      <c r="F656" s="209"/>
      <c r="G656" s="210"/>
    </row>
    <row r="657" spans="1:7" s="25" customFormat="1" ht="13.8" x14ac:dyDescent="0.3">
      <c r="A657" s="208"/>
      <c r="B657" s="208"/>
      <c r="C657" s="209"/>
      <c r="D657" s="209"/>
      <c r="E657" s="209"/>
      <c r="F657" s="209"/>
      <c r="G657" s="210"/>
    </row>
    <row r="658" spans="1:7" s="25" customFormat="1" ht="13.8" x14ac:dyDescent="0.3">
      <c r="A658" s="208"/>
      <c r="B658" s="208"/>
      <c r="C658" s="209"/>
      <c r="D658" s="209"/>
      <c r="E658" s="209"/>
      <c r="F658" s="209"/>
      <c r="G658" s="210"/>
    </row>
    <row r="659" spans="1:7" s="25" customFormat="1" ht="13.8" x14ac:dyDescent="0.3">
      <c r="A659" s="208"/>
      <c r="B659" s="208"/>
      <c r="C659" s="209"/>
      <c r="D659" s="209"/>
      <c r="E659" s="209"/>
      <c r="F659" s="209"/>
      <c r="G659" s="210"/>
    </row>
    <row r="660" spans="1:7" s="25" customFormat="1" ht="13.8" x14ac:dyDescent="0.3">
      <c r="A660" s="208"/>
      <c r="B660" s="208"/>
      <c r="C660" s="209"/>
      <c r="D660" s="209"/>
      <c r="E660" s="209"/>
      <c r="F660" s="209"/>
      <c r="G660" s="210"/>
    </row>
    <row r="661" spans="1:7" s="25" customFormat="1" ht="13.8" x14ac:dyDescent="0.3">
      <c r="A661" s="208"/>
      <c r="B661" s="208"/>
      <c r="C661" s="209"/>
      <c r="D661" s="209"/>
      <c r="E661" s="209"/>
      <c r="F661" s="209"/>
      <c r="G661" s="210"/>
    </row>
    <row r="662" spans="1:7" s="25" customFormat="1" ht="13.8" x14ac:dyDescent="0.3">
      <c r="A662" s="208"/>
      <c r="B662" s="208"/>
      <c r="C662" s="209"/>
      <c r="D662" s="209"/>
      <c r="E662" s="209"/>
      <c r="F662" s="209"/>
      <c r="G662" s="210"/>
    </row>
    <row r="663" spans="1:7" s="25" customFormat="1" ht="13.8" x14ac:dyDescent="0.3">
      <c r="A663" s="208"/>
      <c r="B663" s="208"/>
      <c r="C663" s="209"/>
      <c r="D663" s="209"/>
      <c r="E663" s="209"/>
      <c r="F663" s="209"/>
      <c r="G663" s="210"/>
    </row>
    <row r="664" spans="1:7" s="25" customFormat="1" ht="13.8" x14ac:dyDescent="0.3">
      <c r="A664" s="208"/>
      <c r="B664" s="208"/>
      <c r="C664" s="209"/>
      <c r="D664" s="209"/>
      <c r="E664" s="209"/>
      <c r="F664" s="209"/>
      <c r="G664" s="210"/>
    </row>
    <row r="665" spans="1:7" s="25" customFormat="1" ht="13.8" x14ac:dyDescent="0.3">
      <c r="A665" s="208"/>
      <c r="B665" s="208"/>
      <c r="C665" s="209"/>
      <c r="D665" s="209"/>
      <c r="E665" s="209"/>
      <c r="F665" s="209"/>
      <c r="G665" s="210"/>
    </row>
    <row r="666" spans="1:7" s="25" customFormat="1" ht="13.8" x14ac:dyDescent="0.3">
      <c r="A666" s="208"/>
      <c r="B666" s="208"/>
      <c r="C666" s="209"/>
      <c r="D666" s="209"/>
      <c r="E666" s="209"/>
      <c r="F666" s="209"/>
      <c r="G666" s="210"/>
    </row>
    <row r="667" spans="1:7" s="25" customFormat="1" ht="13.8" x14ac:dyDescent="0.3">
      <c r="A667" s="208"/>
      <c r="B667" s="208"/>
      <c r="C667" s="209"/>
      <c r="D667" s="209"/>
      <c r="E667" s="209"/>
      <c r="F667" s="209"/>
      <c r="G667" s="210"/>
    </row>
    <row r="668" spans="1:7" s="25" customFormat="1" ht="13.8" x14ac:dyDescent="0.3">
      <c r="A668" s="208"/>
      <c r="B668" s="208"/>
      <c r="C668" s="209"/>
      <c r="D668" s="209"/>
      <c r="E668" s="209"/>
      <c r="F668" s="209"/>
      <c r="G668" s="210"/>
    </row>
    <row r="669" spans="1:7" s="25" customFormat="1" ht="13.8" x14ac:dyDescent="0.3">
      <c r="A669" s="208"/>
      <c r="B669" s="208"/>
      <c r="C669" s="209"/>
      <c r="D669" s="209"/>
      <c r="E669" s="209"/>
      <c r="F669" s="209"/>
      <c r="G669" s="210"/>
    </row>
    <row r="670" spans="1:7" s="25" customFormat="1" ht="13.8" x14ac:dyDescent="0.3">
      <c r="A670" s="208"/>
      <c r="B670" s="208"/>
      <c r="C670" s="209"/>
      <c r="D670" s="209"/>
      <c r="E670" s="209"/>
      <c r="F670" s="209"/>
      <c r="G670" s="210"/>
    </row>
    <row r="671" spans="1:7" s="25" customFormat="1" ht="13.8" x14ac:dyDescent="0.3">
      <c r="A671" s="208"/>
      <c r="B671" s="208"/>
      <c r="C671" s="209"/>
      <c r="D671" s="209"/>
      <c r="E671" s="209"/>
      <c r="F671" s="209"/>
      <c r="G671" s="210"/>
    </row>
    <row r="672" spans="1:7" s="25" customFormat="1" ht="13.8" x14ac:dyDescent="0.3">
      <c r="A672" s="208"/>
      <c r="B672" s="208"/>
      <c r="C672" s="209"/>
      <c r="D672" s="209"/>
      <c r="E672" s="209"/>
      <c r="F672" s="209"/>
      <c r="G672" s="210"/>
    </row>
    <row r="673" spans="1:7" s="25" customFormat="1" ht="13.8" x14ac:dyDescent="0.3">
      <c r="A673" s="208"/>
      <c r="B673" s="208"/>
      <c r="C673" s="209"/>
      <c r="D673" s="209"/>
      <c r="E673" s="209"/>
      <c r="F673" s="209"/>
      <c r="G673" s="210"/>
    </row>
    <row r="674" spans="1:7" s="25" customFormat="1" ht="13.8" x14ac:dyDescent="0.3">
      <c r="A674" s="208"/>
      <c r="B674" s="208"/>
      <c r="C674" s="209"/>
      <c r="D674" s="209"/>
      <c r="E674" s="209"/>
      <c r="F674" s="209"/>
      <c r="G674" s="210"/>
    </row>
    <row r="675" spans="1:7" s="25" customFormat="1" ht="13.8" x14ac:dyDescent="0.3">
      <c r="A675" s="208"/>
      <c r="B675" s="208"/>
      <c r="C675" s="209"/>
      <c r="D675" s="209"/>
      <c r="E675" s="209"/>
      <c r="F675" s="209"/>
      <c r="G675" s="210"/>
    </row>
    <row r="676" spans="1:7" s="25" customFormat="1" ht="13.8" x14ac:dyDescent="0.3">
      <c r="A676" s="208"/>
      <c r="B676" s="208"/>
      <c r="C676" s="209"/>
      <c r="D676" s="209"/>
      <c r="E676" s="209"/>
      <c r="F676" s="209"/>
      <c r="G676" s="210"/>
    </row>
    <row r="677" spans="1:7" s="25" customFormat="1" ht="13.8" x14ac:dyDescent="0.3">
      <c r="A677" s="208"/>
      <c r="B677" s="208"/>
      <c r="C677" s="209"/>
      <c r="D677" s="209"/>
      <c r="E677" s="209"/>
      <c r="F677" s="209"/>
      <c r="G677" s="210"/>
    </row>
    <row r="678" spans="1:7" s="25" customFormat="1" ht="13.8" x14ac:dyDescent="0.3">
      <c r="A678" s="208"/>
      <c r="B678" s="208"/>
      <c r="C678" s="209"/>
      <c r="D678" s="209"/>
      <c r="E678" s="209"/>
      <c r="F678" s="209"/>
      <c r="G678" s="210"/>
    </row>
    <row r="679" spans="1:7" s="25" customFormat="1" ht="13.8" x14ac:dyDescent="0.3">
      <c r="A679" s="208"/>
      <c r="B679" s="208"/>
      <c r="C679" s="209"/>
      <c r="D679" s="209"/>
      <c r="E679" s="209"/>
      <c r="F679" s="209"/>
      <c r="G679" s="210"/>
    </row>
    <row r="680" spans="1:7" s="25" customFormat="1" ht="13.8" x14ac:dyDescent="0.3">
      <c r="A680" s="208"/>
      <c r="B680" s="208"/>
      <c r="C680" s="209"/>
      <c r="D680" s="209"/>
      <c r="E680" s="209"/>
      <c r="F680" s="209"/>
      <c r="G680" s="210"/>
    </row>
    <row r="681" spans="1:7" s="25" customFormat="1" ht="13.8" x14ac:dyDescent="0.3">
      <c r="A681" s="208"/>
      <c r="B681" s="208"/>
      <c r="C681" s="209"/>
      <c r="D681" s="209"/>
      <c r="E681" s="209"/>
      <c r="F681" s="209"/>
      <c r="G681" s="210"/>
    </row>
    <row r="682" spans="1:7" s="25" customFormat="1" ht="13.8" x14ac:dyDescent="0.3">
      <c r="A682" s="208"/>
      <c r="B682" s="208"/>
      <c r="C682" s="209"/>
      <c r="D682" s="209"/>
      <c r="E682" s="209"/>
      <c r="F682" s="209"/>
      <c r="G682" s="210"/>
    </row>
    <row r="683" spans="1:7" s="25" customFormat="1" ht="13.8" x14ac:dyDescent="0.3">
      <c r="A683" s="208"/>
      <c r="B683" s="208"/>
      <c r="C683" s="209"/>
      <c r="D683" s="209"/>
      <c r="E683" s="209"/>
      <c r="F683" s="209"/>
      <c r="G683" s="210"/>
    </row>
    <row r="684" spans="1:7" s="25" customFormat="1" ht="13.8" x14ac:dyDescent="0.3">
      <c r="A684" s="208"/>
      <c r="B684" s="208"/>
      <c r="C684" s="209"/>
      <c r="D684" s="209"/>
      <c r="E684" s="209"/>
      <c r="F684" s="209"/>
      <c r="G684" s="210"/>
    </row>
    <row r="685" spans="1:7" s="25" customFormat="1" ht="13.8" x14ac:dyDescent="0.3">
      <c r="A685" s="208"/>
      <c r="B685" s="208"/>
      <c r="C685" s="209"/>
      <c r="D685" s="209"/>
      <c r="E685" s="209"/>
      <c r="F685" s="209"/>
      <c r="G685" s="210"/>
    </row>
    <row r="686" spans="1:7" s="25" customFormat="1" ht="13.8" x14ac:dyDescent="0.3">
      <c r="A686" s="208"/>
      <c r="B686" s="208"/>
      <c r="C686" s="209"/>
      <c r="D686" s="209"/>
      <c r="E686" s="209"/>
      <c r="F686" s="209"/>
      <c r="G686" s="210"/>
    </row>
    <row r="687" spans="1:7" s="25" customFormat="1" ht="13.8" x14ac:dyDescent="0.3">
      <c r="A687" s="208"/>
      <c r="B687" s="208"/>
      <c r="C687" s="209"/>
      <c r="D687" s="209"/>
      <c r="E687" s="209"/>
      <c r="F687" s="209"/>
      <c r="G687" s="210"/>
    </row>
    <row r="688" spans="1:7" s="25" customFormat="1" ht="13.8" x14ac:dyDescent="0.3">
      <c r="A688" s="208"/>
      <c r="B688" s="208"/>
      <c r="C688" s="209"/>
      <c r="D688" s="209"/>
      <c r="E688" s="209"/>
      <c r="F688" s="209"/>
      <c r="G688" s="210"/>
    </row>
    <row r="689" spans="1:7" s="25" customFormat="1" ht="13.8" x14ac:dyDescent="0.3">
      <c r="A689" s="208"/>
      <c r="B689" s="208"/>
      <c r="C689" s="209"/>
      <c r="D689" s="209"/>
      <c r="E689" s="209"/>
      <c r="F689" s="209"/>
      <c r="G689" s="210"/>
    </row>
    <row r="690" spans="1:7" s="25" customFormat="1" ht="13.8" x14ac:dyDescent="0.3">
      <c r="A690" s="208"/>
      <c r="B690" s="208"/>
      <c r="C690" s="209"/>
      <c r="D690" s="209"/>
      <c r="E690" s="209"/>
      <c r="F690" s="209"/>
      <c r="G690" s="210"/>
    </row>
    <row r="691" spans="1:7" s="25" customFormat="1" ht="13.8" x14ac:dyDescent="0.3">
      <c r="A691" s="208"/>
      <c r="B691" s="208"/>
      <c r="C691" s="209"/>
      <c r="D691" s="209"/>
      <c r="E691" s="209"/>
      <c r="F691" s="209"/>
      <c r="G691" s="210"/>
    </row>
    <row r="692" spans="1:7" s="25" customFormat="1" ht="13.8" x14ac:dyDescent="0.3">
      <c r="A692" s="208"/>
      <c r="B692" s="208"/>
      <c r="C692" s="209"/>
      <c r="D692" s="209"/>
      <c r="E692" s="209"/>
      <c r="F692" s="209"/>
      <c r="G692" s="210"/>
    </row>
    <row r="693" spans="1:7" s="25" customFormat="1" ht="13.8" x14ac:dyDescent="0.3">
      <c r="A693" s="208"/>
      <c r="B693" s="208"/>
      <c r="C693" s="209"/>
      <c r="D693" s="209"/>
      <c r="E693" s="209"/>
      <c r="F693" s="209"/>
      <c r="G693" s="210"/>
    </row>
    <row r="694" spans="1:7" s="25" customFormat="1" ht="13.8" x14ac:dyDescent="0.3">
      <c r="A694" s="208"/>
      <c r="B694" s="208"/>
      <c r="C694" s="209"/>
      <c r="D694" s="209"/>
      <c r="E694" s="209"/>
      <c r="F694" s="209"/>
      <c r="G694" s="210"/>
    </row>
    <row r="695" spans="1:7" s="25" customFormat="1" ht="13.8" x14ac:dyDescent="0.3">
      <c r="A695" s="208"/>
      <c r="B695" s="208"/>
      <c r="C695" s="209"/>
      <c r="D695" s="209"/>
      <c r="E695" s="209"/>
      <c r="F695" s="209"/>
      <c r="G695" s="210"/>
    </row>
    <row r="696" spans="1:7" s="25" customFormat="1" ht="13.8" x14ac:dyDescent="0.3">
      <c r="A696" s="208"/>
      <c r="B696" s="208"/>
      <c r="C696" s="209"/>
      <c r="D696" s="209"/>
      <c r="E696" s="209"/>
      <c r="F696" s="209"/>
      <c r="G696" s="210"/>
    </row>
    <row r="697" spans="1:7" s="25" customFormat="1" ht="13.8" x14ac:dyDescent="0.3">
      <c r="A697" s="208"/>
      <c r="B697" s="208"/>
      <c r="C697" s="209"/>
      <c r="D697" s="209"/>
      <c r="E697" s="209"/>
      <c r="F697" s="209"/>
      <c r="G697" s="210"/>
    </row>
    <row r="698" spans="1:7" s="25" customFormat="1" ht="13.8" x14ac:dyDescent="0.3">
      <c r="A698" s="208"/>
      <c r="B698" s="208"/>
      <c r="C698" s="209"/>
      <c r="D698" s="209"/>
      <c r="E698" s="209"/>
      <c r="F698" s="209"/>
      <c r="G698" s="210"/>
    </row>
    <row r="699" spans="1:7" s="25" customFormat="1" ht="13.8" x14ac:dyDescent="0.3">
      <c r="A699" s="208"/>
      <c r="B699" s="208"/>
      <c r="C699" s="209"/>
      <c r="D699" s="209"/>
      <c r="E699" s="209"/>
      <c r="F699" s="209"/>
      <c r="G699" s="210"/>
    </row>
    <row r="700" spans="1:7" s="25" customFormat="1" ht="13.8" x14ac:dyDescent="0.3">
      <c r="A700" s="208"/>
      <c r="B700" s="208"/>
      <c r="C700" s="209"/>
      <c r="D700" s="209"/>
      <c r="E700" s="209"/>
      <c r="F700" s="209"/>
      <c r="G700" s="210"/>
    </row>
    <row r="701" spans="1:7" s="25" customFormat="1" ht="13.8" x14ac:dyDescent="0.3">
      <c r="A701" s="208"/>
      <c r="B701" s="208"/>
      <c r="C701" s="209"/>
      <c r="D701" s="209"/>
      <c r="E701" s="209"/>
      <c r="F701" s="209"/>
      <c r="G701" s="210"/>
    </row>
    <row r="702" spans="1:7" s="25" customFormat="1" ht="13.8" x14ac:dyDescent="0.3">
      <c r="A702" s="208"/>
      <c r="B702" s="208"/>
      <c r="C702" s="209"/>
      <c r="D702" s="209"/>
      <c r="E702" s="209"/>
      <c r="F702" s="209"/>
      <c r="G702" s="210"/>
    </row>
    <row r="703" spans="1:7" s="25" customFormat="1" ht="13.8" x14ac:dyDescent="0.3">
      <c r="A703" s="208"/>
      <c r="B703" s="208"/>
      <c r="C703" s="209"/>
      <c r="D703" s="209"/>
      <c r="E703" s="209"/>
      <c r="F703" s="209"/>
      <c r="G703" s="210"/>
    </row>
    <row r="704" spans="1:7" s="25" customFormat="1" ht="13.8" x14ac:dyDescent="0.3">
      <c r="A704" s="208"/>
      <c r="B704" s="208"/>
      <c r="C704" s="209"/>
      <c r="D704" s="209"/>
      <c r="E704" s="209"/>
      <c r="F704" s="209"/>
      <c r="G704" s="210"/>
    </row>
    <row r="705" spans="1:7" s="25" customFormat="1" ht="13.8" x14ac:dyDescent="0.3">
      <c r="A705" s="208"/>
      <c r="B705" s="208"/>
      <c r="C705" s="209"/>
      <c r="D705" s="209"/>
      <c r="E705" s="209"/>
      <c r="F705" s="209"/>
      <c r="G705" s="210"/>
    </row>
    <row r="706" spans="1:7" s="25" customFormat="1" ht="13.8" x14ac:dyDescent="0.3">
      <c r="A706" s="208"/>
      <c r="B706" s="208"/>
      <c r="C706" s="209"/>
      <c r="D706" s="209"/>
      <c r="E706" s="209"/>
      <c r="F706" s="209"/>
      <c r="G706" s="210"/>
    </row>
    <row r="707" spans="1:7" s="25" customFormat="1" ht="13.8" x14ac:dyDescent="0.3">
      <c r="A707" s="208"/>
      <c r="B707" s="208"/>
      <c r="C707" s="209"/>
      <c r="D707" s="209"/>
      <c r="E707" s="209"/>
      <c r="F707" s="209"/>
      <c r="G707" s="210"/>
    </row>
    <row r="708" spans="1:7" s="25" customFormat="1" ht="13.8" x14ac:dyDescent="0.3">
      <c r="A708" s="208"/>
      <c r="B708" s="208"/>
      <c r="C708" s="209"/>
      <c r="D708" s="209"/>
      <c r="E708" s="209"/>
      <c r="F708" s="209"/>
      <c r="G708" s="210"/>
    </row>
    <row r="709" spans="1:7" s="25" customFormat="1" ht="13.8" x14ac:dyDescent="0.3">
      <c r="A709" s="208"/>
      <c r="B709" s="208"/>
      <c r="C709" s="209"/>
      <c r="D709" s="209"/>
      <c r="E709" s="209"/>
      <c r="F709" s="209"/>
      <c r="G709" s="210"/>
    </row>
    <row r="710" spans="1:7" s="25" customFormat="1" ht="13.8" x14ac:dyDescent="0.3">
      <c r="A710" s="208"/>
      <c r="B710" s="208"/>
      <c r="C710" s="209"/>
      <c r="D710" s="209"/>
      <c r="E710" s="209"/>
      <c r="F710" s="209"/>
      <c r="G710" s="210"/>
    </row>
    <row r="711" spans="1:7" s="25" customFormat="1" ht="13.8" x14ac:dyDescent="0.3">
      <c r="A711" s="208"/>
      <c r="B711" s="208"/>
      <c r="C711" s="209"/>
      <c r="D711" s="209"/>
      <c r="E711" s="209"/>
      <c r="F711" s="209"/>
      <c r="G711" s="210"/>
    </row>
    <row r="712" spans="1:7" s="25" customFormat="1" ht="13.8" x14ac:dyDescent="0.3">
      <c r="A712" s="208"/>
      <c r="B712" s="208"/>
      <c r="C712" s="209"/>
      <c r="D712" s="209"/>
      <c r="E712" s="209"/>
      <c r="F712" s="209"/>
      <c r="G712" s="210"/>
    </row>
    <row r="713" spans="1:7" s="25" customFormat="1" ht="13.8" x14ac:dyDescent="0.3">
      <c r="A713" s="208"/>
      <c r="B713" s="208"/>
      <c r="C713" s="209"/>
      <c r="D713" s="209"/>
      <c r="E713" s="209"/>
      <c r="F713" s="209"/>
      <c r="G713" s="210"/>
    </row>
    <row r="714" spans="1:7" s="25" customFormat="1" ht="13.8" x14ac:dyDescent="0.3">
      <c r="A714" s="208"/>
      <c r="B714" s="208"/>
      <c r="C714" s="209"/>
      <c r="D714" s="209"/>
      <c r="E714" s="209"/>
      <c r="F714" s="209"/>
      <c r="G714" s="210"/>
    </row>
    <row r="715" spans="1:7" s="25" customFormat="1" ht="13.8" x14ac:dyDescent="0.3">
      <c r="A715" s="208"/>
      <c r="B715" s="208"/>
      <c r="C715" s="209"/>
      <c r="D715" s="209"/>
      <c r="E715" s="209"/>
      <c r="F715" s="209"/>
      <c r="G715" s="210"/>
    </row>
    <row r="716" spans="1:7" s="25" customFormat="1" ht="13.8" x14ac:dyDescent="0.3">
      <c r="A716" s="208"/>
      <c r="B716" s="208"/>
      <c r="C716" s="209"/>
      <c r="D716" s="209"/>
      <c r="E716" s="209"/>
      <c r="F716" s="209"/>
      <c r="G716" s="210"/>
    </row>
    <row r="717" spans="1:7" s="25" customFormat="1" ht="13.8" x14ac:dyDescent="0.3">
      <c r="A717" s="208"/>
      <c r="B717" s="208"/>
      <c r="C717" s="209"/>
      <c r="D717" s="209"/>
      <c r="E717" s="209"/>
      <c r="F717" s="209"/>
      <c r="G717" s="210"/>
    </row>
    <row r="718" spans="1:7" s="25" customFormat="1" ht="13.8" x14ac:dyDescent="0.3">
      <c r="A718" s="208"/>
      <c r="B718" s="208"/>
      <c r="C718" s="209"/>
      <c r="D718" s="209"/>
      <c r="E718" s="209"/>
      <c r="F718" s="209"/>
      <c r="G718" s="210"/>
    </row>
    <row r="719" spans="1:7" s="25" customFormat="1" ht="13.8" x14ac:dyDescent="0.3">
      <c r="A719" s="208"/>
      <c r="B719" s="208"/>
      <c r="C719" s="209"/>
      <c r="D719" s="209"/>
      <c r="E719" s="209"/>
      <c r="F719" s="209"/>
      <c r="G719" s="210"/>
    </row>
    <row r="720" spans="1:7" s="25" customFormat="1" ht="13.8" x14ac:dyDescent="0.3">
      <c r="A720" s="208"/>
      <c r="B720" s="208"/>
      <c r="C720" s="209"/>
      <c r="D720" s="209"/>
      <c r="E720" s="209"/>
      <c r="F720" s="209"/>
      <c r="G720" s="210"/>
    </row>
    <row r="721" spans="1:7" s="25" customFormat="1" ht="13.8" x14ac:dyDescent="0.3">
      <c r="A721" s="208"/>
      <c r="B721" s="208"/>
      <c r="C721" s="209"/>
      <c r="D721" s="209"/>
      <c r="E721" s="209"/>
      <c r="F721" s="209"/>
      <c r="G721" s="210"/>
    </row>
    <row r="722" spans="1:7" s="25" customFormat="1" ht="13.8" x14ac:dyDescent="0.3">
      <c r="A722" s="208"/>
      <c r="B722" s="208"/>
      <c r="C722" s="209"/>
      <c r="D722" s="209"/>
      <c r="E722" s="209"/>
      <c r="F722" s="209"/>
      <c r="G722" s="210"/>
    </row>
    <row r="723" spans="1:7" s="25" customFormat="1" ht="13.8" x14ac:dyDescent="0.3">
      <c r="A723" s="208"/>
      <c r="B723" s="208"/>
      <c r="C723" s="209"/>
      <c r="D723" s="209"/>
      <c r="E723" s="209"/>
      <c r="F723" s="209"/>
      <c r="G723" s="210"/>
    </row>
    <row r="724" spans="1:7" s="25" customFormat="1" ht="13.8" x14ac:dyDescent="0.3">
      <c r="A724" s="208"/>
      <c r="B724" s="208"/>
      <c r="C724" s="209"/>
      <c r="D724" s="209"/>
      <c r="E724" s="209"/>
      <c r="F724" s="209"/>
      <c r="G724" s="210"/>
    </row>
    <row r="725" spans="1:7" s="25" customFormat="1" ht="13.8" x14ac:dyDescent="0.3">
      <c r="A725" s="208"/>
      <c r="B725" s="208"/>
      <c r="C725" s="209"/>
      <c r="D725" s="209"/>
      <c r="E725" s="209"/>
      <c r="F725" s="209"/>
      <c r="G725" s="210"/>
    </row>
    <row r="726" spans="1:7" s="25" customFormat="1" ht="13.8" x14ac:dyDescent="0.3">
      <c r="A726" s="208"/>
      <c r="B726" s="208"/>
      <c r="C726" s="209"/>
      <c r="D726" s="209"/>
      <c r="E726" s="209"/>
      <c r="F726" s="209"/>
      <c r="G726" s="210"/>
    </row>
    <row r="727" spans="1:7" s="25" customFormat="1" ht="13.8" x14ac:dyDescent="0.3">
      <c r="A727" s="208"/>
      <c r="B727" s="208"/>
      <c r="C727" s="209"/>
      <c r="D727" s="209"/>
      <c r="E727" s="209"/>
      <c r="F727" s="209"/>
      <c r="G727" s="210"/>
    </row>
    <row r="728" spans="1:7" s="25" customFormat="1" ht="13.8" x14ac:dyDescent="0.3">
      <c r="A728" s="208"/>
      <c r="B728" s="208"/>
      <c r="C728" s="209"/>
      <c r="D728" s="209"/>
      <c r="E728" s="209"/>
      <c r="F728" s="209"/>
      <c r="G728" s="210"/>
    </row>
    <row r="729" spans="1:7" s="25" customFormat="1" ht="13.8" x14ac:dyDescent="0.3">
      <c r="A729" s="208"/>
      <c r="B729" s="208"/>
      <c r="C729" s="209"/>
      <c r="D729" s="209"/>
      <c r="E729" s="209"/>
      <c r="F729" s="209"/>
      <c r="G729" s="210"/>
    </row>
    <row r="730" spans="1:7" s="25" customFormat="1" ht="13.8" x14ac:dyDescent="0.3">
      <c r="A730" s="208"/>
      <c r="B730" s="208"/>
      <c r="C730" s="209"/>
      <c r="D730" s="209"/>
      <c r="E730" s="209"/>
      <c r="F730" s="209"/>
      <c r="G730" s="210"/>
    </row>
    <row r="731" spans="1:7" s="25" customFormat="1" ht="13.8" x14ac:dyDescent="0.3">
      <c r="A731" s="208"/>
      <c r="B731" s="208"/>
      <c r="C731" s="209"/>
      <c r="D731" s="209"/>
      <c r="E731" s="209"/>
      <c r="F731" s="209"/>
      <c r="G731" s="210"/>
    </row>
    <row r="732" spans="1:7" s="25" customFormat="1" ht="13.8" x14ac:dyDescent="0.3">
      <c r="A732" s="208"/>
      <c r="B732" s="208"/>
      <c r="C732" s="209"/>
      <c r="D732" s="209"/>
      <c r="E732" s="209"/>
      <c r="F732" s="209"/>
      <c r="G732" s="210"/>
    </row>
    <row r="733" spans="1:7" s="25" customFormat="1" ht="13.8" x14ac:dyDescent="0.3">
      <c r="A733" s="208"/>
      <c r="B733" s="208"/>
      <c r="C733" s="209"/>
      <c r="D733" s="209"/>
      <c r="E733" s="209"/>
      <c r="F733" s="209"/>
      <c r="G733" s="210"/>
    </row>
    <row r="734" spans="1:7" s="25" customFormat="1" ht="13.8" x14ac:dyDescent="0.3">
      <c r="A734" s="208"/>
      <c r="B734" s="208"/>
      <c r="C734" s="209"/>
      <c r="D734" s="209"/>
      <c r="E734" s="209"/>
      <c r="F734" s="209"/>
      <c r="G734" s="210"/>
    </row>
    <row r="735" spans="1:7" s="25" customFormat="1" ht="13.8" x14ac:dyDescent="0.3">
      <c r="A735" s="208"/>
      <c r="B735" s="208"/>
      <c r="C735" s="209"/>
      <c r="D735" s="209"/>
      <c r="E735" s="209"/>
      <c r="F735" s="209"/>
      <c r="G735" s="210"/>
    </row>
    <row r="736" spans="1:7" s="25" customFormat="1" ht="13.8" x14ac:dyDescent="0.3">
      <c r="A736" s="208"/>
      <c r="B736" s="208"/>
      <c r="C736" s="209"/>
      <c r="D736" s="209"/>
      <c r="E736" s="209"/>
      <c r="F736" s="209"/>
      <c r="G736" s="210"/>
    </row>
    <row r="737" spans="1:7" s="25" customFormat="1" ht="13.8" x14ac:dyDescent="0.3">
      <c r="A737" s="208"/>
      <c r="B737" s="208"/>
      <c r="C737" s="209"/>
      <c r="D737" s="209"/>
      <c r="E737" s="209"/>
      <c r="F737" s="209"/>
      <c r="G737" s="210"/>
    </row>
    <row r="738" spans="1:7" s="25" customFormat="1" ht="13.8" x14ac:dyDescent="0.3">
      <c r="A738" s="208"/>
      <c r="B738" s="208"/>
      <c r="C738" s="209"/>
      <c r="D738" s="209"/>
      <c r="E738" s="209"/>
      <c r="F738" s="209"/>
      <c r="G738" s="210"/>
    </row>
    <row r="739" spans="1:7" s="25" customFormat="1" ht="13.8" x14ac:dyDescent="0.3">
      <c r="A739" s="208"/>
      <c r="B739" s="208"/>
      <c r="C739" s="209"/>
      <c r="D739" s="209"/>
      <c r="E739" s="209"/>
      <c r="F739" s="209"/>
      <c r="G739" s="210"/>
    </row>
    <row r="740" spans="1:7" s="25" customFormat="1" ht="13.8" x14ac:dyDescent="0.3">
      <c r="A740" s="208"/>
      <c r="B740" s="208"/>
      <c r="C740" s="209"/>
      <c r="D740" s="209"/>
      <c r="E740" s="209"/>
      <c r="F740" s="209"/>
      <c r="G740" s="210"/>
    </row>
    <row r="741" spans="1:7" s="25" customFormat="1" ht="13.8" x14ac:dyDescent="0.3">
      <c r="A741" s="208"/>
      <c r="B741" s="208"/>
      <c r="C741" s="209"/>
      <c r="D741" s="209"/>
      <c r="E741" s="209"/>
      <c r="F741" s="209"/>
      <c r="G741" s="210"/>
    </row>
    <row r="742" spans="1:7" s="25" customFormat="1" ht="13.8" x14ac:dyDescent="0.3">
      <c r="A742" s="208"/>
      <c r="B742" s="208"/>
      <c r="C742" s="209"/>
      <c r="D742" s="209"/>
      <c r="E742" s="209"/>
      <c r="F742" s="209"/>
      <c r="G742" s="210"/>
    </row>
    <row r="743" spans="1:7" s="25" customFormat="1" ht="13.8" x14ac:dyDescent="0.3">
      <c r="A743" s="208"/>
      <c r="B743" s="208"/>
      <c r="C743" s="209"/>
      <c r="D743" s="209"/>
      <c r="E743" s="209"/>
      <c r="F743" s="209"/>
      <c r="G743" s="210"/>
    </row>
    <row r="744" spans="1:7" s="25" customFormat="1" ht="13.8" x14ac:dyDescent="0.3">
      <c r="A744" s="208"/>
      <c r="B744" s="208"/>
      <c r="C744" s="209"/>
      <c r="D744" s="209"/>
      <c r="E744" s="209"/>
      <c r="F744" s="209"/>
      <c r="G744" s="210"/>
    </row>
    <row r="745" spans="1:7" s="25" customFormat="1" ht="13.8" x14ac:dyDescent="0.3">
      <c r="A745" s="208"/>
      <c r="B745" s="208"/>
      <c r="C745" s="209"/>
      <c r="D745" s="209"/>
      <c r="E745" s="209"/>
      <c r="F745" s="209"/>
      <c r="G745" s="210"/>
    </row>
    <row r="746" spans="1:7" s="25" customFormat="1" ht="13.8" x14ac:dyDescent="0.3">
      <c r="A746" s="208"/>
      <c r="B746" s="208"/>
      <c r="C746" s="209"/>
      <c r="D746" s="209"/>
      <c r="E746" s="209"/>
      <c r="F746" s="209"/>
      <c r="G746" s="210"/>
    </row>
    <row r="747" spans="1:7" s="25" customFormat="1" ht="13.8" x14ac:dyDescent="0.3">
      <c r="A747" s="208"/>
      <c r="B747" s="208"/>
      <c r="C747" s="209"/>
      <c r="D747" s="209"/>
      <c r="E747" s="209"/>
      <c r="F747" s="209"/>
      <c r="G747" s="210"/>
    </row>
    <row r="748" spans="1:7" s="25" customFormat="1" ht="13.8" x14ac:dyDescent="0.3">
      <c r="A748" s="208"/>
      <c r="B748" s="208"/>
      <c r="C748" s="209"/>
      <c r="D748" s="209"/>
      <c r="E748" s="209"/>
      <c r="F748" s="209"/>
      <c r="G748" s="210"/>
    </row>
    <row r="749" spans="1:7" s="25" customFormat="1" ht="13.8" x14ac:dyDescent="0.3">
      <c r="A749" s="208"/>
      <c r="B749" s="208"/>
      <c r="C749" s="209"/>
      <c r="D749" s="209"/>
      <c r="E749" s="209"/>
      <c r="F749" s="209"/>
      <c r="G749" s="210"/>
    </row>
    <row r="750" spans="1:7" s="25" customFormat="1" ht="13.8" x14ac:dyDescent="0.3">
      <c r="A750" s="208"/>
      <c r="B750" s="208"/>
      <c r="C750" s="209"/>
      <c r="D750" s="209"/>
      <c r="E750" s="209"/>
      <c r="F750" s="209"/>
      <c r="G750" s="210"/>
    </row>
    <row r="751" spans="1:7" s="25" customFormat="1" ht="13.8" x14ac:dyDescent="0.3">
      <c r="A751" s="208"/>
      <c r="B751" s="208"/>
      <c r="C751" s="209"/>
      <c r="D751" s="209"/>
      <c r="E751" s="209"/>
      <c r="F751" s="209"/>
      <c r="G751" s="210"/>
    </row>
    <row r="752" spans="1:7" s="25" customFormat="1" ht="13.8" x14ac:dyDescent="0.3">
      <c r="A752" s="208"/>
      <c r="B752" s="208"/>
      <c r="C752" s="209"/>
      <c r="D752" s="209"/>
      <c r="E752" s="209"/>
      <c r="F752" s="209"/>
      <c r="G752" s="210"/>
    </row>
    <row r="753" spans="1:7" s="25" customFormat="1" ht="13.8" x14ac:dyDescent="0.3">
      <c r="A753" s="208"/>
      <c r="B753" s="208"/>
      <c r="C753" s="209"/>
      <c r="D753" s="209"/>
      <c r="E753" s="209"/>
      <c r="F753" s="209"/>
      <c r="G753" s="210"/>
    </row>
    <row r="754" spans="1:7" s="25" customFormat="1" ht="13.8" x14ac:dyDescent="0.3">
      <c r="A754" s="208"/>
      <c r="B754" s="208"/>
      <c r="C754" s="209"/>
      <c r="D754" s="209"/>
      <c r="E754" s="209"/>
      <c r="F754" s="209"/>
      <c r="G754" s="210"/>
    </row>
    <row r="755" spans="1:7" s="25" customFormat="1" ht="13.8" x14ac:dyDescent="0.3">
      <c r="A755" s="208"/>
      <c r="B755" s="208"/>
      <c r="C755" s="209"/>
      <c r="D755" s="209"/>
      <c r="E755" s="209"/>
      <c r="F755" s="209"/>
      <c r="G755" s="210"/>
    </row>
    <row r="756" spans="1:7" s="25" customFormat="1" ht="13.8" x14ac:dyDescent="0.3">
      <c r="A756" s="208"/>
      <c r="B756" s="208"/>
      <c r="C756" s="209"/>
      <c r="D756" s="209"/>
      <c r="E756" s="209"/>
      <c r="F756" s="209"/>
      <c r="G756" s="210"/>
    </row>
    <row r="757" spans="1:7" s="25" customFormat="1" ht="13.8" x14ac:dyDescent="0.3">
      <c r="A757" s="208"/>
      <c r="B757" s="208"/>
      <c r="C757" s="209"/>
      <c r="D757" s="209"/>
      <c r="E757" s="209"/>
      <c r="F757" s="209"/>
      <c r="G757" s="210"/>
    </row>
    <row r="758" spans="1:7" s="25" customFormat="1" ht="13.8" x14ac:dyDescent="0.3">
      <c r="A758" s="208"/>
      <c r="B758" s="208"/>
      <c r="C758" s="209"/>
      <c r="D758" s="209"/>
      <c r="E758" s="209"/>
      <c r="F758" s="209"/>
      <c r="G758" s="210"/>
    </row>
    <row r="759" spans="1:7" s="25" customFormat="1" ht="13.8" x14ac:dyDescent="0.3">
      <c r="A759" s="208"/>
      <c r="B759" s="208"/>
      <c r="C759" s="209"/>
      <c r="D759" s="209"/>
      <c r="E759" s="209"/>
      <c r="F759" s="209"/>
      <c r="G759" s="210"/>
    </row>
    <row r="760" spans="1:7" s="25" customFormat="1" ht="13.8" x14ac:dyDescent="0.3">
      <c r="A760" s="208"/>
      <c r="B760" s="208"/>
      <c r="C760" s="209"/>
      <c r="D760" s="209"/>
      <c r="E760" s="209"/>
      <c r="F760" s="209"/>
      <c r="G760" s="210"/>
    </row>
    <row r="761" spans="1:7" s="25" customFormat="1" ht="13.8" x14ac:dyDescent="0.3">
      <c r="A761" s="208"/>
      <c r="B761" s="208"/>
      <c r="C761" s="209"/>
      <c r="D761" s="209"/>
      <c r="E761" s="209"/>
      <c r="F761" s="209"/>
      <c r="G761" s="210"/>
    </row>
    <row r="762" spans="1:7" s="25" customFormat="1" ht="13.8" x14ac:dyDescent="0.3">
      <c r="A762" s="208"/>
      <c r="B762" s="208"/>
      <c r="C762" s="209"/>
      <c r="D762" s="209"/>
      <c r="E762" s="209"/>
      <c r="F762" s="209"/>
      <c r="G762" s="210"/>
    </row>
    <row r="763" spans="1:7" s="25" customFormat="1" ht="13.8" x14ac:dyDescent="0.3">
      <c r="A763" s="208"/>
      <c r="B763" s="208"/>
      <c r="C763" s="209"/>
      <c r="D763" s="209"/>
      <c r="E763" s="209"/>
      <c r="F763" s="209"/>
      <c r="G763" s="210"/>
    </row>
    <row r="764" spans="1:7" s="25" customFormat="1" ht="13.8" x14ac:dyDescent="0.3">
      <c r="A764" s="208"/>
      <c r="B764" s="208"/>
      <c r="C764" s="209"/>
      <c r="D764" s="209"/>
      <c r="E764" s="209"/>
      <c r="F764" s="209"/>
      <c r="G764" s="210"/>
    </row>
    <row r="765" spans="1:7" s="25" customFormat="1" ht="13.8" x14ac:dyDescent="0.3">
      <c r="A765" s="208"/>
      <c r="B765" s="208"/>
      <c r="C765" s="209"/>
      <c r="D765" s="209"/>
      <c r="E765" s="209"/>
      <c r="F765" s="209"/>
      <c r="G765" s="210"/>
    </row>
    <row r="766" spans="1:7" s="25" customFormat="1" ht="13.8" x14ac:dyDescent="0.3">
      <c r="A766" s="208"/>
      <c r="B766" s="208"/>
      <c r="C766" s="209"/>
      <c r="D766" s="209"/>
      <c r="E766" s="209"/>
      <c r="F766" s="209"/>
      <c r="G766" s="210"/>
    </row>
    <row r="767" spans="1:7" s="25" customFormat="1" ht="13.8" x14ac:dyDescent="0.3">
      <c r="A767" s="208"/>
      <c r="B767" s="208"/>
      <c r="C767" s="209"/>
      <c r="D767" s="209"/>
      <c r="E767" s="209"/>
      <c r="F767" s="209"/>
      <c r="G767" s="210"/>
    </row>
    <row r="768" spans="1:7" s="25" customFormat="1" ht="13.8" x14ac:dyDescent="0.3">
      <c r="A768" s="208"/>
      <c r="B768" s="208"/>
      <c r="C768" s="209"/>
      <c r="D768" s="209"/>
      <c r="E768" s="209"/>
      <c r="F768" s="209"/>
      <c r="G768" s="210"/>
    </row>
    <row r="769" spans="1:7" s="25" customFormat="1" ht="13.8" x14ac:dyDescent="0.3">
      <c r="A769" s="208"/>
      <c r="B769" s="208"/>
      <c r="C769" s="209"/>
      <c r="D769" s="209"/>
      <c r="E769" s="209"/>
      <c r="F769" s="209"/>
      <c r="G769" s="210"/>
    </row>
    <row r="770" spans="1:7" s="25" customFormat="1" ht="13.8" x14ac:dyDescent="0.3">
      <c r="A770" s="208"/>
      <c r="B770" s="208"/>
      <c r="C770" s="209"/>
      <c r="D770" s="209"/>
      <c r="E770" s="209"/>
      <c r="F770" s="209"/>
      <c r="G770" s="210"/>
    </row>
    <row r="771" spans="1:7" s="25" customFormat="1" ht="13.8" x14ac:dyDescent="0.3">
      <c r="A771" s="208"/>
      <c r="B771" s="208"/>
      <c r="C771" s="209"/>
      <c r="D771" s="209"/>
      <c r="E771" s="209"/>
      <c r="F771" s="209"/>
      <c r="G771" s="210"/>
    </row>
    <row r="772" spans="1:7" s="25" customFormat="1" ht="13.8" x14ac:dyDescent="0.3">
      <c r="A772" s="208"/>
      <c r="B772" s="208"/>
      <c r="C772" s="209"/>
      <c r="D772" s="209"/>
      <c r="E772" s="209"/>
      <c r="F772" s="209"/>
      <c r="G772" s="210"/>
    </row>
    <row r="773" spans="1:7" s="25" customFormat="1" ht="13.8" x14ac:dyDescent="0.3">
      <c r="A773" s="208"/>
      <c r="B773" s="208"/>
      <c r="C773" s="209"/>
      <c r="D773" s="209"/>
      <c r="E773" s="209"/>
      <c r="F773" s="209"/>
      <c r="G773" s="210"/>
    </row>
    <row r="774" spans="1:7" s="25" customFormat="1" ht="13.8" x14ac:dyDescent="0.3">
      <c r="A774" s="208"/>
      <c r="B774" s="208"/>
      <c r="C774" s="209"/>
      <c r="D774" s="209"/>
      <c r="E774" s="209"/>
      <c r="F774" s="209"/>
      <c r="G774" s="210"/>
    </row>
    <row r="775" spans="1:7" s="25" customFormat="1" ht="13.8" x14ac:dyDescent="0.3">
      <c r="A775" s="208"/>
      <c r="B775" s="208"/>
      <c r="C775" s="209"/>
      <c r="D775" s="209"/>
      <c r="E775" s="209"/>
      <c r="F775" s="209"/>
      <c r="G775" s="210"/>
    </row>
    <row r="776" spans="1:7" s="25" customFormat="1" ht="13.8" x14ac:dyDescent="0.3">
      <c r="A776" s="208"/>
      <c r="B776" s="208"/>
      <c r="C776" s="209"/>
      <c r="D776" s="209"/>
      <c r="E776" s="209"/>
      <c r="F776" s="209"/>
      <c r="G776" s="210"/>
    </row>
    <row r="777" spans="1:7" s="25" customFormat="1" ht="13.8" x14ac:dyDescent="0.3">
      <c r="A777" s="208"/>
      <c r="B777" s="208"/>
      <c r="C777" s="209"/>
      <c r="D777" s="209"/>
      <c r="E777" s="209"/>
      <c r="F777" s="209"/>
      <c r="G777" s="210"/>
    </row>
    <row r="778" spans="1:7" s="25" customFormat="1" ht="13.8" x14ac:dyDescent="0.3">
      <c r="A778" s="208"/>
      <c r="B778" s="208"/>
      <c r="C778" s="209"/>
      <c r="D778" s="209"/>
      <c r="E778" s="209"/>
      <c r="F778" s="209"/>
      <c r="G778" s="210"/>
    </row>
    <row r="779" spans="1:7" s="25" customFormat="1" ht="13.8" x14ac:dyDescent="0.3">
      <c r="A779" s="208"/>
      <c r="B779" s="208"/>
      <c r="C779" s="209"/>
      <c r="D779" s="209"/>
      <c r="E779" s="209"/>
      <c r="F779" s="209"/>
      <c r="G779" s="210"/>
    </row>
    <row r="780" spans="1:7" s="25" customFormat="1" ht="13.8" x14ac:dyDescent="0.3">
      <c r="A780" s="208"/>
      <c r="B780" s="208"/>
      <c r="C780" s="209"/>
      <c r="D780" s="209"/>
      <c r="E780" s="209"/>
      <c r="F780" s="209"/>
      <c r="G780" s="210"/>
    </row>
    <row r="781" spans="1:7" s="25" customFormat="1" ht="13.8" x14ac:dyDescent="0.3">
      <c r="A781" s="208"/>
      <c r="B781" s="208"/>
      <c r="C781" s="209"/>
      <c r="D781" s="209"/>
      <c r="E781" s="209"/>
      <c r="F781" s="209"/>
      <c r="G781" s="210"/>
    </row>
    <row r="782" spans="1:7" s="25" customFormat="1" ht="13.8" x14ac:dyDescent="0.3">
      <c r="A782" s="208"/>
      <c r="B782" s="208"/>
      <c r="C782" s="209"/>
      <c r="D782" s="209"/>
      <c r="E782" s="209"/>
      <c r="F782" s="209"/>
      <c r="G782" s="210"/>
    </row>
    <row r="783" spans="1:7" s="25" customFormat="1" ht="13.8" x14ac:dyDescent="0.3">
      <c r="A783" s="208"/>
      <c r="B783" s="208"/>
      <c r="C783" s="209"/>
      <c r="D783" s="209"/>
      <c r="E783" s="209"/>
      <c r="F783" s="209"/>
      <c r="G783" s="210"/>
    </row>
    <row r="784" spans="1:7" s="25" customFormat="1" ht="13.8" x14ac:dyDescent="0.3">
      <c r="A784" s="208"/>
      <c r="B784" s="208"/>
      <c r="C784" s="209"/>
      <c r="D784" s="209"/>
      <c r="E784" s="209"/>
      <c r="F784" s="209"/>
      <c r="G784" s="210"/>
    </row>
    <row r="785" spans="1:7" s="25" customFormat="1" ht="13.8" x14ac:dyDescent="0.3">
      <c r="A785" s="208"/>
      <c r="B785" s="208"/>
      <c r="C785" s="209"/>
      <c r="D785" s="209"/>
      <c r="E785" s="209"/>
      <c r="F785" s="209"/>
      <c r="G785" s="210"/>
    </row>
    <row r="786" spans="1:7" s="25" customFormat="1" ht="13.8" x14ac:dyDescent="0.3">
      <c r="A786" s="208"/>
      <c r="B786" s="208"/>
      <c r="C786" s="209"/>
      <c r="D786" s="209"/>
      <c r="E786" s="209"/>
      <c r="F786" s="209"/>
      <c r="G786" s="210"/>
    </row>
    <row r="787" spans="1:7" s="25" customFormat="1" ht="13.8" x14ac:dyDescent="0.3">
      <c r="A787" s="208"/>
      <c r="B787" s="208"/>
      <c r="C787" s="209"/>
      <c r="D787" s="209"/>
      <c r="E787" s="209"/>
      <c r="F787" s="209"/>
      <c r="G787" s="210"/>
    </row>
    <row r="788" spans="1:7" s="25" customFormat="1" ht="13.8" x14ac:dyDescent="0.3">
      <c r="A788" s="208"/>
      <c r="B788" s="208"/>
      <c r="C788" s="209"/>
      <c r="D788" s="209"/>
      <c r="E788" s="209"/>
      <c r="F788" s="209"/>
      <c r="G788" s="210"/>
    </row>
    <row r="789" spans="1:7" s="25" customFormat="1" ht="13.8" x14ac:dyDescent="0.3">
      <c r="A789" s="208"/>
      <c r="B789" s="208"/>
      <c r="C789" s="209"/>
      <c r="D789" s="209"/>
      <c r="E789" s="209"/>
      <c r="F789" s="209"/>
      <c r="G789" s="210"/>
    </row>
    <row r="790" spans="1:7" s="25" customFormat="1" ht="13.8" x14ac:dyDescent="0.3">
      <c r="A790" s="208"/>
      <c r="B790" s="208"/>
      <c r="C790" s="209"/>
      <c r="D790" s="209"/>
      <c r="E790" s="209"/>
      <c r="F790" s="209"/>
      <c r="G790" s="210"/>
    </row>
    <row r="791" spans="1:7" s="25" customFormat="1" ht="13.8" x14ac:dyDescent="0.3">
      <c r="A791" s="208"/>
      <c r="B791" s="208"/>
      <c r="C791" s="209"/>
      <c r="D791" s="209"/>
      <c r="E791" s="209"/>
      <c r="F791" s="209"/>
      <c r="G791" s="210"/>
    </row>
    <row r="792" spans="1:7" s="25" customFormat="1" ht="13.8" x14ac:dyDescent="0.3">
      <c r="A792" s="208"/>
      <c r="B792" s="208"/>
      <c r="C792" s="209"/>
      <c r="D792" s="209"/>
      <c r="E792" s="209"/>
      <c r="F792" s="209"/>
      <c r="G792" s="210"/>
    </row>
    <row r="793" spans="1:7" s="25" customFormat="1" ht="13.8" x14ac:dyDescent="0.3">
      <c r="A793" s="208"/>
      <c r="B793" s="208"/>
      <c r="C793" s="209"/>
      <c r="D793" s="209"/>
      <c r="E793" s="209"/>
      <c r="F793" s="209"/>
      <c r="G793" s="210"/>
    </row>
    <row r="794" spans="1:7" s="25" customFormat="1" ht="13.8" x14ac:dyDescent="0.3">
      <c r="A794" s="208"/>
      <c r="B794" s="208"/>
      <c r="C794" s="209"/>
      <c r="D794" s="209"/>
      <c r="E794" s="209"/>
      <c r="F794" s="209"/>
      <c r="G794" s="210"/>
    </row>
    <row r="795" spans="1:7" s="25" customFormat="1" ht="13.8" x14ac:dyDescent="0.3">
      <c r="A795" s="208"/>
      <c r="B795" s="208"/>
      <c r="C795" s="209"/>
      <c r="D795" s="209"/>
      <c r="E795" s="209"/>
      <c r="F795" s="209"/>
      <c r="G795" s="210"/>
    </row>
    <row r="796" spans="1:7" s="25" customFormat="1" ht="13.8" x14ac:dyDescent="0.3">
      <c r="A796" s="208"/>
      <c r="B796" s="208"/>
      <c r="C796" s="209"/>
      <c r="D796" s="209"/>
      <c r="E796" s="209"/>
      <c r="F796" s="209"/>
      <c r="G796" s="210"/>
    </row>
    <row r="797" spans="1:7" s="25" customFormat="1" ht="13.8" x14ac:dyDescent="0.3">
      <c r="A797" s="208"/>
      <c r="B797" s="208"/>
      <c r="C797" s="209"/>
      <c r="D797" s="209"/>
      <c r="E797" s="209"/>
      <c r="F797" s="209"/>
      <c r="G797" s="210"/>
    </row>
    <row r="798" spans="1:7" s="25" customFormat="1" ht="13.8" x14ac:dyDescent="0.3">
      <c r="A798" s="208"/>
      <c r="B798" s="208"/>
      <c r="C798" s="209"/>
      <c r="D798" s="209"/>
      <c r="E798" s="209"/>
      <c r="F798" s="209"/>
      <c r="G798" s="210"/>
    </row>
    <row r="799" spans="1:7" s="25" customFormat="1" ht="13.8" x14ac:dyDescent="0.3">
      <c r="A799" s="208"/>
      <c r="B799" s="208"/>
      <c r="C799" s="209"/>
      <c r="D799" s="209"/>
      <c r="E799" s="209"/>
      <c r="F799" s="209"/>
      <c r="G799" s="210"/>
    </row>
    <row r="800" spans="1:7" s="25" customFormat="1" ht="13.8" x14ac:dyDescent="0.3">
      <c r="A800" s="208"/>
      <c r="B800" s="208"/>
      <c r="C800" s="209"/>
      <c r="D800" s="209"/>
      <c r="E800" s="209"/>
      <c r="F800" s="209"/>
      <c r="G800" s="210"/>
    </row>
    <row r="801" spans="1:7" s="25" customFormat="1" ht="13.8" x14ac:dyDescent="0.3">
      <c r="A801" s="208"/>
      <c r="B801" s="208"/>
      <c r="C801" s="209"/>
      <c r="D801" s="209"/>
      <c r="E801" s="209"/>
      <c r="F801" s="209"/>
      <c r="G801" s="210"/>
    </row>
    <row r="802" spans="1:7" s="25" customFormat="1" ht="13.8" x14ac:dyDescent="0.3">
      <c r="A802" s="208"/>
      <c r="B802" s="208"/>
      <c r="C802" s="209"/>
      <c r="D802" s="209"/>
      <c r="E802" s="209"/>
      <c r="F802" s="209"/>
      <c r="G802" s="210"/>
    </row>
    <row r="803" spans="1:7" s="25" customFormat="1" ht="13.8" x14ac:dyDescent="0.3">
      <c r="A803" s="208"/>
      <c r="B803" s="208"/>
      <c r="C803" s="209"/>
      <c r="D803" s="209"/>
      <c r="E803" s="209"/>
      <c r="F803" s="209"/>
      <c r="G803" s="210"/>
    </row>
    <row r="804" spans="1:7" s="25" customFormat="1" ht="13.8" x14ac:dyDescent="0.3">
      <c r="A804" s="208"/>
      <c r="B804" s="208"/>
      <c r="C804" s="209"/>
      <c r="D804" s="209"/>
      <c r="E804" s="209"/>
      <c r="F804" s="209"/>
      <c r="G804" s="210"/>
    </row>
    <row r="805" spans="1:7" s="25" customFormat="1" ht="13.8" x14ac:dyDescent="0.3">
      <c r="A805" s="208"/>
      <c r="B805" s="208"/>
      <c r="C805" s="209"/>
      <c r="D805" s="209"/>
      <c r="E805" s="209"/>
      <c r="F805" s="209"/>
      <c r="G805" s="210"/>
    </row>
    <row r="806" spans="1:7" s="25" customFormat="1" ht="13.8" x14ac:dyDescent="0.3">
      <c r="A806" s="208"/>
      <c r="B806" s="208"/>
      <c r="C806" s="209"/>
      <c r="D806" s="209"/>
      <c r="E806" s="209"/>
      <c r="F806" s="209"/>
      <c r="G806" s="210"/>
    </row>
    <row r="807" spans="1:7" s="25" customFormat="1" ht="13.8" x14ac:dyDescent="0.3">
      <c r="A807" s="208"/>
      <c r="B807" s="208"/>
      <c r="C807" s="209"/>
      <c r="D807" s="209"/>
      <c r="E807" s="209"/>
      <c r="F807" s="209"/>
      <c r="G807" s="210"/>
    </row>
    <row r="808" spans="1:7" s="25" customFormat="1" ht="13.8" x14ac:dyDescent="0.3">
      <c r="A808" s="208"/>
      <c r="B808" s="208"/>
      <c r="C808" s="209"/>
      <c r="D808" s="209"/>
      <c r="E808" s="209"/>
      <c r="F808" s="209"/>
      <c r="G808" s="210"/>
    </row>
    <row r="809" spans="1:7" s="25" customFormat="1" ht="13.8" x14ac:dyDescent="0.3">
      <c r="A809" s="208"/>
      <c r="B809" s="208"/>
      <c r="C809" s="209"/>
      <c r="D809" s="209"/>
      <c r="E809" s="209"/>
      <c r="F809" s="209"/>
      <c r="G809" s="210"/>
    </row>
    <row r="810" spans="1:7" s="25" customFormat="1" ht="13.8" x14ac:dyDescent="0.3">
      <c r="A810" s="208"/>
      <c r="B810" s="208"/>
      <c r="C810" s="209"/>
      <c r="D810" s="209"/>
      <c r="E810" s="209"/>
      <c r="F810" s="209"/>
      <c r="G810" s="210"/>
    </row>
    <row r="811" spans="1:7" s="25" customFormat="1" ht="13.8" x14ac:dyDescent="0.3">
      <c r="A811" s="208"/>
      <c r="B811" s="208"/>
      <c r="C811" s="209"/>
      <c r="D811" s="209"/>
      <c r="E811" s="209"/>
      <c r="F811" s="209"/>
      <c r="G811" s="210"/>
    </row>
    <row r="812" spans="1:7" s="25" customFormat="1" ht="13.8" x14ac:dyDescent="0.3">
      <c r="A812" s="208"/>
      <c r="B812" s="208"/>
      <c r="C812" s="209"/>
      <c r="D812" s="209"/>
      <c r="E812" s="209"/>
      <c r="F812" s="209"/>
      <c r="G812" s="210"/>
    </row>
    <row r="813" spans="1:7" s="25" customFormat="1" ht="13.8" x14ac:dyDescent="0.3">
      <c r="A813" s="208"/>
      <c r="B813" s="208"/>
      <c r="C813" s="209"/>
      <c r="D813" s="209"/>
      <c r="E813" s="209"/>
      <c r="F813" s="209"/>
      <c r="G813" s="210"/>
    </row>
    <row r="814" spans="1:7" s="25" customFormat="1" ht="13.8" x14ac:dyDescent="0.3">
      <c r="A814" s="208"/>
      <c r="B814" s="208"/>
      <c r="C814" s="209"/>
      <c r="D814" s="209"/>
      <c r="E814" s="209"/>
      <c r="F814" s="209"/>
      <c r="G814" s="210"/>
    </row>
    <row r="815" spans="1:7" s="25" customFormat="1" ht="13.8" x14ac:dyDescent="0.3">
      <c r="A815" s="208"/>
      <c r="B815" s="208"/>
      <c r="C815" s="209"/>
      <c r="D815" s="209"/>
      <c r="E815" s="209"/>
      <c r="F815" s="209"/>
      <c r="G815" s="210"/>
    </row>
    <row r="816" spans="1:7" s="25" customFormat="1" ht="13.8" x14ac:dyDescent="0.3">
      <c r="A816" s="208"/>
      <c r="B816" s="208"/>
      <c r="C816" s="209"/>
      <c r="D816" s="209"/>
      <c r="E816" s="209"/>
      <c r="F816" s="209"/>
      <c r="G816" s="210"/>
    </row>
    <row r="817" spans="1:7" s="25" customFormat="1" ht="13.8" x14ac:dyDescent="0.3">
      <c r="A817" s="208"/>
      <c r="B817" s="208"/>
      <c r="C817" s="209"/>
      <c r="D817" s="209"/>
      <c r="E817" s="209"/>
      <c r="F817" s="209"/>
      <c r="G817" s="210"/>
    </row>
    <row r="818" spans="1:7" s="25" customFormat="1" ht="13.8" x14ac:dyDescent="0.3">
      <c r="A818" s="208"/>
      <c r="B818" s="208"/>
      <c r="C818" s="209"/>
      <c r="D818" s="209"/>
      <c r="E818" s="209"/>
      <c r="F818" s="209"/>
      <c r="G818" s="210"/>
    </row>
    <row r="819" spans="1:7" s="25" customFormat="1" ht="13.8" x14ac:dyDescent="0.3">
      <c r="A819" s="208"/>
      <c r="B819" s="208"/>
      <c r="C819" s="209"/>
      <c r="D819" s="209"/>
      <c r="E819" s="209"/>
      <c r="F819" s="209"/>
      <c r="G819" s="210"/>
    </row>
    <row r="820" spans="1:7" s="25" customFormat="1" ht="13.8" x14ac:dyDescent="0.3">
      <c r="A820" s="208"/>
      <c r="B820" s="208"/>
      <c r="C820" s="209"/>
      <c r="D820" s="209"/>
      <c r="E820" s="209"/>
      <c r="F820" s="209"/>
      <c r="G820" s="210"/>
    </row>
    <row r="821" spans="1:7" s="25" customFormat="1" ht="13.8" x14ac:dyDescent="0.3">
      <c r="A821" s="208"/>
      <c r="B821" s="208"/>
      <c r="C821" s="209"/>
      <c r="D821" s="209"/>
      <c r="E821" s="209"/>
      <c r="F821" s="209"/>
      <c r="G821" s="210"/>
    </row>
    <row r="822" spans="1:7" s="25" customFormat="1" ht="13.8" x14ac:dyDescent="0.3">
      <c r="A822" s="208"/>
      <c r="B822" s="208"/>
      <c r="C822" s="209"/>
      <c r="D822" s="209"/>
      <c r="E822" s="209"/>
      <c r="F822" s="209"/>
      <c r="G822" s="210"/>
    </row>
    <row r="823" spans="1:7" s="25" customFormat="1" ht="13.8" x14ac:dyDescent="0.3">
      <c r="A823" s="208"/>
      <c r="B823" s="208"/>
      <c r="C823" s="209"/>
      <c r="D823" s="209"/>
      <c r="E823" s="209"/>
      <c r="F823" s="209"/>
      <c r="G823" s="210"/>
    </row>
    <row r="824" spans="1:7" s="25" customFormat="1" ht="13.8" x14ac:dyDescent="0.3">
      <c r="A824" s="208"/>
      <c r="B824" s="208"/>
      <c r="C824" s="209"/>
      <c r="D824" s="209"/>
      <c r="E824" s="209"/>
      <c r="F824" s="209"/>
      <c r="G824" s="210"/>
    </row>
    <row r="825" spans="1:7" s="25" customFormat="1" ht="13.8" x14ac:dyDescent="0.3">
      <c r="A825" s="208"/>
      <c r="B825" s="208"/>
      <c r="C825" s="209"/>
      <c r="D825" s="209"/>
      <c r="E825" s="209"/>
      <c r="F825" s="209"/>
      <c r="G825" s="210"/>
    </row>
    <row r="826" spans="1:7" s="25" customFormat="1" ht="13.8" x14ac:dyDescent="0.3">
      <c r="A826" s="208"/>
      <c r="B826" s="208"/>
      <c r="C826" s="209"/>
      <c r="D826" s="209"/>
      <c r="E826" s="209"/>
      <c r="F826" s="209"/>
      <c r="G826" s="210"/>
    </row>
    <row r="827" spans="1:7" s="25" customFormat="1" ht="13.8" x14ac:dyDescent="0.3">
      <c r="A827" s="208"/>
      <c r="B827" s="208"/>
      <c r="C827" s="209"/>
      <c r="D827" s="209"/>
      <c r="E827" s="209"/>
      <c r="F827" s="209"/>
      <c r="G827" s="210"/>
    </row>
    <row r="828" spans="1:7" s="25" customFormat="1" ht="13.8" x14ac:dyDescent="0.3">
      <c r="A828" s="208"/>
      <c r="B828" s="208"/>
      <c r="C828" s="209"/>
      <c r="D828" s="209"/>
      <c r="E828" s="209"/>
      <c r="F828" s="209"/>
      <c r="G828" s="210"/>
    </row>
    <row r="829" spans="1:7" s="25" customFormat="1" ht="13.8" x14ac:dyDescent="0.3">
      <c r="A829" s="208"/>
      <c r="B829" s="208"/>
      <c r="C829" s="209"/>
      <c r="D829" s="209"/>
      <c r="E829" s="209"/>
      <c r="F829" s="209"/>
      <c r="G829" s="210"/>
    </row>
    <row r="830" spans="1:7" s="25" customFormat="1" ht="13.8" x14ac:dyDescent="0.3">
      <c r="A830" s="208"/>
      <c r="B830" s="208"/>
      <c r="C830" s="209"/>
      <c r="D830" s="209"/>
      <c r="E830" s="209"/>
      <c r="F830" s="209"/>
      <c r="G830" s="210"/>
    </row>
    <row r="831" spans="1:7" s="25" customFormat="1" ht="13.8" x14ac:dyDescent="0.3">
      <c r="A831" s="208"/>
      <c r="B831" s="208"/>
      <c r="C831" s="209"/>
      <c r="D831" s="209"/>
      <c r="E831" s="209"/>
      <c r="F831" s="209"/>
      <c r="G831" s="210"/>
    </row>
    <row r="832" spans="1:7" s="25" customFormat="1" ht="13.8" x14ac:dyDescent="0.3">
      <c r="A832" s="208"/>
      <c r="B832" s="208"/>
      <c r="C832" s="209"/>
      <c r="D832" s="209"/>
      <c r="E832" s="209"/>
      <c r="F832" s="209"/>
      <c r="G832" s="210"/>
    </row>
    <row r="833" spans="1:7" s="25" customFormat="1" ht="13.8" x14ac:dyDescent="0.3">
      <c r="A833" s="208"/>
      <c r="B833" s="208"/>
      <c r="C833" s="209"/>
      <c r="D833" s="209"/>
      <c r="E833" s="209"/>
      <c r="F833" s="209"/>
      <c r="G833" s="210"/>
    </row>
    <row r="834" spans="1:7" s="25" customFormat="1" ht="13.8" x14ac:dyDescent="0.3">
      <c r="A834" s="208"/>
      <c r="B834" s="208"/>
      <c r="C834" s="209"/>
      <c r="D834" s="209"/>
      <c r="E834" s="209"/>
      <c r="F834" s="209"/>
      <c r="G834" s="210"/>
    </row>
    <row r="835" spans="1:7" s="25" customFormat="1" ht="13.8" x14ac:dyDescent="0.3">
      <c r="A835" s="208"/>
      <c r="B835" s="208"/>
      <c r="C835" s="209"/>
      <c r="D835" s="209"/>
      <c r="E835" s="209"/>
      <c r="F835" s="209"/>
      <c r="G835" s="210"/>
    </row>
    <row r="836" spans="1:7" s="25" customFormat="1" ht="13.8" x14ac:dyDescent="0.3">
      <c r="A836" s="208"/>
      <c r="B836" s="208"/>
      <c r="C836" s="209"/>
      <c r="D836" s="209"/>
      <c r="E836" s="209"/>
      <c r="F836" s="209"/>
      <c r="G836" s="210"/>
    </row>
    <row r="837" spans="1:7" s="25" customFormat="1" ht="13.8" x14ac:dyDescent="0.3">
      <c r="A837" s="208"/>
      <c r="B837" s="208"/>
      <c r="C837" s="209"/>
      <c r="D837" s="209"/>
      <c r="E837" s="209"/>
      <c r="F837" s="209"/>
      <c r="G837" s="210"/>
    </row>
    <row r="838" spans="1:7" s="25" customFormat="1" ht="13.8" x14ac:dyDescent="0.3">
      <c r="A838" s="208"/>
      <c r="B838" s="208"/>
      <c r="C838" s="209"/>
      <c r="D838" s="209"/>
      <c r="E838" s="209"/>
      <c r="F838" s="209"/>
      <c r="G838" s="210"/>
    </row>
    <row r="839" spans="1:7" s="25" customFormat="1" ht="13.8" x14ac:dyDescent="0.3">
      <c r="A839" s="208"/>
      <c r="B839" s="208"/>
      <c r="C839" s="209"/>
      <c r="D839" s="209"/>
      <c r="E839" s="209"/>
      <c r="F839" s="209"/>
      <c r="G839" s="210"/>
    </row>
    <row r="840" spans="1:7" s="25" customFormat="1" ht="13.8" x14ac:dyDescent="0.3">
      <c r="A840" s="208"/>
      <c r="B840" s="208"/>
      <c r="C840" s="209"/>
      <c r="D840" s="209"/>
      <c r="E840" s="209"/>
      <c r="F840" s="209"/>
      <c r="G840" s="210"/>
    </row>
    <row r="841" spans="1:7" s="25" customFormat="1" ht="13.8" x14ac:dyDescent="0.3">
      <c r="A841" s="208"/>
      <c r="B841" s="208"/>
      <c r="C841" s="209"/>
      <c r="D841" s="209"/>
      <c r="E841" s="209"/>
      <c r="F841" s="209"/>
      <c r="G841" s="210"/>
    </row>
    <row r="842" spans="1:7" s="25" customFormat="1" ht="13.8" x14ac:dyDescent="0.3">
      <c r="A842" s="208"/>
      <c r="B842" s="208"/>
      <c r="C842" s="209"/>
      <c r="D842" s="209"/>
      <c r="E842" s="209"/>
      <c r="F842" s="209"/>
      <c r="G842" s="210"/>
    </row>
    <row r="843" spans="1:7" s="25" customFormat="1" ht="13.8" x14ac:dyDescent="0.3">
      <c r="A843" s="208"/>
      <c r="B843" s="208"/>
      <c r="C843" s="209"/>
      <c r="D843" s="209"/>
      <c r="E843" s="209"/>
      <c r="F843" s="209"/>
      <c r="G843" s="210"/>
    </row>
    <row r="844" spans="1:7" s="25" customFormat="1" ht="13.8" x14ac:dyDescent="0.3">
      <c r="A844" s="208"/>
      <c r="B844" s="208"/>
      <c r="C844" s="209"/>
      <c r="D844" s="209"/>
      <c r="E844" s="209"/>
      <c r="F844" s="209"/>
      <c r="G844" s="210"/>
    </row>
    <row r="845" spans="1:7" s="25" customFormat="1" ht="13.8" x14ac:dyDescent="0.3">
      <c r="A845" s="208"/>
      <c r="B845" s="208"/>
      <c r="C845" s="209"/>
      <c r="D845" s="209"/>
      <c r="E845" s="209"/>
      <c r="F845" s="209"/>
      <c r="G845" s="210"/>
    </row>
    <row r="846" spans="1:7" s="25" customFormat="1" ht="13.8" x14ac:dyDescent="0.3">
      <c r="A846" s="208"/>
      <c r="B846" s="208"/>
      <c r="C846" s="209"/>
      <c r="D846" s="209"/>
      <c r="E846" s="209"/>
      <c r="F846" s="209"/>
      <c r="G846" s="210"/>
    </row>
    <row r="847" spans="1:7" s="25" customFormat="1" ht="13.8" x14ac:dyDescent="0.3">
      <c r="A847" s="208"/>
      <c r="B847" s="208"/>
      <c r="C847" s="209"/>
      <c r="D847" s="209"/>
      <c r="E847" s="209"/>
      <c r="F847" s="209"/>
      <c r="G847" s="210"/>
    </row>
    <row r="848" spans="1:7" s="25" customFormat="1" ht="13.8" x14ac:dyDescent="0.3">
      <c r="A848" s="208"/>
      <c r="B848" s="208"/>
      <c r="C848" s="209"/>
      <c r="D848" s="209"/>
      <c r="E848" s="209"/>
      <c r="F848" s="209"/>
      <c r="G848" s="210"/>
    </row>
    <row r="849" spans="1:7" s="25" customFormat="1" ht="13.8" x14ac:dyDescent="0.3">
      <c r="A849" s="208"/>
      <c r="B849" s="208"/>
      <c r="C849" s="209"/>
      <c r="D849" s="209"/>
      <c r="E849" s="209"/>
      <c r="F849" s="209"/>
      <c r="G849" s="210"/>
    </row>
    <row r="850" spans="1:7" s="25" customFormat="1" ht="13.8" x14ac:dyDescent="0.3">
      <c r="A850" s="208"/>
      <c r="B850" s="208"/>
      <c r="C850" s="209"/>
      <c r="D850" s="209"/>
      <c r="E850" s="209"/>
      <c r="F850" s="209"/>
      <c r="G850" s="210"/>
    </row>
    <row r="851" spans="1:7" s="25" customFormat="1" ht="13.8" x14ac:dyDescent="0.3">
      <c r="A851" s="208"/>
      <c r="B851" s="208"/>
      <c r="C851" s="209"/>
      <c r="D851" s="209"/>
      <c r="E851" s="209"/>
      <c r="F851" s="209"/>
      <c r="G851" s="210"/>
    </row>
    <row r="852" spans="1:7" s="25" customFormat="1" ht="13.8" x14ac:dyDescent="0.3">
      <c r="A852" s="208"/>
      <c r="B852" s="208"/>
      <c r="C852" s="209"/>
      <c r="D852" s="209"/>
      <c r="E852" s="209"/>
      <c r="F852" s="209"/>
      <c r="G852" s="210"/>
    </row>
    <row r="853" spans="1:7" s="25" customFormat="1" ht="13.8" x14ac:dyDescent="0.3">
      <c r="A853" s="208"/>
      <c r="B853" s="208"/>
      <c r="C853" s="209"/>
      <c r="D853" s="209"/>
      <c r="E853" s="209"/>
      <c r="F853" s="209"/>
      <c r="G853" s="210"/>
    </row>
    <row r="854" spans="1:7" s="25" customFormat="1" ht="13.8" x14ac:dyDescent="0.3">
      <c r="A854" s="208"/>
      <c r="B854" s="208"/>
      <c r="C854" s="209"/>
      <c r="D854" s="209"/>
      <c r="E854" s="209"/>
      <c r="F854" s="209"/>
      <c r="G854" s="210"/>
    </row>
    <row r="855" spans="1:7" s="25" customFormat="1" ht="13.8" x14ac:dyDescent="0.3">
      <c r="A855" s="208"/>
      <c r="B855" s="208"/>
      <c r="C855" s="209"/>
      <c r="D855" s="209"/>
      <c r="E855" s="209"/>
      <c r="F855" s="209"/>
      <c r="G855" s="210"/>
    </row>
    <row r="856" spans="1:7" s="25" customFormat="1" ht="13.8" x14ac:dyDescent="0.3">
      <c r="A856" s="208"/>
      <c r="B856" s="208"/>
      <c r="C856" s="209"/>
      <c r="D856" s="209"/>
      <c r="E856" s="209"/>
      <c r="F856" s="209"/>
      <c r="G856" s="210"/>
    </row>
    <row r="857" spans="1:7" s="25" customFormat="1" ht="13.8" x14ac:dyDescent="0.3">
      <c r="A857" s="208"/>
      <c r="B857" s="208"/>
      <c r="C857" s="209"/>
      <c r="D857" s="209"/>
      <c r="E857" s="209"/>
      <c r="F857" s="209"/>
      <c r="G857" s="210"/>
    </row>
    <row r="858" spans="1:7" s="25" customFormat="1" ht="13.8" x14ac:dyDescent="0.3">
      <c r="A858" s="208"/>
      <c r="B858" s="208"/>
      <c r="C858" s="209"/>
      <c r="D858" s="209"/>
      <c r="E858" s="209"/>
      <c r="F858" s="209"/>
      <c r="G858" s="210"/>
    </row>
    <row r="859" spans="1:7" s="25" customFormat="1" ht="13.8" x14ac:dyDescent="0.3">
      <c r="A859" s="208"/>
      <c r="B859" s="208"/>
      <c r="C859" s="209"/>
      <c r="D859" s="209"/>
      <c r="E859" s="209"/>
      <c r="F859" s="209"/>
      <c r="G859" s="210"/>
    </row>
    <row r="860" spans="1:7" s="25" customFormat="1" ht="13.8" x14ac:dyDescent="0.3">
      <c r="A860" s="208"/>
      <c r="B860" s="208"/>
      <c r="C860" s="209"/>
      <c r="D860" s="209"/>
      <c r="E860" s="209"/>
      <c r="F860" s="209"/>
      <c r="G860" s="210"/>
    </row>
    <row r="861" spans="1:7" s="25" customFormat="1" ht="13.8" x14ac:dyDescent="0.3">
      <c r="A861" s="208"/>
      <c r="B861" s="208"/>
      <c r="C861" s="209"/>
      <c r="D861" s="209"/>
      <c r="E861" s="209"/>
      <c r="F861" s="209"/>
      <c r="G861" s="210"/>
    </row>
    <row r="862" spans="1:7" s="25" customFormat="1" ht="13.8" x14ac:dyDescent="0.3">
      <c r="A862" s="208"/>
      <c r="B862" s="208"/>
      <c r="C862" s="209"/>
      <c r="D862" s="209"/>
      <c r="E862" s="209"/>
      <c r="F862" s="209"/>
      <c r="G862" s="210"/>
    </row>
    <row r="863" spans="1:7" s="25" customFormat="1" ht="13.8" x14ac:dyDescent="0.3">
      <c r="A863" s="208"/>
      <c r="B863" s="208"/>
      <c r="C863" s="209"/>
      <c r="D863" s="209"/>
      <c r="E863" s="209"/>
      <c r="F863" s="209"/>
      <c r="G863" s="210"/>
    </row>
    <row r="864" spans="1:7" s="25" customFormat="1" ht="13.8" x14ac:dyDescent="0.3">
      <c r="A864" s="208"/>
      <c r="B864" s="208"/>
      <c r="C864" s="209"/>
      <c r="D864" s="209"/>
      <c r="E864" s="209"/>
      <c r="F864" s="209"/>
      <c r="G864" s="210"/>
    </row>
    <row r="865" spans="1:7" s="25" customFormat="1" ht="13.8" x14ac:dyDescent="0.3">
      <c r="A865" s="208"/>
      <c r="B865" s="208"/>
      <c r="C865" s="209"/>
      <c r="D865" s="209"/>
      <c r="E865" s="209"/>
      <c r="F865" s="209"/>
      <c r="G865" s="210"/>
    </row>
    <row r="866" spans="1:7" s="25" customFormat="1" ht="13.8" x14ac:dyDescent="0.3">
      <c r="A866" s="208"/>
      <c r="B866" s="208"/>
      <c r="C866" s="209"/>
      <c r="D866" s="209"/>
      <c r="E866" s="209"/>
      <c r="F866" s="209"/>
      <c r="G866" s="210"/>
    </row>
    <row r="867" spans="1:7" s="25" customFormat="1" ht="13.8" x14ac:dyDescent="0.3">
      <c r="A867" s="208"/>
      <c r="B867" s="208"/>
      <c r="C867" s="209"/>
      <c r="D867" s="209"/>
      <c r="E867" s="209"/>
      <c r="F867" s="209"/>
      <c r="G867" s="210"/>
    </row>
    <row r="868" spans="1:7" s="25" customFormat="1" ht="13.8" x14ac:dyDescent="0.3">
      <c r="A868" s="208"/>
      <c r="B868" s="208"/>
      <c r="C868" s="209"/>
      <c r="D868" s="209"/>
      <c r="E868" s="209"/>
      <c r="F868" s="209"/>
      <c r="G868" s="210"/>
    </row>
    <row r="869" spans="1:7" s="25" customFormat="1" ht="13.8" x14ac:dyDescent="0.3">
      <c r="A869" s="208"/>
      <c r="B869" s="208"/>
      <c r="C869" s="209"/>
      <c r="D869" s="209"/>
      <c r="E869" s="209"/>
      <c r="F869" s="209"/>
      <c r="G869" s="210"/>
    </row>
    <row r="870" spans="1:7" s="25" customFormat="1" ht="13.8" x14ac:dyDescent="0.3">
      <c r="A870" s="208"/>
      <c r="B870" s="208"/>
      <c r="C870" s="209"/>
      <c r="D870" s="209"/>
      <c r="E870" s="209"/>
      <c r="F870" s="209"/>
      <c r="G870" s="210"/>
    </row>
    <row r="871" spans="1:7" s="25" customFormat="1" ht="13.8" x14ac:dyDescent="0.3">
      <c r="A871" s="208"/>
      <c r="B871" s="208"/>
      <c r="C871" s="209"/>
      <c r="D871" s="209"/>
      <c r="E871" s="209"/>
      <c r="F871" s="209"/>
      <c r="G871" s="210"/>
    </row>
    <row r="872" spans="1:7" s="25" customFormat="1" ht="13.8" x14ac:dyDescent="0.3">
      <c r="A872" s="208"/>
      <c r="B872" s="208"/>
      <c r="C872" s="209"/>
      <c r="D872" s="209"/>
      <c r="E872" s="209"/>
      <c r="F872" s="209"/>
      <c r="G872" s="210"/>
    </row>
    <row r="873" spans="1:7" s="25" customFormat="1" ht="13.8" x14ac:dyDescent="0.3">
      <c r="A873" s="208"/>
      <c r="B873" s="208"/>
      <c r="C873" s="209"/>
      <c r="D873" s="209"/>
      <c r="E873" s="209"/>
      <c r="F873" s="209"/>
      <c r="G873" s="210"/>
    </row>
    <row r="874" spans="1:7" s="25" customFormat="1" ht="13.8" x14ac:dyDescent="0.3">
      <c r="A874" s="208"/>
      <c r="B874" s="208"/>
      <c r="C874" s="209"/>
      <c r="D874" s="209"/>
      <c r="E874" s="209"/>
      <c r="F874" s="209"/>
      <c r="G874" s="210"/>
    </row>
    <row r="875" spans="1:7" s="25" customFormat="1" ht="13.8" x14ac:dyDescent="0.3">
      <c r="A875" s="208"/>
      <c r="B875" s="208"/>
      <c r="C875" s="209"/>
      <c r="D875" s="209"/>
      <c r="E875" s="209"/>
      <c r="F875" s="209"/>
      <c r="G875" s="210"/>
    </row>
    <row r="876" spans="1:7" s="25" customFormat="1" ht="13.8" x14ac:dyDescent="0.3">
      <c r="A876" s="208"/>
      <c r="B876" s="208"/>
      <c r="C876" s="209"/>
      <c r="D876" s="209"/>
      <c r="E876" s="209"/>
      <c r="F876" s="209"/>
      <c r="G876" s="210"/>
    </row>
    <row r="877" spans="1:7" s="25" customFormat="1" ht="13.8" x14ac:dyDescent="0.3">
      <c r="A877" s="208"/>
      <c r="B877" s="208"/>
      <c r="C877" s="209"/>
      <c r="D877" s="209"/>
      <c r="E877" s="209"/>
      <c r="F877" s="209"/>
      <c r="G877" s="210"/>
    </row>
    <row r="878" spans="1:7" s="25" customFormat="1" ht="13.8" x14ac:dyDescent="0.3">
      <c r="A878" s="208"/>
      <c r="B878" s="208"/>
      <c r="C878" s="209"/>
      <c r="D878" s="209"/>
      <c r="E878" s="209"/>
      <c r="F878" s="209"/>
      <c r="G878" s="210"/>
    </row>
    <row r="879" spans="1:7" s="25" customFormat="1" ht="13.8" x14ac:dyDescent="0.3">
      <c r="A879" s="208"/>
      <c r="B879" s="208"/>
      <c r="C879" s="209"/>
      <c r="D879" s="209"/>
      <c r="E879" s="209"/>
      <c r="F879" s="209"/>
      <c r="G879" s="210"/>
    </row>
    <row r="880" spans="1:7" s="25" customFormat="1" ht="13.8" x14ac:dyDescent="0.3">
      <c r="A880" s="208"/>
      <c r="B880" s="208"/>
      <c r="C880" s="209"/>
      <c r="D880" s="209"/>
      <c r="E880" s="209"/>
      <c r="F880" s="209"/>
      <c r="G880" s="210"/>
    </row>
    <row r="881" spans="1:7" s="25" customFormat="1" ht="13.8" x14ac:dyDescent="0.3">
      <c r="A881" s="208"/>
      <c r="B881" s="208"/>
      <c r="C881" s="209"/>
      <c r="D881" s="209"/>
      <c r="E881" s="209"/>
      <c r="F881" s="209"/>
      <c r="G881" s="210"/>
    </row>
    <row r="882" spans="1:7" s="25" customFormat="1" ht="13.8" x14ac:dyDescent="0.3">
      <c r="A882" s="208"/>
      <c r="B882" s="208"/>
      <c r="C882" s="209"/>
      <c r="D882" s="209"/>
      <c r="E882" s="209"/>
      <c r="F882" s="209"/>
      <c r="G882" s="210"/>
    </row>
    <row r="883" spans="1:7" s="25" customFormat="1" ht="13.8" x14ac:dyDescent="0.3">
      <c r="A883" s="208"/>
      <c r="B883" s="208"/>
      <c r="C883" s="209"/>
      <c r="D883" s="209"/>
      <c r="E883" s="209"/>
      <c r="F883" s="209"/>
      <c r="G883" s="210"/>
    </row>
    <row r="884" spans="1:7" s="25" customFormat="1" ht="13.8" x14ac:dyDescent="0.3">
      <c r="A884" s="208"/>
      <c r="B884" s="208"/>
      <c r="C884" s="209"/>
      <c r="D884" s="209"/>
      <c r="E884" s="209"/>
      <c r="F884" s="209"/>
      <c r="G884" s="210"/>
    </row>
    <row r="885" spans="1:7" s="25" customFormat="1" ht="13.8" x14ac:dyDescent="0.3">
      <c r="A885" s="208"/>
      <c r="B885" s="208"/>
      <c r="C885" s="209"/>
      <c r="D885" s="209"/>
      <c r="E885" s="209"/>
      <c r="F885" s="209"/>
      <c r="G885" s="210"/>
    </row>
    <row r="886" spans="1:7" s="25" customFormat="1" ht="13.8" x14ac:dyDescent="0.3">
      <c r="A886" s="208"/>
      <c r="B886" s="208"/>
      <c r="C886" s="209"/>
      <c r="D886" s="209"/>
      <c r="E886" s="209"/>
      <c r="F886" s="209"/>
      <c r="G886" s="210"/>
    </row>
    <row r="887" spans="1:7" s="25" customFormat="1" ht="13.8" x14ac:dyDescent="0.3">
      <c r="A887" s="208"/>
      <c r="B887" s="208"/>
      <c r="C887" s="209"/>
      <c r="D887" s="209"/>
      <c r="E887" s="209"/>
      <c r="F887" s="209"/>
      <c r="G887" s="210"/>
    </row>
    <row r="888" spans="1:7" s="25" customFormat="1" ht="13.8" x14ac:dyDescent="0.3">
      <c r="A888" s="208"/>
      <c r="B888" s="208"/>
      <c r="C888" s="209"/>
      <c r="D888" s="209"/>
      <c r="E888" s="209"/>
      <c r="F888" s="209"/>
      <c r="G888" s="210"/>
    </row>
    <row r="889" spans="1:7" s="25" customFormat="1" ht="13.8" x14ac:dyDescent="0.3">
      <c r="A889" s="208"/>
      <c r="B889" s="208"/>
      <c r="C889" s="209"/>
      <c r="D889" s="209"/>
      <c r="E889" s="209"/>
      <c r="F889" s="209"/>
      <c r="G889" s="210"/>
    </row>
    <row r="890" spans="1:7" s="25" customFormat="1" ht="13.8" x14ac:dyDescent="0.3">
      <c r="A890" s="208"/>
      <c r="B890" s="208"/>
      <c r="C890" s="209"/>
      <c r="D890" s="209"/>
      <c r="E890" s="209"/>
      <c r="F890" s="209"/>
      <c r="G890" s="210"/>
    </row>
    <row r="891" spans="1:7" s="25" customFormat="1" ht="13.8" x14ac:dyDescent="0.3">
      <c r="A891" s="208"/>
      <c r="B891" s="208"/>
      <c r="C891" s="209"/>
      <c r="D891" s="209"/>
      <c r="E891" s="209"/>
      <c r="F891" s="209"/>
      <c r="G891" s="210"/>
    </row>
    <row r="892" spans="1:7" s="25" customFormat="1" ht="13.8" x14ac:dyDescent="0.3">
      <c r="A892" s="208"/>
      <c r="B892" s="208"/>
      <c r="C892" s="209"/>
      <c r="D892" s="209"/>
      <c r="E892" s="209"/>
      <c r="F892" s="209"/>
      <c r="G892" s="210"/>
    </row>
    <row r="893" spans="1:7" s="25" customFormat="1" ht="13.8" x14ac:dyDescent="0.3">
      <c r="A893" s="208"/>
      <c r="B893" s="208"/>
      <c r="C893" s="209"/>
      <c r="D893" s="209"/>
      <c r="E893" s="209"/>
      <c r="F893" s="209"/>
      <c r="G893" s="210"/>
    </row>
    <row r="894" spans="1:7" s="25" customFormat="1" ht="13.8" x14ac:dyDescent="0.3">
      <c r="A894" s="208"/>
      <c r="B894" s="208"/>
      <c r="C894" s="209"/>
      <c r="D894" s="209"/>
      <c r="E894" s="209"/>
      <c r="F894" s="209"/>
      <c r="G894" s="210"/>
    </row>
    <row r="895" spans="1:7" s="25" customFormat="1" ht="13.8" x14ac:dyDescent="0.3">
      <c r="A895" s="208"/>
      <c r="B895" s="208"/>
      <c r="C895" s="209"/>
      <c r="D895" s="209"/>
      <c r="E895" s="209"/>
      <c r="F895" s="209"/>
      <c r="G895" s="210"/>
    </row>
    <row r="896" spans="1:7" s="25" customFormat="1" ht="13.8" x14ac:dyDescent="0.3">
      <c r="A896" s="208"/>
      <c r="B896" s="208"/>
      <c r="C896" s="209"/>
      <c r="D896" s="209"/>
      <c r="E896" s="209"/>
      <c r="F896" s="209"/>
      <c r="G896" s="210"/>
    </row>
    <row r="897" spans="1:7" s="25" customFormat="1" ht="13.8" x14ac:dyDescent="0.3">
      <c r="A897" s="208"/>
      <c r="B897" s="208"/>
      <c r="C897" s="209"/>
      <c r="D897" s="209"/>
      <c r="E897" s="209"/>
      <c r="F897" s="209"/>
      <c r="G897" s="210"/>
    </row>
    <row r="898" spans="1:7" s="25" customFormat="1" ht="13.8" x14ac:dyDescent="0.3">
      <c r="A898" s="208"/>
      <c r="B898" s="208"/>
      <c r="C898" s="209"/>
      <c r="D898" s="209"/>
      <c r="E898" s="209"/>
      <c r="F898" s="209"/>
      <c r="G898" s="210"/>
    </row>
    <row r="899" spans="1:7" s="25" customFormat="1" ht="13.8" x14ac:dyDescent="0.3">
      <c r="A899" s="208"/>
      <c r="B899" s="208"/>
      <c r="C899" s="209"/>
      <c r="D899" s="209"/>
      <c r="E899" s="209"/>
      <c r="F899" s="209"/>
      <c r="G899" s="210"/>
    </row>
    <row r="900" spans="1:7" s="25" customFormat="1" ht="13.8" x14ac:dyDescent="0.3">
      <c r="A900" s="208"/>
      <c r="B900" s="208"/>
      <c r="C900" s="209"/>
      <c r="D900" s="209"/>
      <c r="E900" s="209"/>
      <c r="F900" s="209"/>
      <c r="G900" s="210"/>
    </row>
    <row r="901" spans="1:7" s="25" customFormat="1" ht="13.8" x14ac:dyDescent="0.3">
      <c r="A901" s="208"/>
      <c r="B901" s="208"/>
      <c r="C901" s="209"/>
      <c r="D901" s="209"/>
      <c r="E901" s="209"/>
      <c r="F901" s="209"/>
      <c r="G901" s="210"/>
    </row>
    <row r="902" spans="1:7" s="25" customFormat="1" ht="13.8" x14ac:dyDescent="0.3">
      <c r="A902" s="208"/>
      <c r="B902" s="208"/>
      <c r="C902" s="209"/>
      <c r="D902" s="209"/>
      <c r="E902" s="209"/>
      <c r="F902" s="209"/>
      <c r="G902" s="210"/>
    </row>
    <row r="903" spans="1:7" s="25" customFormat="1" ht="13.8" x14ac:dyDescent="0.3">
      <c r="A903" s="208"/>
      <c r="B903" s="208"/>
      <c r="C903" s="209"/>
      <c r="D903" s="209"/>
      <c r="E903" s="209"/>
      <c r="F903" s="209"/>
      <c r="G903" s="210"/>
    </row>
    <row r="904" spans="1:7" s="25" customFormat="1" ht="13.8" x14ac:dyDescent="0.3">
      <c r="A904" s="208"/>
      <c r="B904" s="208"/>
      <c r="C904" s="209"/>
      <c r="D904" s="209"/>
      <c r="E904" s="209"/>
      <c r="F904" s="209"/>
      <c r="G904" s="210"/>
    </row>
    <row r="905" spans="1:7" s="25" customFormat="1" ht="13.8" x14ac:dyDescent="0.3">
      <c r="A905" s="208"/>
      <c r="B905" s="208"/>
      <c r="C905" s="209"/>
      <c r="D905" s="209"/>
      <c r="E905" s="209"/>
      <c r="F905" s="209"/>
      <c r="G905" s="210"/>
    </row>
    <row r="906" spans="1:7" s="25" customFormat="1" ht="13.8" x14ac:dyDescent="0.3">
      <c r="A906" s="208"/>
      <c r="B906" s="208"/>
      <c r="C906" s="209"/>
      <c r="D906" s="209"/>
      <c r="E906" s="209"/>
      <c r="F906" s="209"/>
      <c r="G906" s="210"/>
    </row>
    <row r="907" spans="1:7" s="25" customFormat="1" ht="13.8" x14ac:dyDescent="0.3">
      <c r="A907" s="208"/>
      <c r="B907" s="208"/>
      <c r="C907" s="209"/>
      <c r="D907" s="209"/>
      <c r="E907" s="209"/>
      <c r="F907" s="209"/>
      <c r="G907" s="210"/>
    </row>
    <row r="908" spans="1:7" s="25" customFormat="1" ht="13.8" x14ac:dyDescent="0.3">
      <c r="A908" s="208"/>
      <c r="B908" s="208"/>
      <c r="C908" s="209"/>
      <c r="D908" s="209"/>
      <c r="E908" s="209"/>
      <c r="F908" s="209"/>
      <c r="G908" s="210"/>
    </row>
    <row r="909" spans="1:7" s="25" customFormat="1" ht="13.8" x14ac:dyDescent="0.3">
      <c r="A909" s="208"/>
      <c r="B909" s="208"/>
      <c r="C909" s="209"/>
      <c r="D909" s="209"/>
      <c r="E909" s="209"/>
      <c r="F909" s="209"/>
      <c r="G909" s="210"/>
    </row>
    <row r="910" spans="1:7" s="25" customFormat="1" ht="13.8" x14ac:dyDescent="0.3">
      <c r="A910" s="208"/>
      <c r="B910" s="208"/>
      <c r="C910" s="209"/>
      <c r="D910" s="209"/>
      <c r="E910" s="209"/>
      <c r="F910" s="209"/>
      <c r="G910" s="210"/>
    </row>
    <row r="911" spans="1:7" s="25" customFormat="1" ht="13.8" x14ac:dyDescent="0.3">
      <c r="A911" s="208"/>
      <c r="B911" s="208"/>
      <c r="C911" s="209"/>
      <c r="D911" s="209"/>
      <c r="E911" s="209"/>
      <c r="F911" s="209"/>
      <c r="G911" s="210"/>
    </row>
    <row r="912" spans="1:7" s="25" customFormat="1" ht="13.8" x14ac:dyDescent="0.3">
      <c r="A912" s="208"/>
      <c r="B912" s="208"/>
      <c r="C912" s="209"/>
      <c r="D912" s="209"/>
      <c r="E912" s="209"/>
      <c r="F912" s="209"/>
      <c r="G912" s="210"/>
    </row>
    <row r="913" spans="1:7" s="25" customFormat="1" ht="13.8" x14ac:dyDescent="0.3">
      <c r="A913" s="208"/>
      <c r="B913" s="208"/>
      <c r="C913" s="209"/>
      <c r="D913" s="209"/>
      <c r="E913" s="209"/>
      <c r="F913" s="209"/>
      <c r="G913" s="210"/>
    </row>
    <row r="914" spans="1:7" s="25" customFormat="1" ht="13.8" x14ac:dyDescent="0.3">
      <c r="A914" s="208"/>
      <c r="B914" s="208"/>
      <c r="C914" s="209"/>
      <c r="D914" s="209"/>
      <c r="E914" s="209"/>
      <c r="F914" s="209"/>
      <c r="G914" s="210"/>
    </row>
    <row r="915" spans="1:7" s="25" customFormat="1" ht="13.8" x14ac:dyDescent="0.3">
      <c r="A915" s="208"/>
      <c r="B915" s="208"/>
      <c r="C915" s="209"/>
      <c r="D915" s="209"/>
      <c r="E915" s="209"/>
      <c r="F915" s="209"/>
      <c r="G915" s="210"/>
    </row>
    <row r="916" spans="1:7" s="25" customFormat="1" ht="13.8" x14ac:dyDescent="0.3">
      <c r="A916" s="208"/>
      <c r="B916" s="208"/>
      <c r="C916" s="209"/>
      <c r="D916" s="209"/>
      <c r="E916" s="209"/>
      <c r="F916" s="209"/>
      <c r="G916" s="210"/>
    </row>
    <row r="917" spans="1:7" s="25" customFormat="1" ht="13.8" x14ac:dyDescent="0.3">
      <c r="A917" s="208"/>
      <c r="B917" s="208"/>
      <c r="C917" s="209"/>
      <c r="D917" s="209"/>
      <c r="E917" s="209"/>
      <c r="F917" s="209"/>
      <c r="G917" s="210"/>
    </row>
    <row r="918" spans="1:7" s="25" customFormat="1" ht="13.8" x14ac:dyDescent="0.3">
      <c r="A918" s="208"/>
      <c r="B918" s="208"/>
      <c r="C918" s="209"/>
      <c r="D918" s="209"/>
      <c r="E918" s="209"/>
      <c r="F918" s="209"/>
      <c r="G918" s="210"/>
    </row>
    <row r="919" spans="1:7" s="25" customFormat="1" ht="13.8" x14ac:dyDescent="0.3">
      <c r="A919" s="208"/>
      <c r="B919" s="208"/>
      <c r="C919" s="209"/>
      <c r="D919" s="209"/>
      <c r="E919" s="209"/>
      <c r="F919" s="209"/>
      <c r="G919" s="210"/>
    </row>
    <row r="920" spans="1:7" s="25" customFormat="1" ht="13.8" x14ac:dyDescent="0.3">
      <c r="A920" s="208"/>
      <c r="B920" s="208"/>
      <c r="C920" s="209"/>
      <c r="D920" s="209"/>
      <c r="E920" s="209"/>
      <c r="F920" s="209"/>
      <c r="G920" s="210"/>
    </row>
    <row r="921" spans="1:7" s="25" customFormat="1" ht="13.8" x14ac:dyDescent="0.3">
      <c r="A921" s="208"/>
      <c r="B921" s="208"/>
      <c r="C921" s="209"/>
      <c r="D921" s="209"/>
      <c r="E921" s="209"/>
      <c r="F921" s="209"/>
      <c r="G921" s="210"/>
    </row>
    <row r="922" spans="1:7" s="25" customFormat="1" ht="13.8" x14ac:dyDescent="0.3">
      <c r="A922" s="208"/>
      <c r="B922" s="208"/>
      <c r="C922" s="209"/>
      <c r="D922" s="209"/>
      <c r="E922" s="209"/>
      <c r="F922" s="209"/>
      <c r="G922" s="210"/>
    </row>
    <row r="923" spans="1:7" s="25" customFormat="1" ht="13.8" x14ac:dyDescent="0.3">
      <c r="A923" s="208"/>
      <c r="B923" s="208"/>
      <c r="C923" s="209"/>
      <c r="D923" s="209"/>
      <c r="E923" s="209"/>
      <c r="F923" s="209"/>
      <c r="G923" s="210"/>
    </row>
    <row r="924" spans="1:7" s="25" customFormat="1" ht="13.8" x14ac:dyDescent="0.3">
      <c r="A924" s="208"/>
      <c r="B924" s="208"/>
      <c r="C924" s="209"/>
      <c r="D924" s="209"/>
      <c r="E924" s="209"/>
      <c r="F924" s="209"/>
      <c r="G924" s="210"/>
    </row>
    <row r="925" spans="1:7" s="25" customFormat="1" ht="13.8" x14ac:dyDescent="0.3">
      <c r="A925" s="208"/>
      <c r="B925" s="208"/>
      <c r="C925" s="209"/>
      <c r="D925" s="209"/>
      <c r="E925" s="209"/>
      <c r="F925" s="209"/>
      <c r="G925" s="210"/>
    </row>
    <row r="926" spans="1:7" s="25" customFormat="1" ht="13.8" x14ac:dyDescent="0.3">
      <c r="A926" s="208"/>
      <c r="B926" s="208"/>
      <c r="C926" s="209"/>
      <c r="D926" s="209"/>
      <c r="E926" s="209"/>
      <c r="F926" s="209"/>
      <c r="G926" s="210"/>
    </row>
    <row r="927" spans="1:7" s="25" customFormat="1" ht="13.8" x14ac:dyDescent="0.3">
      <c r="A927" s="208"/>
      <c r="B927" s="208"/>
      <c r="C927" s="209"/>
      <c r="D927" s="209"/>
      <c r="E927" s="209"/>
      <c r="F927" s="209"/>
      <c r="G927" s="210"/>
    </row>
    <row r="928" spans="1:7" s="25" customFormat="1" ht="13.8" x14ac:dyDescent="0.3">
      <c r="A928" s="208"/>
      <c r="B928" s="208"/>
      <c r="C928" s="209"/>
      <c r="D928" s="209"/>
      <c r="E928" s="209"/>
      <c r="F928" s="209"/>
      <c r="G928" s="210"/>
    </row>
    <row r="929" spans="1:7" s="25" customFormat="1" ht="13.8" x14ac:dyDescent="0.3">
      <c r="A929" s="208"/>
      <c r="B929" s="208"/>
      <c r="C929" s="209"/>
      <c r="D929" s="209"/>
      <c r="E929" s="209"/>
      <c r="F929" s="209"/>
      <c r="G929" s="210"/>
    </row>
    <row r="930" spans="1:7" s="25" customFormat="1" ht="13.8" x14ac:dyDescent="0.3">
      <c r="A930" s="208"/>
      <c r="B930" s="208"/>
      <c r="C930" s="209"/>
      <c r="D930" s="209"/>
      <c r="E930" s="209"/>
      <c r="F930" s="209"/>
      <c r="G930" s="210"/>
    </row>
    <row r="931" spans="1:7" s="25" customFormat="1" ht="13.8" x14ac:dyDescent="0.3">
      <c r="A931" s="208"/>
      <c r="B931" s="208"/>
      <c r="C931" s="209"/>
      <c r="D931" s="209"/>
      <c r="E931" s="209"/>
      <c r="F931" s="209"/>
      <c r="G931" s="210"/>
    </row>
    <row r="932" spans="1:7" s="25" customFormat="1" ht="13.8" x14ac:dyDescent="0.3">
      <c r="A932" s="208"/>
      <c r="B932" s="208"/>
      <c r="C932" s="209"/>
      <c r="D932" s="209"/>
      <c r="E932" s="209"/>
      <c r="F932" s="209"/>
      <c r="G932" s="210"/>
    </row>
    <row r="933" spans="1:7" s="25" customFormat="1" ht="13.8" x14ac:dyDescent="0.3">
      <c r="A933" s="208"/>
      <c r="B933" s="208"/>
      <c r="C933" s="209"/>
      <c r="D933" s="209"/>
      <c r="E933" s="209"/>
      <c r="F933" s="209"/>
      <c r="G933" s="210"/>
    </row>
    <row r="934" spans="1:7" s="25" customFormat="1" ht="13.8" x14ac:dyDescent="0.3">
      <c r="A934" s="208"/>
      <c r="B934" s="208"/>
      <c r="C934" s="209"/>
      <c r="D934" s="209"/>
      <c r="E934" s="209"/>
      <c r="F934" s="209"/>
      <c r="G934" s="210"/>
    </row>
    <row r="935" spans="1:7" s="25" customFormat="1" ht="13.8" x14ac:dyDescent="0.3">
      <c r="A935" s="208"/>
      <c r="B935" s="208"/>
      <c r="C935" s="209"/>
      <c r="D935" s="209"/>
      <c r="E935" s="209"/>
      <c r="F935" s="209"/>
      <c r="G935" s="210"/>
    </row>
    <row r="936" spans="1:7" s="25" customFormat="1" ht="13.8" x14ac:dyDescent="0.3">
      <c r="A936" s="208"/>
      <c r="B936" s="208"/>
      <c r="C936" s="209"/>
      <c r="D936" s="209"/>
      <c r="E936" s="209"/>
      <c r="F936" s="209"/>
      <c r="G936" s="210"/>
    </row>
    <row r="937" spans="1:7" s="25" customFormat="1" ht="13.8" x14ac:dyDescent="0.3">
      <c r="A937" s="208"/>
      <c r="B937" s="208"/>
      <c r="C937" s="209"/>
      <c r="D937" s="209"/>
      <c r="E937" s="209"/>
      <c r="F937" s="209"/>
      <c r="G937" s="210"/>
    </row>
    <row r="938" spans="1:7" s="25" customFormat="1" ht="13.8" x14ac:dyDescent="0.3">
      <c r="A938" s="208"/>
      <c r="B938" s="208"/>
      <c r="C938" s="209"/>
      <c r="D938" s="209"/>
      <c r="E938" s="209"/>
      <c r="F938" s="209"/>
      <c r="G938" s="210"/>
    </row>
    <row r="939" spans="1:7" s="25" customFormat="1" ht="13.8" x14ac:dyDescent="0.3">
      <c r="A939" s="208"/>
      <c r="B939" s="208"/>
      <c r="C939" s="209"/>
      <c r="D939" s="209"/>
      <c r="E939" s="209"/>
      <c r="F939" s="209"/>
      <c r="G939" s="210"/>
    </row>
    <row r="940" spans="1:7" s="25" customFormat="1" ht="13.8" x14ac:dyDescent="0.3">
      <c r="A940" s="208"/>
      <c r="B940" s="208"/>
      <c r="C940" s="209"/>
      <c r="D940" s="209"/>
      <c r="E940" s="209"/>
      <c r="F940" s="209"/>
      <c r="G940" s="210"/>
    </row>
    <row r="941" spans="1:7" s="25" customFormat="1" ht="13.8" x14ac:dyDescent="0.3">
      <c r="A941" s="208"/>
      <c r="B941" s="208"/>
      <c r="C941" s="209"/>
      <c r="D941" s="209"/>
      <c r="E941" s="209"/>
      <c r="F941" s="209"/>
      <c r="G941" s="210"/>
    </row>
    <row r="942" spans="1:7" s="25" customFormat="1" ht="13.8" x14ac:dyDescent="0.3">
      <c r="A942" s="208"/>
      <c r="B942" s="208"/>
      <c r="C942" s="209"/>
      <c r="D942" s="209"/>
      <c r="E942" s="209"/>
      <c r="F942" s="209"/>
      <c r="G942" s="210"/>
    </row>
    <row r="943" spans="1:7" s="25" customFormat="1" ht="13.8" x14ac:dyDescent="0.3">
      <c r="A943" s="208"/>
      <c r="B943" s="208"/>
      <c r="C943" s="209"/>
      <c r="D943" s="209"/>
      <c r="E943" s="209"/>
      <c r="F943" s="209"/>
      <c r="G943" s="210"/>
    </row>
    <row r="944" spans="1:7" s="25" customFormat="1" ht="13.8" x14ac:dyDescent="0.3">
      <c r="A944" s="208"/>
      <c r="B944" s="208"/>
      <c r="C944" s="209"/>
      <c r="D944" s="209"/>
      <c r="E944" s="209"/>
      <c r="F944" s="209"/>
      <c r="G944" s="210"/>
    </row>
    <row r="945" spans="1:7" s="25" customFormat="1" ht="13.8" x14ac:dyDescent="0.3">
      <c r="A945" s="208"/>
      <c r="B945" s="208"/>
      <c r="C945" s="209"/>
      <c r="D945" s="209"/>
      <c r="E945" s="209"/>
      <c r="F945" s="209"/>
      <c r="G945" s="210"/>
    </row>
    <row r="946" spans="1:7" s="25" customFormat="1" ht="13.8" x14ac:dyDescent="0.3">
      <c r="A946" s="208"/>
      <c r="B946" s="208"/>
      <c r="C946" s="209"/>
      <c r="D946" s="209"/>
      <c r="E946" s="209"/>
      <c r="F946" s="209"/>
      <c r="G946" s="210"/>
    </row>
    <row r="947" spans="1:7" s="25" customFormat="1" ht="13.8" x14ac:dyDescent="0.3">
      <c r="A947" s="208"/>
      <c r="B947" s="208"/>
      <c r="C947" s="209"/>
      <c r="D947" s="209"/>
      <c r="E947" s="209"/>
      <c r="F947" s="209"/>
      <c r="G947" s="210"/>
    </row>
    <row r="948" spans="1:7" s="25" customFormat="1" ht="13.8" x14ac:dyDescent="0.3">
      <c r="A948" s="208"/>
      <c r="B948" s="208"/>
      <c r="C948" s="209"/>
      <c r="D948" s="209"/>
      <c r="E948" s="209"/>
      <c r="F948" s="209"/>
      <c r="G948" s="210"/>
    </row>
    <row r="949" spans="1:7" s="25" customFormat="1" ht="13.8" x14ac:dyDescent="0.3">
      <c r="A949" s="208"/>
      <c r="B949" s="208"/>
      <c r="C949" s="209"/>
      <c r="D949" s="209"/>
      <c r="E949" s="209"/>
      <c r="F949" s="209"/>
      <c r="G949" s="210"/>
    </row>
    <row r="950" spans="1:7" s="25" customFormat="1" ht="13.8" x14ac:dyDescent="0.3">
      <c r="A950" s="208"/>
      <c r="B950" s="208"/>
      <c r="C950" s="209"/>
      <c r="D950" s="209"/>
      <c r="E950" s="209"/>
      <c r="F950" s="209"/>
      <c r="G950" s="210"/>
    </row>
    <row r="951" spans="1:7" s="25" customFormat="1" ht="13.8" x14ac:dyDescent="0.3">
      <c r="A951" s="208"/>
      <c r="B951" s="208"/>
      <c r="C951" s="209"/>
      <c r="D951" s="209"/>
      <c r="E951" s="209"/>
      <c r="F951" s="209"/>
      <c r="G951" s="210"/>
    </row>
    <row r="952" spans="1:7" s="25" customFormat="1" ht="13.8" x14ac:dyDescent="0.3">
      <c r="A952" s="208"/>
      <c r="B952" s="208"/>
      <c r="C952" s="209"/>
      <c r="D952" s="209"/>
      <c r="E952" s="209"/>
      <c r="F952" s="209"/>
      <c r="G952" s="210"/>
    </row>
    <row r="953" spans="1:7" s="25" customFormat="1" ht="13.8" x14ac:dyDescent="0.3">
      <c r="A953" s="208"/>
      <c r="B953" s="208"/>
      <c r="C953" s="209"/>
      <c r="D953" s="209"/>
      <c r="E953" s="209"/>
      <c r="F953" s="209"/>
      <c r="G953" s="210"/>
    </row>
    <row r="954" spans="1:7" s="25" customFormat="1" ht="13.8" x14ac:dyDescent="0.3">
      <c r="A954" s="208"/>
      <c r="B954" s="208"/>
      <c r="C954" s="209"/>
      <c r="D954" s="209"/>
      <c r="E954" s="209"/>
      <c r="F954" s="209"/>
      <c r="G954" s="210"/>
    </row>
    <row r="955" spans="1:7" s="25" customFormat="1" ht="13.8" x14ac:dyDescent="0.3">
      <c r="A955" s="208"/>
      <c r="B955" s="208"/>
      <c r="C955" s="209"/>
      <c r="D955" s="209"/>
      <c r="E955" s="209"/>
      <c r="F955" s="209"/>
      <c r="G955" s="210"/>
    </row>
    <row r="956" spans="1:7" s="25" customFormat="1" ht="13.8" x14ac:dyDescent="0.3">
      <c r="A956" s="208"/>
      <c r="B956" s="208"/>
      <c r="C956" s="209"/>
      <c r="D956" s="209"/>
      <c r="E956" s="209"/>
      <c r="F956" s="209"/>
      <c r="G956" s="210"/>
    </row>
    <row r="957" spans="1:7" s="25" customFormat="1" ht="13.8" x14ac:dyDescent="0.3">
      <c r="A957" s="208"/>
      <c r="B957" s="208"/>
      <c r="C957" s="209"/>
      <c r="D957" s="209"/>
      <c r="E957" s="209"/>
      <c r="F957" s="209"/>
      <c r="G957" s="210"/>
    </row>
    <row r="958" spans="1:7" s="25" customFormat="1" ht="13.8" x14ac:dyDescent="0.3">
      <c r="A958" s="208"/>
      <c r="B958" s="208"/>
      <c r="C958" s="209"/>
      <c r="D958" s="209"/>
      <c r="E958" s="209"/>
      <c r="F958" s="209"/>
      <c r="G958" s="210"/>
    </row>
    <row r="959" spans="1:7" s="25" customFormat="1" ht="13.8" x14ac:dyDescent="0.3">
      <c r="A959" s="208"/>
      <c r="B959" s="208"/>
      <c r="C959" s="209"/>
      <c r="D959" s="209"/>
      <c r="E959" s="209"/>
      <c r="F959" s="209"/>
      <c r="G959" s="210"/>
    </row>
    <row r="960" spans="1:7" s="25" customFormat="1" ht="13.8" x14ac:dyDescent="0.3">
      <c r="A960" s="208"/>
      <c r="B960" s="208"/>
      <c r="C960" s="209"/>
      <c r="D960" s="209"/>
      <c r="E960" s="209"/>
      <c r="F960" s="209"/>
      <c r="G960" s="210"/>
    </row>
    <row r="961" spans="1:7" s="25" customFormat="1" ht="13.8" x14ac:dyDescent="0.3">
      <c r="A961" s="208"/>
      <c r="B961" s="208"/>
      <c r="C961" s="209"/>
      <c r="D961" s="209"/>
      <c r="E961" s="209"/>
      <c r="F961" s="209"/>
      <c r="G961" s="210"/>
    </row>
    <row r="962" spans="1:7" s="25" customFormat="1" ht="13.8" x14ac:dyDescent="0.3">
      <c r="A962" s="208"/>
      <c r="B962" s="208"/>
      <c r="C962" s="209"/>
      <c r="D962" s="209"/>
      <c r="E962" s="209"/>
      <c r="F962" s="209"/>
      <c r="G962" s="210"/>
    </row>
    <row r="963" spans="1:7" s="25" customFormat="1" ht="13.8" x14ac:dyDescent="0.3">
      <c r="A963" s="208"/>
      <c r="B963" s="208"/>
      <c r="C963" s="209"/>
      <c r="D963" s="209"/>
      <c r="E963" s="209"/>
      <c r="F963" s="209"/>
      <c r="G963" s="210"/>
    </row>
    <row r="964" spans="1:7" s="25" customFormat="1" ht="13.8" x14ac:dyDescent="0.3">
      <c r="A964" s="208"/>
      <c r="B964" s="208"/>
      <c r="C964" s="209"/>
      <c r="D964" s="209"/>
      <c r="E964" s="209"/>
      <c r="F964" s="209"/>
      <c r="G964" s="210"/>
    </row>
    <row r="965" spans="1:7" s="25" customFormat="1" ht="13.8" x14ac:dyDescent="0.3">
      <c r="A965" s="208"/>
      <c r="B965" s="208"/>
      <c r="C965" s="209"/>
      <c r="D965" s="209"/>
      <c r="E965" s="209"/>
      <c r="F965" s="209"/>
      <c r="G965" s="210"/>
    </row>
    <row r="966" spans="1:7" s="25" customFormat="1" ht="13.8" x14ac:dyDescent="0.3">
      <c r="A966" s="208"/>
      <c r="B966" s="208"/>
      <c r="C966" s="209"/>
      <c r="D966" s="209"/>
      <c r="E966" s="209"/>
      <c r="F966" s="209"/>
      <c r="G966" s="210"/>
    </row>
    <row r="967" spans="1:7" s="25" customFormat="1" ht="13.8" x14ac:dyDescent="0.3">
      <c r="A967" s="208"/>
      <c r="B967" s="208"/>
      <c r="C967" s="209"/>
      <c r="D967" s="209"/>
      <c r="E967" s="209"/>
      <c r="F967" s="209"/>
      <c r="G967" s="210"/>
    </row>
    <row r="968" spans="1:7" s="25" customFormat="1" ht="13.8" x14ac:dyDescent="0.3">
      <c r="A968" s="208"/>
      <c r="B968" s="208"/>
      <c r="C968" s="209"/>
      <c r="D968" s="209"/>
      <c r="E968" s="209"/>
      <c r="F968" s="209"/>
      <c r="G968" s="210"/>
    </row>
    <row r="969" spans="1:7" s="25" customFormat="1" ht="13.8" x14ac:dyDescent="0.3">
      <c r="A969" s="208"/>
      <c r="B969" s="208"/>
      <c r="C969" s="209"/>
      <c r="D969" s="209"/>
      <c r="E969" s="209"/>
      <c r="F969" s="209"/>
      <c r="G969" s="210"/>
    </row>
    <row r="970" spans="1:7" s="25" customFormat="1" ht="13.8" x14ac:dyDescent="0.3">
      <c r="A970" s="208"/>
      <c r="B970" s="208"/>
      <c r="C970" s="209"/>
      <c r="D970" s="209"/>
      <c r="E970" s="209"/>
      <c r="F970" s="209"/>
      <c r="G970" s="210"/>
    </row>
    <row r="971" spans="1:7" s="25" customFormat="1" ht="13.8" x14ac:dyDescent="0.3">
      <c r="A971" s="208"/>
      <c r="B971" s="208"/>
      <c r="C971" s="209"/>
      <c r="D971" s="209"/>
      <c r="E971" s="209"/>
      <c r="F971" s="209"/>
      <c r="G971" s="210"/>
    </row>
    <row r="972" spans="1:7" s="25" customFormat="1" ht="13.8" x14ac:dyDescent="0.3">
      <c r="A972" s="208"/>
      <c r="B972" s="208"/>
      <c r="C972" s="209"/>
      <c r="D972" s="209"/>
      <c r="E972" s="209"/>
      <c r="F972" s="209"/>
      <c r="G972" s="210"/>
    </row>
    <row r="973" spans="1:7" s="25" customFormat="1" ht="13.8" x14ac:dyDescent="0.3">
      <c r="A973" s="208"/>
      <c r="B973" s="208"/>
      <c r="C973" s="209"/>
      <c r="D973" s="209"/>
      <c r="E973" s="209"/>
      <c r="F973" s="209"/>
      <c r="G973" s="210"/>
    </row>
    <row r="974" spans="1:7" s="25" customFormat="1" ht="13.8" x14ac:dyDescent="0.3">
      <c r="A974" s="208"/>
      <c r="B974" s="208"/>
      <c r="C974" s="209"/>
      <c r="D974" s="209"/>
      <c r="E974" s="209"/>
      <c r="F974" s="209"/>
      <c r="G974" s="210"/>
    </row>
    <row r="975" spans="1:7" s="25" customFormat="1" ht="13.8" x14ac:dyDescent="0.3">
      <c r="A975" s="208"/>
      <c r="B975" s="208"/>
      <c r="C975" s="209"/>
      <c r="D975" s="209"/>
      <c r="E975" s="209"/>
      <c r="F975" s="209"/>
      <c r="G975" s="210"/>
    </row>
    <row r="976" spans="1:7" s="25" customFormat="1" ht="13.8" x14ac:dyDescent="0.3">
      <c r="A976" s="208"/>
      <c r="B976" s="208"/>
      <c r="C976" s="209"/>
      <c r="D976" s="209"/>
      <c r="E976" s="209"/>
      <c r="F976" s="209"/>
      <c r="G976" s="210"/>
    </row>
    <row r="977" spans="1:7" s="25" customFormat="1" ht="13.8" x14ac:dyDescent="0.3">
      <c r="A977" s="208"/>
      <c r="B977" s="208"/>
      <c r="C977" s="209"/>
      <c r="D977" s="209"/>
      <c r="E977" s="209"/>
      <c r="F977" s="209"/>
      <c r="G977" s="210"/>
    </row>
    <row r="978" spans="1:7" s="25" customFormat="1" ht="13.8" x14ac:dyDescent="0.3">
      <c r="A978" s="208"/>
      <c r="B978" s="208"/>
      <c r="C978" s="209"/>
      <c r="D978" s="209"/>
      <c r="E978" s="209"/>
      <c r="F978" s="209"/>
      <c r="G978" s="210"/>
    </row>
    <row r="979" spans="1:7" s="25" customFormat="1" ht="13.8" x14ac:dyDescent="0.3">
      <c r="A979" s="208"/>
      <c r="B979" s="208"/>
      <c r="C979" s="209"/>
      <c r="D979" s="209"/>
      <c r="E979" s="209"/>
      <c r="F979" s="209"/>
      <c r="G979" s="210"/>
    </row>
    <row r="980" spans="1:7" s="25" customFormat="1" ht="13.8" x14ac:dyDescent="0.3">
      <c r="A980" s="208"/>
      <c r="B980" s="208"/>
      <c r="C980" s="209"/>
      <c r="D980" s="209"/>
      <c r="E980" s="209"/>
      <c r="F980" s="209"/>
      <c r="G980" s="210"/>
    </row>
    <row r="981" spans="1:7" s="25" customFormat="1" ht="13.8" x14ac:dyDescent="0.3">
      <c r="A981" s="208"/>
      <c r="B981" s="208"/>
      <c r="C981" s="209"/>
      <c r="D981" s="209"/>
      <c r="E981" s="209"/>
      <c r="F981" s="209"/>
      <c r="G981" s="210"/>
    </row>
    <row r="982" spans="1:7" s="25" customFormat="1" ht="13.8" x14ac:dyDescent="0.3">
      <c r="A982" s="208"/>
      <c r="B982" s="208"/>
      <c r="C982" s="209"/>
      <c r="D982" s="209"/>
      <c r="E982" s="209"/>
      <c r="F982" s="209"/>
      <c r="G982" s="210"/>
    </row>
    <row r="983" spans="1:7" s="25" customFormat="1" ht="13.8" x14ac:dyDescent="0.3">
      <c r="A983" s="208"/>
      <c r="B983" s="208"/>
      <c r="C983" s="209"/>
      <c r="D983" s="209"/>
      <c r="E983" s="209"/>
      <c r="F983" s="209"/>
      <c r="G983" s="210"/>
    </row>
    <row r="984" spans="1:7" s="25" customFormat="1" ht="13.8" x14ac:dyDescent="0.3">
      <c r="A984" s="208"/>
      <c r="B984" s="208"/>
      <c r="C984" s="209"/>
      <c r="D984" s="209"/>
      <c r="E984" s="209"/>
      <c r="F984" s="209"/>
      <c r="G984" s="210"/>
    </row>
    <row r="985" spans="1:7" s="25" customFormat="1" ht="13.8" x14ac:dyDescent="0.3">
      <c r="A985" s="208"/>
      <c r="B985" s="208"/>
      <c r="C985" s="209"/>
      <c r="D985" s="209"/>
      <c r="E985" s="209"/>
      <c r="F985" s="209"/>
      <c r="G985" s="210"/>
    </row>
    <row r="986" spans="1:7" s="25" customFormat="1" ht="13.8" x14ac:dyDescent="0.3">
      <c r="A986" s="208"/>
      <c r="B986" s="208"/>
      <c r="C986" s="209"/>
      <c r="D986" s="209"/>
      <c r="E986" s="209"/>
      <c r="F986" s="209"/>
      <c r="G986" s="210"/>
    </row>
    <row r="987" spans="1:7" s="25" customFormat="1" ht="13.8" x14ac:dyDescent="0.3">
      <c r="A987" s="208"/>
      <c r="B987" s="208"/>
      <c r="C987" s="209"/>
      <c r="D987" s="209"/>
      <c r="E987" s="209"/>
      <c r="F987" s="209"/>
      <c r="G987" s="210"/>
    </row>
    <row r="988" spans="1:7" s="25" customFormat="1" ht="13.8" x14ac:dyDescent="0.3">
      <c r="A988" s="208"/>
      <c r="B988" s="208"/>
      <c r="C988" s="209"/>
      <c r="D988" s="209"/>
      <c r="E988" s="209"/>
      <c r="F988" s="209"/>
      <c r="G988" s="210"/>
    </row>
    <row r="989" spans="1:7" s="25" customFormat="1" ht="13.8" x14ac:dyDescent="0.3">
      <c r="A989" s="208"/>
      <c r="B989" s="208"/>
      <c r="C989" s="209"/>
      <c r="D989" s="209"/>
      <c r="E989" s="209"/>
      <c r="F989" s="209"/>
      <c r="G989" s="210"/>
    </row>
    <row r="990" spans="1:7" s="25" customFormat="1" ht="13.8" x14ac:dyDescent="0.3">
      <c r="A990" s="208"/>
      <c r="B990" s="208"/>
      <c r="C990" s="209"/>
      <c r="D990" s="209"/>
      <c r="E990" s="209"/>
      <c r="F990" s="209"/>
      <c r="G990" s="210"/>
    </row>
    <row r="991" spans="1:7" s="25" customFormat="1" ht="13.8" x14ac:dyDescent="0.3">
      <c r="A991" s="208"/>
      <c r="B991" s="208"/>
      <c r="C991" s="209"/>
      <c r="D991" s="209"/>
      <c r="E991" s="209"/>
      <c r="F991" s="209"/>
      <c r="G991" s="210"/>
    </row>
    <row r="992" spans="1:7" s="25" customFormat="1" ht="13.8" x14ac:dyDescent="0.3">
      <c r="A992" s="208"/>
      <c r="B992" s="208"/>
      <c r="C992" s="209"/>
      <c r="D992" s="209"/>
      <c r="E992" s="209"/>
      <c r="F992" s="209"/>
      <c r="G992" s="210"/>
    </row>
    <row r="993" spans="1:7" s="25" customFormat="1" ht="13.8" x14ac:dyDescent="0.3">
      <c r="A993" s="208"/>
      <c r="B993" s="208"/>
      <c r="C993" s="209"/>
      <c r="D993" s="209"/>
      <c r="E993" s="209"/>
      <c r="F993" s="209"/>
      <c r="G993" s="210"/>
    </row>
    <row r="994" spans="1:7" s="25" customFormat="1" ht="13.8" x14ac:dyDescent="0.3">
      <c r="A994" s="208"/>
      <c r="B994" s="208"/>
      <c r="C994" s="209"/>
      <c r="D994" s="209"/>
      <c r="E994" s="209"/>
      <c r="F994" s="209"/>
      <c r="G994" s="210"/>
    </row>
    <row r="995" spans="1:7" s="25" customFormat="1" ht="13.8" x14ac:dyDescent="0.3">
      <c r="A995" s="208"/>
      <c r="B995" s="208"/>
      <c r="C995" s="209"/>
      <c r="D995" s="209"/>
      <c r="E995" s="209"/>
      <c r="F995" s="209"/>
      <c r="G995" s="210"/>
    </row>
    <row r="996" spans="1:7" s="25" customFormat="1" ht="13.8" x14ac:dyDescent="0.3">
      <c r="A996" s="208"/>
      <c r="B996" s="208"/>
      <c r="C996" s="209"/>
      <c r="D996" s="209"/>
      <c r="E996" s="209"/>
      <c r="F996" s="209"/>
      <c r="G996" s="210"/>
    </row>
    <row r="997" spans="1:7" s="25" customFormat="1" ht="13.8" x14ac:dyDescent="0.3">
      <c r="A997" s="208"/>
      <c r="B997" s="208"/>
      <c r="C997" s="209"/>
      <c r="D997" s="209"/>
      <c r="E997" s="209"/>
      <c r="F997" s="209"/>
      <c r="G997" s="210"/>
    </row>
    <row r="998" spans="1:7" s="25" customFormat="1" ht="13.8" x14ac:dyDescent="0.3">
      <c r="A998" s="208"/>
      <c r="B998" s="208"/>
      <c r="C998" s="209"/>
      <c r="D998" s="209"/>
      <c r="E998" s="209"/>
      <c r="F998" s="209"/>
      <c r="G998" s="210"/>
    </row>
    <row r="999" spans="1:7" s="25" customFormat="1" ht="13.8" x14ac:dyDescent="0.3">
      <c r="A999" s="208"/>
      <c r="B999" s="208"/>
      <c r="C999" s="209"/>
      <c r="D999" s="209"/>
      <c r="E999" s="209"/>
      <c r="F999" s="209"/>
      <c r="G999" s="210"/>
    </row>
    <row r="1000" spans="1:7" s="25" customFormat="1" ht="13.8" x14ac:dyDescent="0.3">
      <c r="A1000" s="208"/>
      <c r="B1000" s="208"/>
      <c r="C1000" s="209"/>
      <c r="D1000" s="209"/>
      <c r="E1000" s="209"/>
      <c r="F1000" s="209"/>
      <c r="G1000" s="210"/>
    </row>
    <row r="1001" spans="1:7" s="25" customFormat="1" ht="13.8" x14ac:dyDescent="0.3">
      <c r="A1001" s="208"/>
      <c r="B1001" s="208"/>
      <c r="C1001" s="209"/>
      <c r="D1001" s="209"/>
      <c r="E1001" s="209"/>
      <c r="F1001" s="209"/>
      <c r="G1001" s="210"/>
    </row>
    <row r="1002" spans="1:7" s="25" customFormat="1" ht="13.8" x14ac:dyDescent="0.3">
      <c r="A1002" s="208"/>
      <c r="B1002" s="208"/>
      <c r="C1002" s="209"/>
      <c r="D1002" s="209"/>
      <c r="E1002" s="209"/>
      <c r="F1002" s="209"/>
      <c r="G1002" s="210"/>
    </row>
    <row r="1003" spans="1:7" s="25" customFormat="1" ht="13.8" x14ac:dyDescent="0.3">
      <c r="A1003" s="208"/>
      <c r="B1003" s="208"/>
      <c r="C1003" s="209"/>
      <c r="D1003" s="209"/>
      <c r="E1003" s="209"/>
      <c r="F1003" s="209"/>
      <c r="G1003" s="210"/>
    </row>
    <row r="1004" spans="1:7" s="25" customFormat="1" ht="13.8" x14ac:dyDescent="0.3">
      <c r="A1004" s="208"/>
      <c r="B1004" s="208"/>
      <c r="C1004" s="209"/>
      <c r="D1004" s="209"/>
      <c r="E1004" s="209"/>
      <c r="F1004" s="209"/>
      <c r="G1004" s="210"/>
    </row>
    <row r="1005" spans="1:7" s="25" customFormat="1" ht="13.8" x14ac:dyDescent="0.3">
      <c r="A1005" s="208"/>
      <c r="B1005" s="208"/>
      <c r="C1005" s="209"/>
      <c r="D1005" s="209"/>
      <c r="E1005" s="209"/>
      <c r="F1005" s="209"/>
      <c r="G1005" s="210"/>
    </row>
    <row r="1006" spans="1:7" s="25" customFormat="1" ht="13.8" x14ac:dyDescent="0.3">
      <c r="A1006" s="208"/>
      <c r="B1006" s="208"/>
      <c r="C1006" s="209"/>
      <c r="D1006" s="209"/>
      <c r="E1006" s="209"/>
      <c r="F1006" s="209"/>
      <c r="G1006" s="210"/>
    </row>
    <row r="1007" spans="1:7" s="25" customFormat="1" ht="13.8" x14ac:dyDescent="0.3">
      <c r="A1007" s="208"/>
      <c r="B1007" s="208"/>
      <c r="C1007" s="209"/>
      <c r="D1007" s="209"/>
      <c r="E1007" s="209"/>
      <c r="F1007" s="209"/>
      <c r="G1007" s="210"/>
    </row>
    <row r="1008" spans="1:7" s="25" customFormat="1" ht="13.8" x14ac:dyDescent="0.3">
      <c r="A1008" s="208"/>
      <c r="B1008" s="208"/>
      <c r="C1008" s="209"/>
      <c r="D1008" s="209"/>
      <c r="E1008" s="209"/>
      <c r="F1008" s="209"/>
      <c r="G1008" s="210"/>
    </row>
    <row r="1009" spans="1:7" s="25" customFormat="1" ht="13.8" x14ac:dyDescent="0.3">
      <c r="A1009" s="208"/>
      <c r="B1009" s="208"/>
      <c r="C1009" s="209"/>
      <c r="D1009" s="209"/>
      <c r="E1009" s="209"/>
      <c r="F1009" s="209"/>
      <c r="G1009" s="210"/>
    </row>
    <row r="1010" spans="1:7" s="25" customFormat="1" ht="13.8" x14ac:dyDescent="0.3">
      <c r="A1010" s="208"/>
      <c r="B1010" s="208"/>
      <c r="C1010" s="209"/>
      <c r="D1010" s="209"/>
      <c r="E1010" s="209"/>
      <c r="F1010" s="209"/>
      <c r="G1010" s="210"/>
    </row>
    <row r="1011" spans="1:7" s="25" customFormat="1" ht="13.8" x14ac:dyDescent="0.3">
      <c r="A1011" s="208"/>
      <c r="B1011" s="208"/>
      <c r="C1011" s="209"/>
      <c r="D1011" s="209"/>
      <c r="E1011" s="209"/>
      <c r="F1011" s="209"/>
      <c r="G1011" s="210"/>
    </row>
    <row r="1012" spans="1:7" s="25" customFormat="1" ht="13.8" x14ac:dyDescent="0.3">
      <c r="A1012" s="208"/>
      <c r="B1012" s="208"/>
      <c r="C1012" s="209"/>
      <c r="D1012" s="209"/>
      <c r="E1012" s="209"/>
      <c r="F1012" s="209"/>
      <c r="G1012" s="210"/>
    </row>
    <row r="1013" spans="1:7" s="25" customFormat="1" ht="13.8" x14ac:dyDescent="0.3">
      <c r="A1013" s="208"/>
      <c r="B1013" s="208"/>
      <c r="C1013" s="209"/>
      <c r="D1013" s="209"/>
      <c r="E1013" s="209"/>
      <c r="F1013" s="209"/>
      <c r="G1013" s="210"/>
    </row>
    <row r="1014" spans="1:7" s="25" customFormat="1" ht="13.8" x14ac:dyDescent="0.3">
      <c r="A1014" s="208"/>
      <c r="B1014" s="208"/>
      <c r="C1014" s="209"/>
      <c r="D1014" s="209"/>
      <c r="E1014" s="209"/>
      <c r="F1014" s="209"/>
      <c r="G1014" s="210"/>
    </row>
    <row r="1015" spans="1:7" s="25" customFormat="1" ht="13.8" x14ac:dyDescent="0.3">
      <c r="A1015" s="208"/>
      <c r="B1015" s="208"/>
      <c r="C1015" s="209"/>
      <c r="D1015" s="209"/>
      <c r="E1015" s="209"/>
      <c r="F1015" s="209"/>
      <c r="G1015" s="210"/>
    </row>
    <row r="1016" spans="1:7" s="25" customFormat="1" ht="13.8" x14ac:dyDescent="0.3">
      <c r="A1016" s="208"/>
      <c r="B1016" s="208"/>
      <c r="C1016" s="209"/>
      <c r="D1016" s="209"/>
      <c r="E1016" s="209"/>
      <c r="F1016" s="209"/>
      <c r="G1016" s="210"/>
    </row>
    <row r="1017" spans="1:7" s="25" customFormat="1" ht="13.8" x14ac:dyDescent="0.3">
      <c r="A1017" s="208"/>
      <c r="B1017" s="208"/>
      <c r="C1017" s="209"/>
      <c r="D1017" s="209"/>
      <c r="E1017" s="209"/>
      <c r="F1017" s="209"/>
      <c r="G1017" s="210"/>
    </row>
    <row r="1018" spans="1:7" s="25" customFormat="1" ht="13.8" x14ac:dyDescent="0.3">
      <c r="A1018" s="208"/>
      <c r="B1018" s="208"/>
      <c r="C1018" s="209"/>
      <c r="D1018" s="209"/>
      <c r="E1018" s="209"/>
      <c r="F1018" s="209"/>
      <c r="G1018" s="210"/>
    </row>
    <row r="1019" spans="1:7" s="25" customFormat="1" ht="13.8" x14ac:dyDescent="0.3">
      <c r="A1019" s="208"/>
      <c r="B1019" s="208"/>
      <c r="C1019" s="209"/>
      <c r="D1019" s="209"/>
      <c r="E1019" s="209"/>
      <c r="F1019" s="209"/>
      <c r="G1019" s="210"/>
    </row>
    <row r="1020" spans="1:7" s="25" customFormat="1" ht="13.8" x14ac:dyDescent="0.3">
      <c r="A1020" s="208"/>
      <c r="B1020" s="208"/>
      <c r="C1020" s="209"/>
      <c r="D1020" s="209"/>
      <c r="E1020" s="209"/>
      <c r="F1020" s="209"/>
      <c r="G1020" s="210"/>
    </row>
    <row r="1021" spans="1:7" s="25" customFormat="1" ht="13.8" x14ac:dyDescent="0.3">
      <c r="A1021" s="208"/>
      <c r="B1021" s="208"/>
      <c r="C1021" s="209"/>
      <c r="D1021" s="209"/>
      <c r="E1021" s="209"/>
      <c r="F1021" s="209"/>
      <c r="G1021" s="210"/>
    </row>
    <row r="1022" spans="1:7" s="25" customFormat="1" ht="13.8" x14ac:dyDescent="0.3">
      <c r="A1022" s="208"/>
      <c r="B1022" s="208"/>
      <c r="C1022" s="209"/>
      <c r="D1022" s="209"/>
      <c r="E1022" s="209"/>
      <c r="F1022" s="209"/>
      <c r="G1022" s="210"/>
    </row>
    <row r="1023" spans="1:7" s="25" customFormat="1" ht="13.8" x14ac:dyDescent="0.3">
      <c r="A1023" s="208"/>
      <c r="B1023" s="208"/>
      <c r="C1023" s="209"/>
      <c r="D1023" s="209"/>
      <c r="E1023" s="209"/>
      <c r="F1023" s="209"/>
      <c r="G1023" s="210"/>
    </row>
    <row r="1024" spans="1:7" s="25" customFormat="1" ht="13.8" x14ac:dyDescent="0.3">
      <c r="A1024" s="208"/>
      <c r="B1024" s="208"/>
      <c r="C1024" s="209"/>
      <c r="D1024" s="209"/>
      <c r="E1024" s="209"/>
      <c r="F1024" s="209"/>
      <c r="G1024" s="210"/>
    </row>
    <row r="1025" spans="1:7" s="25" customFormat="1" ht="13.8" x14ac:dyDescent="0.3">
      <c r="A1025" s="208"/>
      <c r="B1025" s="208"/>
      <c r="C1025" s="209"/>
      <c r="D1025" s="209"/>
      <c r="E1025" s="209"/>
      <c r="F1025" s="209"/>
      <c r="G1025" s="210"/>
    </row>
    <row r="1026" spans="1:7" s="25" customFormat="1" ht="13.8" x14ac:dyDescent="0.3">
      <c r="A1026" s="208"/>
      <c r="B1026" s="208"/>
      <c r="C1026" s="209"/>
      <c r="D1026" s="209"/>
      <c r="E1026" s="209"/>
      <c r="F1026" s="209"/>
      <c r="G1026" s="210"/>
    </row>
    <row r="1027" spans="1:7" s="25" customFormat="1" ht="13.8" x14ac:dyDescent="0.3">
      <c r="A1027" s="208"/>
      <c r="B1027" s="208"/>
      <c r="C1027" s="209"/>
      <c r="D1027" s="209"/>
      <c r="E1027" s="209"/>
      <c r="F1027" s="209"/>
      <c r="G1027" s="210"/>
    </row>
    <row r="1028" spans="1:7" s="25" customFormat="1" ht="13.8" x14ac:dyDescent="0.3">
      <c r="A1028" s="208"/>
      <c r="B1028" s="208"/>
      <c r="C1028" s="209"/>
      <c r="D1028" s="209"/>
      <c r="E1028" s="209"/>
      <c r="F1028" s="209"/>
      <c r="G1028" s="210"/>
    </row>
    <row r="1029" spans="1:7" s="25" customFormat="1" ht="13.8" x14ac:dyDescent="0.3">
      <c r="A1029" s="208"/>
      <c r="B1029" s="208"/>
      <c r="C1029" s="209"/>
      <c r="D1029" s="209"/>
      <c r="E1029" s="209"/>
      <c r="F1029" s="209"/>
      <c r="G1029" s="210"/>
    </row>
    <row r="1030" spans="1:7" s="25" customFormat="1" ht="13.8" x14ac:dyDescent="0.3">
      <c r="A1030" s="208"/>
      <c r="B1030" s="208"/>
      <c r="C1030" s="209"/>
      <c r="D1030" s="209"/>
      <c r="E1030" s="209"/>
      <c r="F1030" s="209"/>
      <c r="G1030" s="210"/>
    </row>
    <row r="1031" spans="1:7" s="25" customFormat="1" ht="13.8" x14ac:dyDescent="0.3">
      <c r="A1031" s="208"/>
      <c r="B1031" s="208"/>
      <c r="C1031" s="209"/>
      <c r="D1031" s="209"/>
      <c r="E1031" s="209"/>
      <c r="F1031" s="209"/>
      <c r="G1031" s="210"/>
    </row>
    <row r="1032" spans="1:7" s="25" customFormat="1" ht="13.8" x14ac:dyDescent="0.3">
      <c r="A1032" s="208"/>
      <c r="B1032" s="208"/>
      <c r="C1032" s="209"/>
      <c r="D1032" s="209"/>
      <c r="E1032" s="209"/>
      <c r="F1032" s="209"/>
      <c r="G1032" s="210"/>
    </row>
    <row r="1033" spans="1:7" s="25" customFormat="1" ht="13.8" x14ac:dyDescent="0.3">
      <c r="A1033" s="208"/>
      <c r="B1033" s="208"/>
      <c r="C1033" s="209"/>
      <c r="D1033" s="209"/>
      <c r="E1033" s="209"/>
      <c r="F1033" s="209"/>
      <c r="G1033" s="210"/>
    </row>
    <row r="1034" spans="1:7" s="25" customFormat="1" ht="13.8" x14ac:dyDescent="0.3">
      <c r="A1034" s="208"/>
      <c r="B1034" s="208"/>
      <c r="C1034" s="209"/>
      <c r="D1034" s="209"/>
      <c r="E1034" s="209"/>
      <c r="F1034" s="209"/>
      <c r="G1034" s="210"/>
    </row>
    <row r="1035" spans="1:7" s="25" customFormat="1" ht="13.8" x14ac:dyDescent="0.3">
      <c r="A1035" s="208"/>
      <c r="B1035" s="208"/>
      <c r="C1035" s="209"/>
      <c r="D1035" s="209"/>
      <c r="E1035" s="209"/>
      <c r="F1035" s="209"/>
      <c r="G1035" s="210"/>
    </row>
    <row r="1036" spans="1:7" s="25" customFormat="1" ht="13.8" x14ac:dyDescent="0.3">
      <c r="A1036" s="208"/>
      <c r="B1036" s="208"/>
      <c r="C1036" s="209"/>
      <c r="D1036" s="209"/>
      <c r="E1036" s="209"/>
      <c r="F1036" s="209"/>
      <c r="G1036" s="210"/>
    </row>
    <row r="1037" spans="1:7" s="25" customFormat="1" ht="13.8" x14ac:dyDescent="0.3">
      <c r="A1037" s="208"/>
      <c r="B1037" s="208"/>
      <c r="C1037" s="209"/>
      <c r="D1037" s="209"/>
      <c r="E1037" s="209"/>
      <c r="F1037" s="209"/>
      <c r="G1037" s="210"/>
    </row>
    <row r="1038" spans="1:7" s="25" customFormat="1" ht="13.8" x14ac:dyDescent="0.3">
      <c r="A1038" s="208"/>
      <c r="B1038" s="208"/>
      <c r="C1038" s="209"/>
      <c r="D1038" s="209"/>
      <c r="E1038" s="209"/>
      <c r="F1038" s="209"/>
      <c r="G1038" s="210"/>
    </row>
    <row r="1039" spans="1:7" s="25" customFormat="1" ht="13.8" x14ac:dyDescent="0.3">
      <c r="A1039" s="208"/>
      <c r="B1039" s="208"/>
      <c r="C1039" s="209"/>
      <c r="D1039" s="209"/>
      <c r="E1039" s="209"/>
      <c r="F1039" s="209"/>
      <c r="G1039" s="210"/>
    </row>
    <row r="1040" spans="1:7" s="25" customFormat="1" ht="13.8" x14ac:dyDescent="0.3">
      <c r="A1040" s="208"/>
      <c r="B1040" s="208"/>
      <c r="C1040" s="209"/>
      <c r="D1040" s="209"/>
      <c r="E1040" s="209"/>
      <c r="F1040" s="209"/>
      <c r="G1040" s="210"/>
    </row>
    <row r="1041" spans="1:7" s="25" customFormat="1" ht="13.8" x14ac:dyDescent="0.3">
      <c r="A1041" s="208"/>
      <c r="B1041" s="208"/>
      <c r="C1041" s="209"/>
      <c r="D1041" s="209"/>
      <c r="E1041" s="209"/>
      <c r="F1041" s="209"/>
      <c r="G1041" s="210"/>
    </row>
    <row r="1042" spans="1:7" s="25" customFormat="1" ht="13.8" x14ac:dyDescent="0.3">
      <c r="A1042" s="208"/>
      <c r="B1042" s="208"/>
      <c r="C1042" s="209"/>
      <c r="D1042" s="209"/>
      <c r="E1042" s="209"/>
      <c r="F1042" s="209"/>
      <c r="G1042" s="210"/>
    </row>
    <row r="1043" spans="1:7" s="25" customFormat="1" ht="13.8" x14ac:dyDescent="0.3">
      <c r="A1043" s="208"/>
      <c r="B1043" s="208"/>
      <c r="C1043" s="209"/>
      <c r="D1043" s="209"/>
      <c r="E1043" s="209"/>
      <c r="F1043" s="209"/>
      <c r="G1043" s="210"/>
    </row>
    <row r="1044" spans="1:7" s="25" customFormat="1" ht="13.8" x14ac:dyDescent="0.3">
      <c r="A1044" s="208"/>
      <c r="B1044" s="208"/>
      <c r="C1044" s="209"/>
      <c r="D1044" s="209"/>
      <c r="E1044" s="209"/>
      <c r="F1044" s="209"/>
      <c r="G1044" s="210"/>
    </row>
    <row r="1045" spans="1:7" s="25" customFormat="1" ht="13.8" x14ac:dyDescent="0.3">
      <c r="A1045" s="208"/>
      <c r="B1045" s="208"/>
      <c r="C1045" s="209"/>
      <c r="D1045" s="209"/>
      <c r="E1045" s="209"/>
      <c r="F1045" s="209"/>
      <c r="G1045" s="210"/>
    </row>
    <row r="1046" spans="1:7" s="25" customFormat="1" ht="13.8" x14ac:dyDescent="0.3">
      <c r="A1046" s="208"/>
      <c r="B1046" s="208"/>
      <c r="C1046" s="209"/>
      <c r="D1046" s="209"/>
      <c r="E1046" s="209"/>
      <c r="F1046" s="209"/>
      <c r="G1046" s="210"/>
    </row>
    <row r="1047" spans="1:7" s="25" customFormat="1" ht="13.8" x14ac:dyDescent="0.3">
      <c r="A1047" s="208"/>
      <c r="B1047" s="208"/>
      <c r="C1047" s="209"/>
      <c r="D1047" s="209"/>
      <c r="E1047" s="209"/>
      <c r="F1047" s="209"/>
      <c r="G1047" s="210"/>
    </row>
    <row r="1048" spans="1:7" s="25" customFormat="1" ht="13.8" x14ac:dyDescent="0.3">
      <c r="A1048" s="208"/>
      <c r="B1048" s="208"/>
      <c r="C1048" s="209"/>
      <c r="D1048" s="209"/>
      <c r="E1048" s="209"/>
      <c r="F1048" s="209"/>
      <c r="G1048" s="210"/>
    </row>
    <row r="1049" spans="1:7" s="25" customFormat="1" ht="13.8" x14ac:dyDescent="0.3">
      <c r="A1049" s="208"/>
      <c r="B1049" s="208"/>
      <c r="C1049" s="209"/>
      <c r="D1049" s="209"/>
      <c r="E1049" s="209"/>
      <c r="F1049" s="209"/>
      <c r="G1049" s="210"/>
    </row>
    <row r="1050" spans="1:7" s="25" customFormat="1" ht="13.8" x14ac:dyDescent="0.3">
      <c r="A1050" s="208"/>
      <c r="B1050" s="208"/>
      <c r="C1050" s="209"/>
      <c r="D1050" s="209"/>
      <c r="E1050" s="209"/>
      <c r="F1050" s="209"/>
      <c r="G1050" s="210"/>
    </row>
    <row r="1051" spans="1:7" s="25" customFormat="1" ht="13.8" x14ac:dyDescent="0.3">
      <c r="A1051" s="208"/>
      <c r="B1051" s="208"/>
      <c r="C1051" s="209"/>
      <c r="D1051" s="209"/>
      <c r="E1051" s="209"/>
      <c r="F1051" s="209"/>
      <c r="G1051" s="210"/>
    </row>
    <row r="1052" spans="1:7" s="25" customFormat="1" ht="13.8" x14ac:dyDescent="0.3">
      <c r="A1052" s="208"/>
      <c r="B1052" s="208"/>
      <c r="C1052" s="209"/>
      <c r="D1052" s="209"/>
      <c r="E1052" s="209"/>
      <c r="F1052" s="209"/>
      <c r="G1052" s="210"/>
    </row>
    <row r="1053" spans="1:7" s="25" customFormat="1" ht="13.8" x14ac:dyDescent="0.3">
      <c r="A1053" s="208"/>
      <c r="B1053" s="208"/>
      <c r="C1053" s="209"/>
      <c r="D1053" s="209"/>
      <c r="E1053" s="209"/>
      <c r="F1053" s="209"/>
      <c r="G1053" s="210"/>
    </row>
    <row r="1054" spans="1:7" s="25" customFormat="1" ht="13.8" x14ac:dyDescent="0.3">
      <c r="A1054" s="208"/>
      <c r="B1054" s="208"/>
      <c r="C1054" s="209"/>
      <c r="D1054" s="209"/>
      <c r="E1054" s="209"/>
      <c r="F1054" s="209"/>
      <c r="G1054" s="210"/>
    </row>
    <row r="1055" spans="1:7" s="25" customFormat="1" ht="13.8" x14ac:dyDescent="0.3">
      <c r="A1055" s="208"/>
      <c r="B1055" s="208"/>
      <c r="C1055" s="209"/>
      <c r="D1055" s="209"/>
      <c r="E1055" s="209"/>
      <c r="F1055" s="209"/>
      <c r="G1055" s="210"/>
    </row>
    <row r="1056" spans="1:7" s="25" customFormat="1" ht="13.8" x14ac:dyDescent="0.3">
      <c r="A1056" s="208"/>
      <c r="B1056" s="208"/>
      <c r="C1056" s="209"/>
      <c r="D1056" s="209"/>
      <c r="E1056" s="209"/>
      <c r="F1056" s="209"/>
      <c r="G1056" s="210"/>
    </row>
    <row r="1057" spans="1:7" s="25" customFormat="1" ht="13.8" x14ac:dyDescent="0.3">
      <c r="A1057" s="208"/>
      <c r="B1057" s="208"/>
      <c r="C1057" s="209"/>
      <c r="D1057" s="209"/>
      <c r="E1057" s="209"/>
      <c r="F1057" s="209"/>
      <c r="G1057" s="210"/>
    </row>
    <row r="1058" spans="1:7" s="25" customFormat="1" ht="13.8" x14ac:dyDescent="0.3">
      <c r="A1058" s="208"/>
      <c r="B1058" s="208"/>
      <c r="C1058" s="209"/>
      <c r="D1058" s="209"/>
      <c r="E1058" s="209"/>
      <c r="F1058" s="209"/>
      <c r="G1058" s="210"/>
    </row>
    <row r="1059" spans="1:7" s="25" customFormat="1" ht="13.8" x14ac:dyDescent="0.3">
      <c r="A1059" s="208"/>
      <c r="B1059" s="208"/>
      <c r="C1059" s="209"/>
      <c r="D1059" s="209"/>
      <c r="E1059" s="209"/>
      <c r="F1059" s="209"/>
      <c r="G1059" s="210"/>
    </row>
    <row r="1060" spans="1:7" s="25" customFormat="1" ht="13.8" x14ac:dyDescent="0.3">
      <c r="A1060" s="208"/>
      <c r="B1060" s="208"/>
      <c r="C1060" s="209"/>
      <c r="D1060" s="209"/>
      <c r="E1060" s="209"/>
      <c r="F1060" s="209"/>
      <c r="G1060" s="210"/>
    </row>
    <row r="1061" spans="1:7" s="25" customFormat="1" ht="13.8" x14ac:dyDescent="0.3">
      <c r="A1061" s="208"/>
      <c r="B1061" s="208"/>
      <c r="C1061" s="209"/>
      <c r="D1061" s="209"/>
      <c r="E1061" s="209"/>
      <c r="F1061" s="209"/>
      <c r="G1061" s="210"/>
    </row>
    <row r="1062" spans="1:7" s="25" customFormat="1" ht="13.8" x14ac:dyDescent="0.3">
      <c r="A1062" s="208"/>
      <c r="B1062" s="208"/>
      <c r="C1062" s="209"/>
      <c r="D1062" s="209"/>
      <c r="E1062" s="209"/>
      <c r="F1062" s="209"/>
      <c r="G1062" s="210"/>
    </row>
    <row r="1063" spans="1:7" s="25" customFormat="1" ht="13.8" x14ac:dyDescent="0.3">
      <c r="A1063" s="208"/>
      <c r="B1063" s="208"/>
      <c r="C1063" s="209"/>
      <c r="D1063" s="209"/>
      <c r="E1063" s="209"/>
      <c r="F1063" s="209"/>
      <c r="G1063" s="210"/>
    </row>
    <row r="1064" spans="1:7" s="25" customFormat="1" ht="13.8" x14ac:dyDescent="0.3">
      <c r="A1064" s="208"/>
      <c r="B1064" s="208"/>
      <c r="C1064" s="209"/>
      <c r="D1064" s="209"/>
      <c r="E1064" s="209"/>
      <c r="F1064" s="209"/>
      <c r="G1064" s="210"/>
    </row>
    <row r="1065" spans="1:7" s="25" customFormat="1" ht="13.8" x14ac:dyDescent="0.3">
      <c r="A1065" s="208"/>
      <c r="B1065" s="208"/>
      <c r="C1065" s="209"/>
      <c r="D1065" s="209"/>
      <c r="E1065" s="209"/>
      <c r="F1065" s="209"/>
      <c r="G1065" s="210"/>
    </row>
    <row r="1066" spans="1:7" s="25" customFormat="1" ht="13.8" x14ac:dyDescent="0.3">
      <c r="A1066" s="208"/>
      <c r="B1066" s="208"/>
      <c r="C1066" s="209"/>
      <c r="D1066" s="209"/>
      <c r="E1066" s="209"/>
      <c r="F1066" s="209"/>
      <c r="G1066" s="210"/>
    </row>
    <row r="1067" spans="1:7" s="25" customFormat="1" ht="13.8" x14ac:dyDescent="0.3">
      <c r="A1067" s="208"/>
      <c r="B1067" s="208"/>
      <c r="C1067" s="209"/>
      <c r="D1067" s="209"/>
      <c r="E1067" s="209"/>
      <c r="F1067" s="209"/>
      <c r="G1067" s="210"/>
    </row>
    <row r="1068" spans="1:7" s="25" customFormat="1" ht="13.8" x14ac:dyDescent="0.3">
      <c r="A1068" s="208"/>
      <c r="B1068" s="208"/>
      <c r="C1068" s="209"/>
      <c r="D1068" s="209"/>
      <c r="E1068" s="209"/>
      <c r="F1068" s="209"/>
      <c r="G1068" s="210"/>
    </row>
    <row r="1069" spans="1:7" s="25" customFormat="1" ht="13.8" x14ac:dyDescent="0.3">
      <c r="A1069" s="208"/>
      <c r="B1069" s="208"/>
      <c r="C1069" s="209"/>
      <c r="D1069" s="209"/>
      <c r="E1069" s="209"/>
      <c r="F1069" s="209"/>
      <c r="G1069" s="210"/>
    </row>
    <row r="1070" spans="1:7" s="25" customFormat="1" ht="13.8" x14ac:dyDescent="0.3">
      <c r="A1070" s="208"/>
      <c r="B1070" s="208"/>
      <c r="C1070" s="209"/>
      <c r="D1070" s="209"/>
      <c r="E1070" s="209"/>
      <c r="F1070" s="209"/>
      <c r="G1070" s="210"/>
    </row>
    <row r="1071" spans="1:7" s="25" customFormat="1" ht="13.8" x14ac:dyDescent="0.3">
      <c r="A1071" s="208"/>
      <c r="B1071" s="208"/>
      <c r="C1071" s="209"/>
      <c r="D1071" s="209"/>
      <c r="E1071" s="209"/>
      <c r="F1071" s="209"/>
      <c r="G1071" s="210"/>
    </row>
    <row r="1072" spans="1:7" s="25" customFormat="1" ht="13.8" x14ac:dyDescent="0.3">
      <c r="A1072" s="208"/>
      <c r="B1072" s="208"/>
      <c r="C1072" s="209"/>
      <c r="D1072" s="209"/>
      <c r="E1072" s="209"/>
      <c r="F1072" s="209"/>
      <c r="G1072" s="210"/>
    </row>
    <row r="1073" spans="1:7" s="25" customFormat="1" ht="13.8" x14ac:dyDescent="0.3">
      <c r="A1073" s="208"/>
      <c r="B1073" s="208"/>
      <c r="C1073" s="209"/>
      <c r="D1073" s="209"/>
      <c r="E1073" s="209"/>
      <c r="F1073" s="209"/>
      <c r="G1073" s="210"/>
    </row>
    <row r="1074" spans="1:7" s="25" customFormat="1" ht="13.8" x14ac:dyDescent="0.3">
      <c r="A1074" s="208"/>
      <c r="B1074" s="208"/>
      <c r="C1074" s="209"/>
      <c r="D1074" s="209"/>
      <c r="E1074" s="209"/>
      <c r="F1074" s="209"/>
      <c r="G1074" s="210"/>
    </row>
    <row r="1075" spans="1:7" s="25" customFormat="1" ht="13.8" x14ac:dyDescent="0.3">
      <c r="A1075" s="208"/>
      <c r="B1075" s="208"/>
      <c r="C1075" s="209"/>
      <c r="D1075" s="209"/>
      <c r="E1075" s="209"/>
      <c r="F1075" s="209"/>
      <c r="G1075" s="210"/>
    </row>
    <row r="1076" spans="1:7" s="25" customFormat="1" ht="13.8" x14ac:dyDescent="0.3">
      <c r="A1076" s="208"/>
      <c r="B1076" s="208"/>
      <c r="C1076" s="209"/>
      <c r="D1076" s="209"/>
      <c r="E1076" s="209"/>
      <c r="F1076" s="209"/>
      <c r="G1076" s="210"/>
    </row>
    <row r="1077" spans="1:7" s="25" customFormat="1" ht="13.8" x14ac:dyDescent="0.3">
      <c r="A1077" s="208"/>
      <c r="B1077" s="208"/>
      <c r="C1077" s="209"/>
      <c r="D1077" s="209"/>
      <c r="E1077" s="209"/>
      <c r="F1077" s="209"/>
      <c r="G1077" s="210"/>
    </row>
    <row r="1078" spans="1:7" s="25" customFormat="1" ht="13.8" x14ac:dyDescent="0.3">
      <c r="A1078" s="208"/>
      <c r="B1078" s="208"/>
      <c r="C1078" s="209"/>
      <c r="D1078" s="209"/>
      <c r="E1078" s="209"/>
      <c r="F1078" s="209"/>
      <c r="G1078" s="210"/>
    </row>
    <row r="1079" spans="1:7" s="25" customFormat="1" ht="13.8" x14ac:dyDescent="0.3">
      <c r="A1079" s="208"/>
      <c r="B1079" s="208"/>
      <c r="C1079" s="209"/>
      <c r="D1079" s="209"/>
      <c r="E1079" s="209"/>
      <c r="F1079" s="209"/>
      <c r="G1079" s="210"/>
    </row>
    <row r="1080" spans="1:7" s="25" customFormat="1" ht="13.8" x14ac:dyDescent="0.3">
      <c r="A1080" s="208"/>
      <c r="B1080" s="208"/>
      <c r="C1080" s="209"/>
      <c r="D1080" s="209"/>
      <c r="E1080" s="209"/>
      <c r="F1080" s="209"/>
      <c r="G1080" s="210"/>
    </row>
    <row r="1081" spans="1:7" s="25" customFormat="1" ht="13.8" x14ac:dyDescent="0.3">
      <c r="A1081" s="208"/>
      <c r="B1081" s="208"/>
      <c r="C1081" s="209"/>
      <c r="D1081" s="209"/>
      <c r="E1081" s="209"/>
      <c r="F1081" s="209"/>
      <c r="G1081" s="210"/>
    </row>
    <row r="1082" spans="1:7" s="25" customFormat="1" ht="13.8" x14ac:dyDescent="0.3">
      <c r="A1082" s="208"/>
      <c r="B1082" s="208"/>
      <c r="C1082" s="209"/>
      <c r="D1082" s="209"/>
      <c r="E1082" s="209"/>
      <c r="F1082" s="209"/>
      <c r="G1082" s="210"/>
    </row>
    <row r="1083" spans="1:7" s="25" customFormat="1" ht="13.8" x14ac:dyDescent="0.3">
      <c r="A1083" s="208"/>
      <c r="B1083" s="208"/>
      <c r="C1083" s="209"/>
      <c r="D1083" s="209"/>
      <c r="E1083" s="209"/>
      <c r="F1083" s="209"/>
      <c r="G1083" s="210"/>
    </row>
    <row r="1084" spans="1:7" s="25" customFormat="1" ht="13.8" x14ac:dyDescent="0.3">
      <c r="A1084" s="208"/>
      <c r="B1084" s="208"/>
      <c r="C1084" s="209"/>
      <c r="D1084" s="209"/>
      <c r="E1084" s="209"/>
      <c r="F1084" s="209"/>
      <c r="G1084" s="210"/>
    </row>
    <row r="1085" spans="1:7" s="25" customFormat="1" ht="13.8" x14ac:dyDescent="0.3">
      <c r="A1085" s="208"/>
      <c r="B1085" s="208"/>
      <c r="C1085" s="209"/>
      <c r="D1085" s="209"/>
      <c r="E1085" s="209"/>
      <c r="F1085" s="209"/>
      <c r="G1085" s="210"/>
    </row>
    <row r="1086" spans="1:7" s="25" customFormat="1" ht="13.8" x14ac:dyDescent="0.3">
      <c r="A1086" s="208"/>
      <c r="B1086" s="208"/>
      <c r="C1086" s="209"/>
      <c r="D1086" s="209"/>
      <c r="E1086" s="209"/>
      <c r="F1086" s="209"/>
      <c r="G1086" s="210"/>
    </row>
    <row r="1087" spans="1:7" s="25" customFormat="1" ht="13.8" x14ac:dyDescent="0.3">
      <c r="A1087" s="208"/>
      <c r="B1087" s="208"/>
      <c r="C1087" s="209"/>
      <c r="D1087" s="209"/>
      <c r="E1087" s="209"/>
      <c r="F1087" s="209"/>
      <c r="G1087" s="210"/>
    </row>
    <row r="1088" spans="1:7" s="25" customFormat="1" ht="13.8" x14ac:dyDescent="0.3">
      <c r="A1088" s="208"/>
      <c r="B1088" s="208"/>
      <c r="C1088" s="209"/>
      <c r="D1088" s="209"/>
      <c r="E1088" s="209"/>
      <c r="F1088" s="209"/>
      <c r="G1088" s="210"/>
    </row>
    <row r="1089" spans="1:7" s="25" customFormat="1" ht="13.8" x14ac:dyDescent="0.3">
      <c r="A1089" s="208"/>
      <c r="B1089" s="208"/>
      <c r="C1089" s="209"/>
      <c r="D1089" s="209"/>
      <c r="E1089" s="209"/>
      <c r="F1089" s="209"/>
      <c r="G1089" s="210"/>
    </row>
    <row r="1090" spans="1:7" s="25" customFormat="1" ht="13.8" x14ac:dyDescent="0.3">
      <c r="A1090" s="208"/>
      <c r="B1090" s="208"/>
      <c r="C1090" s="209"/>
      <c r="D1090" s="209"/>
      <c r="E1090" s="209"/>
      <c r="F1090" s="209"/>
      <c r="G1090" s="210"/>
    </row>
    <row r="1091" spans="1:7" s="25" customFormat="1" ht="13.8" x14ac:dyDescent="0.3">
      <c r="A1091" s="208"/>
      <c r="B1091" s="208"/>
      <c r="C1091" s="209"/>
      <c r="D1091" s="209"/>
      <c r="E1091" s="209"/>
      <c r="F1091" s="209"/>
      <c r="G1091" s="210"/>
    </row>
    <row r="1092" spans="1:7" s="25" customFormat="1" ht="13.8" x14ac:dyDescent="0.3">
      <c r="A1092" s="208"/>
      <c r="B1092" s="208"/>
      <c r="C1092" s="209"/>
      <c r="D1092" s="209"/>
      <c r="E1092" s="209"/>
      <c r="F1092" s="209"/>
      <c r="G1092" s="210"/>
    </row>
    <row r="1093" spans="1:7" s="25" customFormat="1" ht="13.8" x14ac:dyDescent="0.3">
      <c r="A1093" s="208"/>
      <c r="B1093" s="208"/>
      <c r="C1093" s="209"/>
      <c r="D1093" s="209"/>
      <c r="E1093" s="209"/>
      <c r="F1093" s="209"/>
      <c r="G1093" s="210"/>
    </row>
    <row r="1094" spans="1:7" s="25" customFormat="1" ht="13.8" x14ac:dyDescent="0.3">
      <c r="A1094" s="208"/>
      <c r="B1094" s="208"/>
      <c r="C1094" s="209"/>
      <c r="D1094" s="209"/>
      <c r="E1094" s="209"/>
      <c r="F1094" s="209"/>
      <c r="G1094" s="210"/>
    </row>
    <row r="1095" spans="1:7" s="25" customFormat="1" ht="13.8" x14ac:dyDescent="0.3">
      <c r="A1095" s="208"/>
      <c r="B1095" s="208"/>
      <c r="C1095" s="209"/>
      <c r="D1095" s="209"/>
      <c r="E1095" s="209"/>
      <c r="F1095" s="209"/>
      <c r="G1095" s="210"/>
    </row>
    <row r="1096" spans="1:7" s="25" customFormat="1" ht="13.8" x14ac:dyDescent="0.3">
      <c r="A1096" s="208"/>
      <c r="B1096" s="208"/>
      <c r="C1096" s="209"/>
      <c r="D1096" s="209"/>
      <c r="E1096" s="209"/>
      <c r="F1096" s="209"/>
      <c r="G1096" s="210"/>
    </row>
    <row r="1097" spans="1:7" s="25" customFormat="1" ht="13.8" x14ac:dyDescent="0.3">
      <c r="A1097" s="208"/>
      <c r="B1097" s="208"/>
      <c r="C1097" s="209"/>
      <c r="D1097" s="209"/>
      <c r="E1097" s="209"/>
      <c r="F1097" s="209"/>
      <c r="G1097" s="210"/>
    </row>
    <row r="1098" spans="1:7" s="25" customFormat="1" ht="13.8" x14ac:dyDescent="0.3">
      <c r="A1098" s="208"/>
      <c r="B1098" s="208"/>
      <c r="C1098" s="209"/>
      <c r="D1098" s="209"/>
      <c r="E1098" s="209"/>
      <c r="F1098" s="209"/>
      <c r="G1098" s="210"/>
    </row>
    <row r="1099" spans="1:7" s="25" customFormat="1" ht="13.8" x14ac:dyDescent="0.3">
      <c r="A1099" s="208"/>
      <c r="B1099" s="208"/>
      <c r="C1099" s="209"/>
      <c r="D1099" s="209"/>
      <c r="E1099" s="209"/>
      <c r="F1099" s="209"/>
      <c r="G1099" s="210"/>
    </row>
    <row r="1100" spans="1:7" s="25" customFormat="1" ht="13.8" x14ac:dyDescent="0.3">
      <c r="A1100" s="208"/>
      <c r="B1100" s="208"/>
      <c r="C1100" s="209"/>
      <c r="D1100" s="209"/>
      <c r="E1100" s="209"/>
      <c r="F1100" s="209"/>
      <c r="G1100" s="210"/>
    </row>
    <row r="1101" spans="1:7" s="25" customFormat="1" ht="13.8" x14ac:dyDescent="0.3">
      <c r="A1101" s="208"/>
      <c r="B1101" s="208"/>
      <c r="C1101" s="209"/>
      <c r="D1101" s="209"/>
      <c r="E1101" s="209"/>
      <c r="F1101" s="209"/>
      <c r="G1101" s="210"/>
    </row>
    <row r="1102" spans="1:7" s="25" customFormat="1" ht="13.8" x14ac:dyDescent="0.3">
      <c r="A1102" s="208"/>
      <c r="B1102" s="208"/>
      <c r="C1102" s="209"/>
      <c r="D1102" s="209"/>
      <c r="E1102" s="209"/>
      <c r="F1102" s="209"/>
      <c r="G1102" s="210"/>
    </row>
    <row r="1103" spans="1:7" s="25" customFormat="1" ht="13.8" x14ac:dyDescent="0.3">
      <c r="A1103" s="208"/>
      <c r="B1103" s="208"/>
      <c r="C1103" s="209"/>
      <c r="D1103" s="209"/>
      <c r="E1103" s="209"/>
      <c r="F1103" s="209"/>
      <c r="G1103" s="210"/>
    </row>
    <row r="1104" spans="1:7" s="25" customFormat="1" ht="13.8" x14ac:dyDescent="0.3">
      <c r="A1104" s="208"/>
      <c r="B1104" s="208"/>
      <c r="C1104" s="209"/>
      <c r="D1104" s="209"/>
      <c r="E1104" s="209"/>
      <c r="F1104" s="209"/>
      <c r="G1104" s="210"/>
    </row>
    <row r="1105" spans="1:7" s="25" customFormat="1" ht="13.8" x14ac:dyDescent="0.3">
      <c r="A1105" s="208"/>
      <c r="B1105" s="208"/>
      <c r="C1105" s="209"/>
      <c r="D1105" s="209"/>
      <c r="E1105" s="209"/>
      <c r="F1105" s="209"/>
      <c r="G1105" s="210"/>
    </row>
    <row r="1106" spans="1:7" s="25" customFormat="1" ht="13.8" x14ac:dyDescent="0.3">
      <c r="A1106" s="208"/>
      <c r="B1106" s="208"/>
      <c r="C1106" s="209"/>
      <c r="D1106" s="209"/>
      <c r="E1106" s="209"/>
      <c r="F1106" s="209"/>
      <c r="G1106" s="210"/>
    </row>
    <row r="1107" spans="1:7" s="25" customFormat="1" ht="13.8" x14ac:dyDescent="0.3">
      <c r="A1107" s="208"/>
      <c r="B1107" s="208"/>
      <c r="C1107" s="209"/>
      <c r="D1107" s="209"/>
      <c r="E1107" s="209"/>
      <c r="F1107" s="209"/>
      <c r="G1107" s="210"/>
    </row>
    <row r="1108" spans="1:7" s="25" customFormat="1" ht="13.8" x14ac:dyDescent="0.3">
      <c r="A1108" s="208"/>
      <c r="B1108" s="208"/>
      <c r="C1108" s="209"/>
      <c r="D1108" s="209"/>
      <c r="E1108" s="209"/>
      <c r="F1108" s="209"/>
      <c r="G1108" s="210"/>
    </row>
    <row r="1109" spans="1:7" s="25" customFormat="1" ht="13.8" x14ac:dyDescent="0.3">
      <c r="A1109" s="208"/>
      <c r="B1109" s="208"/>
      <c r="C1109" s="209"/>
      <c r="D1109" s="209"/>
      <c r="E1109" s="209"/>
      <c r="F1109" s="209"/>
      <c r="G1109" s="210"/>
    </row>
    <row r="1110" spans="1:7" s="25" customFormat="1" ht="13.8" x14ac:dyDescent="0.3">
      <c r="A1110" s="208"/>
      <c r="B1110" s="208"/>
      <c r="C1110" s="209"/>
      <c r="D1110" s="209"/>
      <c r="E1110" s="209"/>
      <c r="F1110" s="209"/>
      <c r="G1110" s="210"/>
    </row>
    <row r="1111" spans="1:7" s="25" customFormat="1" ht="13.8" x14ac:dyDescent="0.3">
      <c r="A1111" s="208"/>
      <c r="B1111" s="208"/>
      <c r="C1111" s="209"/>
      <c r="D1111" s="209"/>
      <c r="E1111" s="209"/>
      <c r="F1111" s="209"/>
      <c r="G1111" s="210"/>
    </row>
    <row r="1112" spans="1:7" s="25" customFormat="1" ht="13.8" x14ac:dyDescent="0.3">
      <c r="A1112" s="208"/>
      <c r="B1112" s="208"/>
      <c r="C1112" s="209"/>
      <c r="D1112" s="209"/>
      <c r="E1112" s="209"/>
      <c r="F1112" s="209"/>
      <c r="G1112" s="210"/>
    </row>
    <row r="1113" spans="1:7" s="25" customFormat="1" ht="13.8" x14ac:dyDescent="0.3">
      <c r="A1113" s="208"/>
      <c r="B1113" s="208"/>
      <c r="C1113" s="209"/>
      <c r="D1113" s="209"/>
      <c r="E1113" s="209"/>
      <c r="F1113" s="209"/>
      <c r="G1113" s="210"/>
    </row>
    <row r="1114" spans="1:7" s="25" customFormat="1" ht="13.8" x14ac:dyDescent="0.3">
      <c r="A1114" s="208"/>
      <c r="B1114" s="208"/>
      <c r="C1114" s="209"/>
      <c r="D1114" s="209"/>
      <c r="E1114" s="209"/>
      <c r="F1114" s="209"/>
      <c r="G1114" s="210"/>
    </row>
    <row r="1115" spans="1:7" s="25" customFormat="1" ht="13.8" x14ac:dyDescent="0.3">
      <c r="A1115" s="208"/>
      <c r="B1115" s="208"/>
      <c r="C1115" s="209"/>
      <c r="D1115" s="209"/>
      <c r="E1115" s="209"/>
      <c r="F1115" s="209"/>
      <c r="G1115" s="210"/>
    </row>
    <row r="1116" spans="1:7" s="25" customFormat="1" ht="13.8" x14ac:dyDescent="0.3">
      <c r="A1116" s="208"/>
      <c r="B1116" s="208"/>
      <c r="C1116" s="209"/>
      <c r="D1116" s="209"/>
      <c r="E1116" s="209"/>
      <c r="F1116" s="209"/>
      <c r="G1116" s="210"/>
    </row>
    <row r="1117" spans="1:7" s="25" customFormat="1" ht="13.8" x14ac:dyDescent="0.3">
      <c r="A1117" s="208"/>
      <c r="B1117" s="208"/>
      <c r="C1117" s="209"/>
      <c r="D1117" s="209"/>
      <c r="E1117" s="209"/>
      <c r="F1117" s="209"/>
      <c r="G1117" s="210"/>
    </row>
    <row r="1118" spans="1:7" s="25" customFormat="1" ht="13.8" x14ac:dyDescent="0.3">
      <c r="A1118" s="208"/>
      <c r="B1118" s="208"/>
      <c r="C1118" s="209"/>
      <c r="D1118" s="209"/>
      <c r="E1118" s="209"/>
      <c r="F1118" s="209"/>
      <c r="G1118" s="210"/>
    </row>
    <row r="1119" spans="1:7" s="25" customFormat="1" ht="13.8" x14ac:dyDescent="0.3">
      <c r="A1119" s="208"/>
      <c r="B1119" s="208"/>
      <c r="C1119" s="209"/>
      <c r="D1119" s="209"/>
      <c r="E1119" s="209"/>
      <c r="F1119" s="209"/>
      <c r="G1119" s="210"/>
    </row>
    <row r="1120" spans="1:7" s="25" customFormat="1" ht="13.8" x14ac:dyDescent="0.3">
      <c r="A1120" s="208"/>
      <c r="B1120" s="208"/>
      <c r="C1120" s="209"/>
      <c r="D1120" s="209"/>
      <c r="E1120" s="209"/>
      <c r="F1120" s="209"/>
      <c r="G1120" s="210"/>
    </row>
    <row r="1121" spans="1:7" s="25" customFormat="1" ht="13.8" x14ac:dyDescent="0.3">
      <c r="A1121" s="208"/>
      <c r="B1121" s="208"/>
      <c r="C1121" s="209"/>
      <c r="D1121" s="209"/>
      <c r="E1121" s="209"/>
      <c r="F1121" s="209"/>
      <c r="G1121" s="210"/>
    </row>
    <row r="1122" spans="1:7" s="25" customFormat="1" ht="13.8" x14ac:dyDescent="0.3">
      <c r="A1122" s="208"/>
      <c r="B1122" s="208"/>
      <c r="C1122" s="209"/>
      <c r="D1122" s="209"/>
      <c r="E1122" s="209"/>
      <c r="F1122" s="209"/>
      <c r="G1122" s="210"/>
    </row>
    <row r="1123" spans="1:7" s="25" customFormat="1" ht="13.8" x14ac:dyDescent="0.3">
      <c r="A1123" s="208"/>
      <c r="B1123" s="208"/>
      <c r="C1123" s="209"/>
      <c r="D1123" s="209"/>
      <c r="E1123" s="209"/>
      <c r="F1123" s="209"/>
      <c r="G1123" s="210"/>
    </row>
    <row r="1124" spans="1:7" s="25" customFormat="1" ht="13.8" x14ac:dyDescent="0.3">
      <c r="A1124" s="208"/>
      <c r="B1124" s="208"/>
      <c r="C1124" s="209"/>
      <c r="D1124" s="209"/>
      <c r="E1124" s="209"/>
      <c r="F1124" s="209"/>
      <c r="G1124" s="210"/>
    </row>
    <row r="1125" spans="1:7" s="25" customFormat="1" ht="13.8" x14ac:dyDescent="0.3">
      <c r="A1125" s="208"/>
      <c r="B1125" s="208"/>
      <c r="C1125" s="209"/>
      <c r="D1125" s="209"/>
      <c r="E1125" s="209"/>
      <c r="F1125" s="209"/>
      <c r="G1125" s="210"/>
    </row>
    <row r="1126" spans="1:7" s="25" customFormat="1" ht="13.8" x14ac:dyDescent="0.3">
      <c r="A1126" s="208"/>
      <c r="B1126" s="208"/>
      <c r="C1126" s="209"/>
      <c r="D1126" s="209"/>
      <c r="E1126" s="209"/>
      <c r="F1126" s="209"/>
      <c r="G1126" s="210"/>
    </row>
    <row r="1127" spans="1:7" s="25" customFormat="1" ht="13.8" x14ac:dyDescent="0.3">
      <c r="A1127" s="208"/>
      <c r="B1127" s="208"/>
      <c r="C1127" s="209"/>
      <c r="D1127" s="209"/>
      <c r="E1127" s="209"/>
      <c r="F1127" s="209"/>
      <c r="G1127" s="210"/>
    </row>
    <row r="1128" spans="1:7" s="25" customFormat="1" ht="13.8" x14ac:dyDescent="0.3">
      <c r="A1128" s="208"/>
      <c r="B1128" s="208"/>
      <c r="C1128" s="209"/>
      <c r="D1128" s="209"/>
      <c r="E1128" s="209"/>
      <c r="F1128" s="209"/>
      <c r="G1128" s="210"/>
    </row>
    <row r="1129" spans="1:7" s="25" customFormat="1" ht="13.8" x14ac:dyDescent="0.3">
      <c r="A1129" s="208"/>
      <c r="B1129" s="208"/>
      <c r="C1129" s="209"/>
      <c r="D1129" s="209"/>
      <c r="E1129" s="209"/>
      <c r="F1129" s="209"/>
      <c r="G1129" s="210"/>
    </row>
    <row r="1130" spans="1:7" s="25" customFormat="1" ht="13.8" x14ac:dyDescent="0.3">
      <c r="A1130" s="208"/>
      <c r="B1130" s="208"/>
      <c r="C1130" s="209"/>
      <c r="D1130" s="209"/>
      <c r="E1130" s="209"/>
      <c r="F1130" s="209"/>
      <c r="G1130" s="210"/>
    </row>
    <row r="1131" spans="1:7" s="25" customFormat="1" ht="13.8" x14ac:dyDescent="0.3">
      <c r="A1131" s="208"/>
      <c r="B1131" s="208"/>
      <c r="C1131" s="209"/>
      <c r="D1131" s="209"/>
      <c r="E1131" s="209"/>
      <c r="F1131" s="209"/>
      <c r="G1131" s="210"/>
    </row>
    <row r="1132" spans="1:7" s="25" customFormat="1" ht="13.8" x14ac:dyDescent="0.3">
      <c r="A1132" s="208"/>
      <c r="B1132" s="208"/>
      <c r="C1132" s="209"/>
      <c r="D1132" s="209"/>
      <c r="E1132" s="209"/>
      <c r="F1132" s="209"/>
      <c r="G1132" s="210"/>
    </row>
    <row r="1133" spans="1:7" s="25" customFormat="1" ht="13.8" x14ac:dyDescent="0.3">
      <c r="A1133" s="208"/>
      <c r="B1133" s="208"/>
      <c r="C1133" s="209"/>
      <c r="D1133" s="209"/>
      <c r="E1133" s="209"/>
      <c r="F1133" s="209"/>
      <c r="G1133" s="210"/>
    </row>
    <row r="1134" spans="1:7" s="25" customFormat="1" ht="13.8" x14ac:dyDescent="0.3">
      <c r="A1134" s="208"/>
      <c r="B1134" s="208"/>
      <c r="C1134" s="209"/>
      <c r="D1134" s="209"/>
      <c r="E1134" s="209"/>
      <c r="F1134" s="209"/>
      <c r="G1134" s="210"/>
    </row>
    <row r="1135" spans="1:7" s="25" customFormat="1" ht="13.8" x14ac:dyDescent="0.3">
      <c r="A1135" s="208"/>
      <c r="B1135" s="208"/>
      <c r="C1135" s="209"/>
      <c r="D1135" s="209"/>
      <c r="E1135" s="209"/>
      <c r="F1135" s="209"/>
      <c r="G1135" s="210"/>
    </row>
    <row r="1136" spans="1:7" s="25" customFormat="1" ht="13.8" x14ac:dyDescent="0.3">
      <c r="A1136" s="208"/>
      <c r="B1136" s="208"/>
      <c r="C1136" s="209"/>
      <c r="D1136" s="209"/>
      <c r="E1136" s="209"/>
      <c r="F1136" s="209"/>
      <c r="G1136" s="210"/>
    </row>
    <row r="1137" spans="1:7" s="25" customFormat="1" ht="13.8" x14ac:dyDescent="0.3">
      <c r="A1137" s="208"/>
      <c r="B1137" s="208"/>
      <c r="C1137" s="209"/>
      <c r="D1137" s="209"/>
      <c r="E1137" s="209"/>
      <c r="F1137" s="209"/>
      <c r="G1137" s="210"/>
    </row>
    <row r="1138" spans="1:7" s="25" customFormat="1" ht="13.8" x14ac:dyDescent="0.3">
      <c r="A1138" s="208"/>
      <c r="B1138" s="208"/>
      <c r="C1138" s="209"/>
      <c r="D1138" s="209"/>
      <c r="E1138" s="209"/>
      <c r="F1138" s="209"/>
      <c r="G1138" s="210"/>
    </row>
    <row r="1139" spans="1:7" s="25" customFormat="1" ht="13.8" x14ac:dyDescent="0.3">
      <c r="A1139" s="208"/>
      <c r="B1139" s="208"/>
      <c r="C1139" s="209"/>
      <c r="D1139" s="209"/>
      <c r="E1139" s="209"/>
      <c r="F1139" s="209"/>
      <c r="G1139" s="210"/>
    </row>
    <row r="1140" spans="1:7" s="25" customFormat="1" ht="13.8" x14ac:dyDescent="0.3">
      <c r="A1140" s="208"/>
      <c r="B1140" s="208"/>
      <c r="C1140" s="209"/>
      <c r="D1140" s="209"/>
      <c r="E1140" s="209"/>
      <c r="F1140" s="209"/>
      <c r="G1140" s="210"/>
    </row>
    <row r="1141" spans="1:7" s="25" customFormat="1" ht="13.8" x14ac:dyDescent="0.3">
      <c r="A1141" s="208"/>
      <c r="B1141" s="208"/>
      <c r="C1141" s="209"/>
      <c r="D1141" s="209"/>
      <c r="E1141" s="209"/>
      <c r="F1141" s="209"/>
      <c r="G1141" s="210"/>
    </row>
    <row r="1142" spans="1:7" s="25" customFormat="1" ht="13.8" x14ac:dyDescent="0.3">
      <c r="A1142" s="208"/>
      <c r="B1142" s="208"/>
      <c r="C1142" s="209"/>
      <c r="D1142" s="209"/>
      <c r="E1142" s="209"/>
      <c r="F1142" s="209"/>
      <c r="G1142" s="210"/>
    </row>
    <row r="1143" spans="1:7" s="25" customFormat="1" ht="13.8" x14ac:dyDescent="0.3">
      <c r="A1143" s="208"/>
      <c r="B1143" s="208"/>
      <c r="C1143" s="209"/>
      <c r="D1143" s="209"/>
      <c r="E1143" s="209"/>
      <c r="F1143" s="209"/>
      <c r="G1143" s="210"/>
    </row>
    <row r="1144" spans="1:7" s="25" customFormat="1" ht="13.8" x14ac:dyDescent="0.3">
      <c r="A1144" s="208"/>
      <c r="B1144" s="208"/>
      <c r="C1144" s="209"/>
      <c r="D1144" s="209"/>
      <c r="E1144" s="209"/>
      <c r="F1144" s="209"/>
      <c r="G1144" s="210"/>
    </row>
    <row r="1145" spans="1:7" s="25" customFormat="1" ht="13.8" x14ac:dyDescent="0.3">
      <c r="A1145" s="208"/>
      <c r="B1145" s="208"/>
      <c r="C1145" s="209"/>
      <c r="D1145" s="209"/>
      <c r="E1145" s="209"/>
      <c r="F1145" s="209"/>
      <c r="G1145" s="210"/>
    </row>
    <row r="1146" spans="1:7" s="25" customFormat="1" ht="13.8" x14ac:dyDescent="0.3">
      <c r="A1146" s="208"/>
      <c r="B1146" s="208"/>
      <c r="C1146" s="209"/>
      <c r="D1146" s="209"/>
      <c r="E1146" s="209"/>
      <c r="F1146" s="209"/>
      <c r="G1146" s="210"/>
    </row>
    <row r="1147" spans="1:7" s="25" customFormat="1" ht="13.8" x14ac:dyDescent="0.3">
      <c r="A1147" s="208"/>
      <c r="B1147" s="208"/>
      <c r="C1147" s="209"/>
      <c r="D1147" s="209"/>
      <c r="E1147" s="209"/>
      <c r="F1147" s="209"/>
      <c r="G1147" s="210"/>
    </row>
    <row r="1148" spans="1:7" s="25" customFormat="1" ht="13.8" x14ac:dyDescent="0.3">
      <c r="A1148" s="208"/>
      <c r="B1148" s="208"/>
      <c r="C1148" s="209"/>
      <c r="D1148" s="209"/>
      <c r="E1148" s="209"/>
      <c r="F1148" s="209"/>
      <c r="G1148" s="210"/>
    </row>
    <row r="1149" spans="1:7" s="25" customFormat="1" ht="13.8" x14ac:dyDescent="0.3">
      <c r="A1149" s="208"/>
      <c r="B1149" s="208"/>
      <c r="C1149" s="209"/>
      <c r="D1149" s="209"/>
      <c r="E1149" s="209"/>
      <c r="F1149" s="209"/>
      <c r="G1149" s="210"/>
    </row>
    <row r="1150" spans="1:7" s="25" customFormat="1" ht="13.8" x14ac:dyDescent="0.3">
      <c r="A1150" s="208"/>
      <c r="B1150" s="208"/>
      <c r="C1150" s="209"/>
      <c r="D1150" s="209"/>
      <c r="E1150" s="209"/>
      <c r="F1150" s="209"/>
      <c r="G1150" s="210"/>
    </row>
    <row r="1151" spans="1:7" s="25" customFormat="1" ht="13.8" x14ac:dyDescent="0.3">
      <c r="A1151" s="208"/>
      <c r="B1151" s="208"/>
      <c r="C1151" s="209"/>
      <c r="D1151" s="209"/>
      <c r="E1151" s="209"/>
      <c r="F1151" s="209"/>
      <c r="G1151" s="210"/>
    </row>
    <row r="1152" spans="1:7" s="25" customFormat="1" ht="13.8" x14ac:dyDescent="0.3">
      <c r="A1152" s="208"/>
      <c r="B1152" s="208"/>
      <c r="C1152" s="209"/>
      <c r="D1152" s="209"/>
      <c r="E1152" s="209"/>
      <c r="F1152" s="209"/>
      <c r="G1152" s="210"/>
    </row>
    <row r="1153" spans="1:7" s="25" customFormat="1" ht="13.8" x14ac:dyDescent="0.3">
      <c r="A1153" s="208"/>
      <c r="B1153" s="208"/>
      <c r="C1153" s="209"/>
      <c r="D1153" s="209"/>
      <c r="E1153" s="209"/>
      <c r="F1153" s="209"/>
      <c r="G1153" s="210"/>
    </row>
    <row r="1154" spans="1:7" s="25" customFormat="1" ht="13.8" x14ac:dyDescent="0.3">
      <c r="A1154" s="208"/>
      <c r="B1154" s="208"/>
      <c r="C1154" s="209"/>
      <c r="D1154" s="209"/>
      <c r="E1154" s="209"/>
      <c r="F1154" s="209"/>
      <c r="G1154" s="210"/>
    </row>
    <row r="1155" spans="1:7" s="25" customFormat="1" ht="13.8" x14ac:dyDescent="0.3">
      <c r="A1155" s="208"/>
      <c r="B1155" s="208"/>
      <c r="C1155" s="209"/>
      <c r="D1155" s="209"/>
      <c r="E1155" s="209"/>
      <c r="F1155" s="209"/>
      <c r="G1155" s="210"/>
    </row>
    <row r="1156" spans="1:7" s="25" customFormat="1" ht="13.8" x14ac:dyDescent="0.3">
      <c r="A1156" s="208"/>
      <c r="B1156" s="208"/>
      <c r="C1156" s="209"/>
      <c r="D1156" s="209"/>
      <c r="E1156" s="209"/>
      <c r="F1156" s="209"/>
      <c r="G1156" s="210"/>
    </row>
    <row r="1157" spans="1:7" s="25" customFormat="1" ht="13.8" x14ac:dyDescent="0.3">
      <c r="A1157" s="208"/>
      <c r="B1157" s="208"/>
      <c r="C1157" s="209"/>
      <c r="D1157" s="209"/>
      <c r="E1157" s="209"/>
      <c r="F1157" s="209"/>
      <c r="G1157" s="210"/>
    </row>
    <row r="1158" spans="1:7" s="25" customFormat="1" ht="13.8" x14ac:dyDescent="0.3">
      <c r="A1158" s="208"/>
      <c r="B1158" s="208"/>
      <c r="C1158" s="209"/>
      <c r="D1158" s="209"/>
      <c r="E1158" s="209"/>
      <c r="F1158" s="209"/>
      <c r="G1158" s="210"/>
    </row>
    <row r="1159" spans="1:7" s="25" customFormat="1" ht="13.8" x14ac:dyDescent="0.3">
      <c r="A1159" s="208"/>
      <c r="B1159" s="208"/>
      <c r="C1159" s="209"/>
      <c r="D1159" s="209"/>
      <c r="E1159" s="209"/>
      <c r="F1159" s="209"/>
      <c r="G1159" s="210"/>
    </row>
    <row r="1160" spans="1:7" s="25" customFormat="1" ht="13.8" x14ac:dyDescent="0.3">
      <c r="A1160" s="208"/>
      <c r="B1160" s="208"/>
      <c r="C1160" s="209"/>
      <c r="D1160" s="209"/>
      <c r="E1160" s="209"/>
      <c r="F1160" s="209"/>
      <c r="G1160" s="210"/>
    </row>
    <row r="1161" spans="1:7" s="25" customFormat="1" ht="13.8" x14ac:dyDescent="0.3">
      <c r="A1161" s="208"/>
      <c r="B1161" s="208"/>
      <c r="C1161" s="209"/>
      <c r="D1161" s="209"/>
      <c r="E1161" s="209"/>
      <c r="F1161" s="209"/>
      <c r="G1161" s="210"/>
    </row>
    <row r="1162" spans="1:7" s="25" customFormat="1" ht="13.8" x14ac:dyDescent="0.3">
      <c r="A1162" s="208"/>
      <c r="B1162" s="208"/>
      <c r="C1162" s="209"/>
      <c r="D1162" s="209"/>
      <c r="E1162" s="209"/>
      <c r="F1162" s="209"/>
      <c r="G1162" s="210"/>
    </row>
    <row r="1163" spans="1:7" s="25" customFormat="1" ht="13.8" x14ac:dyDescent="0.3">
      <c r="A1163" s="208"/>
      <c r="B1163" s="208"/>
      <c r="C1163" s="209"/>
      <c r="D1163" s="209"/>
      <c r="E1163" s="209"/>
      <c r="F1163" s="209"/>
      <c r="G1163" s="210"/>
    </row>
    <row r="1164" spans="1:7" s="25" customFormat="1" ht="13.8" x14ac:dyDescent="0.3">
      <c r="A1164" s="208"/>
      <c r="B1164" s="208"/>
      <c r="C1164" s="209"/>
      <c r="D1164" s="209"/>
      <c r="E1164" s="209"/>
      <c r="F1164" s="209"/>
      <c r="G1164" s="210"/>
    </row>
    <row r="1165" spans="1:7" s="25" customFormat="1" ht="13.8" x14ac:dyDescent="0.3">
      <c r="A1165" s="208"/>
      <c r="B1165" s="208"/>
      <c r="C1165" s="209"/>
      <c r="D1165" s="209"/>
      <c r="E1165" s="209"/>
      <c r="F1165" s="209"/>
      <c r="G1165" s="210"/>
    </row>
    <row r="1166" spans="1:7" s="25" customFormat="1" ht="13.8" x14ac:dyDescent="0.3">
      <c r="A1166" s="208"/>
      <c r="B1166" s="208"/>
      <c r="C1166" s="209"/>
      <c r="D1166" s="209"/>
      <c r="E1166" s="209"/>
      <c r="F1166" s="209"/>
      <c r="G1166" s="210"/>
    </row>
    <row r="1167" spans="1:7" s="25" customFormat="1" ht="13.8" x14ac:dyDescent="0.3">
      <c r="A1167" s="208"/>
      <c r="B1167" s="208"/>
      <c r="C1167" s="209"/>
      <c r="D1167" s="209"/>
      <c r="E1167" s="209"/>
      <c r="F1167" s="209"/>
      <c r="G1167" s="210"/>
    </row>
    <row r="1168" spans="1:7" s="25" customFormat="1" ht="13.8" x14ac:dyDescent="0.3">
      <c r="A1168" s="208"/>
      <c r="B1168" s="208"/>
      <c r="C1168" s="209"/>
      <c r="D1168" s="209"/>
      <c r="E1168" s="209"/>
      <c r="F1168" s="209"/>
      <c r="G1168" s="210"/>
    </row>
    <row r="1169" spans="1:7" s="25" customFormat="1" ht="13.8" x14ac:dyDescent="0.3">
      <c r="A1169" s="208"/>
      <c r="B1169" s="208"/>
      <c r="C1169" s="209"/>
      <c r="D1169" s="209"/>
      <c r="E1169" s="209"/>
      <c r="F1169" s="209"/>
      <c r="G1169" s="210"/>
    </row>
    <row r="1170" spans="1:7" s="25" customFormat="1" ht="13.8" x14ac:dyDescent="0.3">
      <c r="A1170" s="208"/>
      <c r="B1170" s="208"/>
      <c r="C1170" s="209"/>
      <c r="D1170" s="209"/>
      <c r="E1170" s="209"/>
      <c r="F1170" s="209"/>
      <c r="G1170" s="210"/>
    </row>
    <row r="1171" spans="1:7" s="25" customFormat="1" ht="13.8" x14ac:dyDescent="0.3">
      <c r="A1171" s="208"/>
      <c r="B1171" s="208"/>
      <c r="C1171" s="209"/>
      <c r="D1171" s="209"/>
      <c r="E1171" s="209"/>
      <c r="F1171" s="209"/>
      <c r="G1171" s="210"/>
    </row>
    <row r="1172" spans="1:7" s="25" customFormat="1" ht="13.8" x14ac:dyDescent="0.3">
      <c r="A1172" s="208"/>
      <c r="B1172" s="208"/>
      <c r="C1172" s="209"/>
      <c r="D1172" s="209"/>
      <c r="E1172" s="209"/>
      <c r="F1172" s="209"/>
      <c r="G1172" s="210"/>
    </row>
    <row r="1173" spans="1:7" s="25" customFormat="1" ht="13.8" x14ac:dyDescent="0.3">
      <c r="A1173" s="208"/>
      <c r="B1173" s="208"/>
      <c r="C1173" s="209"/>
      <c r="D1173" s="209"/>
      <c r="E1173" s="209"/>
      <c r="F1173" s="209"/>
      <c r="G1173" s="210"/>
    </row>
    <row r="1174" spans="1:7" s="25" customFormat="1" ht="13.8" x14ac:dyDescent="0.3">
      <c r="A1174" s="208"/>
      <c r="B1174" s="208"/>
      <c r="C1174" s="209"/>
      <c r="D1174" s="209"/>
      <c r="E1174" s="209"/>
      <c r="F1174" s="209"/>
      <c r="G1174" s="210"/>
    </row>
    <row r="1175" spans="1:7" s="25" customFormat="1" ht="13.8" x14ac:dyDescent="0.3">
      <c r="A1175" s="208"/>
      <c r="B1175" s="208"/>
      <c r="C1175" s="209"/>
      <c r="D1175" s="209"/>
      <c r="E1175" s="209"/>
      <c r="F1175" s="209"/>
      <c r="G1175" s="210"/>
    </row>
    <row r="1176" spans="1:7" s="25" customFormat="1" ht="13.8" x14ac:dyDescent="0.3">
      <c r="A1176" s="208"/>
      <c r="B1176" s="208"/>
      <c r="C1176" s="209"/>
      <c r="D1176" s="209"/>
      <c r="E1176" s="209"/>
      <c r="F1176" s="209"/>
      <c r="G1176" s="210"/>
    </row>
    <row r="1177" spans="1:7" s="25" customFormat="1" ht="13.8" x14ac:dyDescent="0.3">
      <c r="A1177" s="208"/>
      <c r="B1177" s="208"/>
      <c r="C1177" s="209"/>
      <c r="D1177" s="209"/>
      <c r="E1177" s="209"/>
      <c r="F1177" s="209"/>
      <c r="G1177" s="210"/>
    </row>
    <row r="1178" spans="1:7" s="25" customFormat="1" ht="13.8" x14ac:dyDescent="0.3">
      <c r="A1178" s="208"/>
      <c r="B1178" s="208"/>
      <c r="C1178" s="209"/>
      <c r="D1178" s="209"/>
      <c r="E1178" s="209"/>
      <c r="F1178" s="209"/>
      <c r="G1178" s="210"/>
    </row>
    <row r="1179" spans="1:7" s="25" customFormat="1" ht="13.8" x14ac:dyDescent="0.3">
      <c r="A1179" s="208"/>
      <c r="B1179" s="208"/>
      <c r="C1179" s="209"/>
      <c r="D1179" s="209"/>
      <c r="E1179" s="209"/>
      <c r="F1179" s="209"/>
      <c r="G1179" s="210"/>
    </row>
    <row r="1180" spans="1:7" s="25" customFormat="1" ht="13.8" x14ac:dyDescent="0.3">
      <c r="A1180" s="208"/>
      <c r="B1180" s="208"/>
      <c r="C1180" s="209"/>
      <c r="D1180" s="209"/>
      <c r="E1180" s="209"/>
      <c r="F1180" s="209"/>
      <c r="G1180" s="210"/>
    </row>
    <row r="1181" spans="1:7" s="25" customFormat="1" ht="13.8" x14ac:dyDescent="0.3">
      <c r="A1181" s="208"/>
      <c r="B1181" s="208"/>
      <c r="C1181" s="209"/>
      <c r="D1181" s="209"/>
      <c r="E1181" s="209"/>
      <c r="F1181" s="209"/>
      <c r="G1181" s="210"/>
    </row>
    <row r="1182" spans="1:7" s="25" customFormat="1" ht="13.8" x14ac:dyDescent="0.3">
      <c r="A1182" s="208"/>
      <c r="B1182" s="208"/>
      <c r="C1182" s="209"/>
      <c r="D1182" s="209"/>
      <c r="E1182" s="209"/>
      <c r="F1182" s="209"/>
      <c r="G1182" s="210"/>
    </row>
    <row r="1183" spans="1:7" s="25" customFormat="1" ht="13.8" x14ac:dyDescent="0.3">
      <c r="A1183" s="208"/>
      <c r="B1183" s="208"/>
      <c r="C1183" s="209"/>
      <c r="D1183" s="209"/>
      <c r="E1183" s="209"/>
      <c r="F1183" s="209"/>
      <c r="G1183" s="210"/>
    </row>
    <row r="1184" spans="1:7" s="25" customFormat="1" ht="13.8" x14ac:dyDescent="0.3">
      <c r="A1184" s="208"/>
      <c r="B1184" s="208"/>
      <c r="C1184" s="209"/>
      <c r="D1184" s="209"/>
      <c r="E1184" s="209"/>
      <c r="F1184" s="209"/>
      <c r="G1184" s="210"/>
    </row>
    <row r="1185" spans="1:7" s="25" customFormat="1" ht="13.8" x14ac:dyDescent="0.3">
      <c r="A1185" s="208"/>
      <c r="B1185" s="208"/>
      <c r="C1185" s="209"/>
      <c r="D1185" s="209"/>
      <c r="E1185" s="209"/>
      <c r="F1185" s="209"/>
      <c r="G1185" s="210"/>
    </row>
    <row r="1186" spans="1:7" s="25" customFormat="1" ht="13.8" x14ac:dyDescent="0.3">
      <c r="A1186" s="208"/>
      <c r="B1186" s="208"/>
      <c r="C1186" s="209"/>
      <c r="D1186" s="209"/>
      <c r="E1186" s="209"/>
      <c r="F1186" s="209"/>
      <c r="G1186" s="210"/>
    </row>
    <row r="1187" spans="1:7" s="25" customFormat="1" ht="13.8" x14ac:dyDescent="0.3">
      <c r="A1187" s="208"/>
      <c r="B1187" s="208"/>
      <c r="C1187" s="209"/>
      <c r="D1187" s="209"/>
      <c r="E1187" s="209"/>
      <c r="F1187" s="209"/>
      <c r="G1187" s="210"/>
    </row>
    <row r="1188" spans="1:7" s="25" customFormat="1" ht="13.8" x14ac:dyDescent="0.3">
      <c r="A1188" s="208"/>
      <c r="B1188" s="208"/>
      <c r="C1188" s="209"/>
      <c r="D1188" s="209"/>
      <c r="E1188" s="209"/>
      <c r="F1188" s="209"/>
      <c r="G1188" s="210"/>
    </row>
    <row r="1189" spans="1:7" s="25" customFormat="1" ht="13.8" x14ac:dyDescent="0.3">
      <c r="A1189" s="208"/>
      <c r="B1189" s="208"/>
      <c r="C1189" s="209"/>
      <c r="D1189" s="209"/>
      <c r="E1189" s="209"/>
      <c r="F1189" s="209"/>
      <c r="G1189" s="210"/>
    </row>
    <row r="1190" spans="1:7" s="25" customFormat="1" ht="13.8" x14ac:dyDescent="0.3">
      <c r="A1190" s="208"/>
      <c r="B1190" s="208"/>
      <c r="C1190" s="209"/>
      <c r="D1190" s="209"/>
      <c r="E1190" s="209"/>
      <c r="F1190" s="209"/>
      <c r="G1190" s="210"/>
    </row>
    <row r="1191" spans="1:7" s="25" customFormat="1" ht="13.8" x14ac:dyDescent="0.3">
      <c r="A1191" s="208"/>
      <c r="B1191" s="208"/>
      <c r="C1191" s="209"/>
      <c r="D1191" s="209"/>
      <c r="E1191" s="209"/>
      <c r="F1191" s="209"/>
      <c r="G1191" s="210"/>
    </row>
    <row r="1192" spans="1:7" s="25" customFormat="1" ht="13.8" x14ac:dyDescent="0.3">
      <c r="A1192" s="208"/>
      <c r="B1192" s="208"/>
      <c r="C1192" s="209"/>
      <c r="D1192" s="209"/>
      <c r="E1192" s="209"/>
      <c r="F1192" s="209"/>
      <c r="G1192" s="210"/>
    </row>
    <row r="1193" spans="1:7" s="25" customFormat="1" ht="13.8" x14ac:dyDescent="0.3">
      <c r="A1193" s="208"/>
      <c r="B1193" s="208"/>
      <c r="C1193" s="209"/>
      <c r="D1193" s="209"/>
      <c r="E1193" s="209"/>
      <c r="F1193" s="209"/>
      <c r="G1193" s="210"/>
    </row>
    <row r="1194" spans="1:7" s="25" customFormat="1" ht="13.8" x14ac:dyDescent="0.3">
      <c r="A1194" s="208"/>
      <c r="B1194" s="208"/>
      <c r="C1194" s="209"/>
      <c r="D1194" s="209"/>
      <c r="E1194" s="209"/>
      <c r="F1194" s="209"/>
      <c r="G1194" s="210"/>
    </row>
    <row r="1195" spans="1:7" s="25" customFormat="1" ht="13.8" x14ac:dyDescent="0.3">
      <c r="A1195" s="208"/>
      <c r="B1195" s="208"/>
      <c r="C1195" s="209"/>
      <c r="D1195" s="209"/>
      <c r="E1195" s="209"/>
      <c r="F1195" s="209"/>
      <c r="G1195" s="210"/>
    </row>
    <row r="1196" spans="1:7" s="25" customFormat="1" ht="13.8" x14ac:dyDescent="0.3">
      <c r="A1196" s="208"/>
      <c r="B1196" s="208"/>
      <c r="C1196" s="209"/>
      <c r="D1196" s="209"/>
      <c r="E1196" s="209"/>
      <c r="F1196" s="209"/>
      <c r="G1196" s="210"/>
    </row>
    <row r="1197" spans="1:7" s="25" customFormat="1" ht="13.8" x14ac:dyDescent="0.3">
      <c r="A1197" s="208"/>
      <c r="B1197" s="208"/>
      <c r="C1197" s="209"/>
      <c r="D1197" s="209"/>
      <c r="E1197" s="209"/>
      <c r="F1197" s="209"/>
      <c r="G1197" s="210"/>
    </row>
    <row r="1198" spans="1:7" s="25" customFormat="1" ht="13.8" x14ac:dyDescent="0.3">
      <c r="A1198" s="208"/>
      <c r="B1198" s="208"/>
      <c r="C1198" s="209"/>
      <c r="D1198" s="209"/>
      <c r="E1198" s="209"/>
      <c r="F1198" s="209"/>
      <c r="G1198" s="210"/>
    </row>
    <row r="1199" spans="1:7" s="25" customFormat="1" ht="13.8" x14ac:dyDescent="0.3">
      <c r="A1199" s="208"/>
      <c r="B1199" s="208"/>
      <c r="C1199" s="209"/>
      <c r="D1199" s="209"/>
      <c r="E1199" s="209"/>
      <c r="F1199" s="209"/>
      <c r="G1199" s="210"/>
    </row>
    <row r="1200" spans="1:7" s="25" customFormat="1" ht="13.8" x14ac:dyDescent="0.3">
      <c r="A1200" s="208"/>
      <c r="B1200" s="208"/>
      <c r="C1200" s="209"/>
      <c r="D1200" s="209"/>
      <c r="E1200" s="209"/>
      <c r="F1200" s="209"/>
      <c r="G1200" s="210"/>
    </row>
    <row r="1201" spans="1:7" s="25" customFormat="1" ht="13.8" x14ac:dyDescent="0.3">
      <c r="A1201" s="208"/>
      <c r="B1201" s="208"/>
      <c r="C1201" s="209"/>
      <c r="D1201" s="209"/>
      <c r="E1201" s="209"/>
      <c r="F1201" s="209"/>
      <c r="G1201" s="210"/>
    </row>
    <row r="1202" spans="1:7" s="25" customFormat="1" ht="13.8" x14ac:dyDescent="0.3">
      <c r="A1202" s="208"/>
      <c r="B1202" s="208"/>
      <c r="C1202" s="209"/>
      <c r="D1202" s="209"/>
      <c r="E1202" s="209"/>
      <c r="F1202" s="209"/>
      <c r="G1202" s="210"/>
    </row>
    <row r="1203" spans="1:7" s="25" customFormat="1" ht="13.8" x14ac:dyDescent="0.3">
      <c r="A1203" s="208"/>
      <c r="B1203" s="208"/>
      <c r="C1203" s="209"/>
      <c r="D1203" s="209"/>
      <c r="E1203" s="209"/>
      <c r="F1203" s="209"/>
      <c r="G1203" s="210"/>
    </row>
    <row r="1204" spans="1:7" s="25" customFormat="1" ht="13.8" x14ac:dyDescent="0.3">
      <c r="A1204" s="208"/>
      <c r="B1204" s="208"/>
      <c r="C1204" s="209"/>
      <c r="D1204" s="209"/>
      <c r="E1204" s="209"/>
      <c r="F1204" s="209"/>
      <c r="G1204" s="210"/>
    </row>
    <row r="1205" spans="1:7" s="25" customFormat="1" ht="13.8" x14ac:dyDescent="0.3">
      <c r="A1205" s="208"/>
      <c r="B1205" s="208"/>
      <c r="C1205" s="209"/>
      <c r="D1205" s="209"/>
      <c r="E1205" s="209"/>
      <c r="F1205" s="209"/>
      <c r="G1205" s="210"/>
    </row>
    <row r="1206" spans="1:7" s="25" customFormat="1" ht="13.8" x14ac:dyDescent="0.3">
      <c r="A1206" s="208"/>
      <c r="B1206" s="208"/>
      <c r="C1206" s="209"/>
      <c r="D1206" s="209"/>
      <c r="E1206" s="209"/>
      <c r="F1206" s="209"/>
      <c r="G1206" s="210"/>
    </row>
    <row r="1207" spans="1:7" s="25" customFormat="1" ht="13.8" x14ac:dyDescent="0.3">
      <c r="A1207" s="208"/>
      <c r="B1207" s="208"/>
      <c r="C1207" s="209"/>
      <c r="D1207" s="209"/>
      <c r="E1207" s="209"/>
      <c r="F1207" s="209"/>
      <c r="G1207" s="210"/>
    </row>
    <row r="1208" spans="1:7" s="25" customFormat="1" ht="13.8" x14ac:dyDescent="0.3">
      <c r="A1208" s="208"/>
      <c r="B1208" s="208"/>
      <c r="C1208" s="209"/>
      <c r="D1208" s="209"/>
      <c r="E1208" s="209"/>
      <c r="F1208" s="209"/>
      <c r="G1208" s="210"/>
    </row>
    <row r="1209" spans="1:7" s="25" customFormat="1" ht="13.8" x14ac:dyDescent="0.3">
      <c r="A1209" s="208"/>
      <c r="B1209" s="208"/>
      <c r="C1209" s="209"/>
      <c r="D1209" s="209"/>
      <c r="E1209" s="209"/>
      <c r="F1209" s="209"/>
      <c r="G1209" s="210"/>
    </row>
    <row r="1210" spans="1:7" s="25" customFormat="1" ht="13.8" x14ac:dyDescent="0.3">
      <c r="A1210" s="208"/>
      <c r="B1210" s="208"/>
      <c r="C1210" s="209"/>
      <c r="D1210" s="209"/>
      <c r="E1210" s="209"/>
      <c r="F1210" s="209"/>
      <c r="G1210" s="210"/>
    </row>
    <row r="1211" spans="1:7" s="25" customFormat="1" ht="13.8" x14ac:dyDescent="0.3">
      <c r="A1211" s="208"/>
      <c r="B1211" s="208"/>
      <c r="C1211" s="209"/>
      <c r="D1211" s="209"/>
      <c r="E1211" s="209"/>
      <c r="F1211" s="209"/>
      <c r="G1211" s="210"/>
    </row>
    <row r="1212" spans="1:7" s="25" customFormat="1" ht="13.8" x14ac:dyDescent="0.3">
      <c r="A1212" s="208"/>
      <c r="B1212" s="208"/>
      <c r="C1212" s="209"/>
      <c r="D1212" s="209"/>
      <c r="E1212" s="209"/>
      <c r="F1212" s="209"/>
      <c r="G1212" s="210"/>
    </row>
    <row r="1213" spans="1:7" s="25" customFormat="1" ht="13.8" x14ac:dyDescent="0.3">
      <c r="A1213" s="208"/>
      <c r="B1213" s="208"/>
      <c r="C1213" s="209"/>
      <c r="D1213" s="209"/>
      <c r="E1213" s="209"/>
      <c r="F1213" s="209"/>
      <c r="G1213" s="210"/>
    </row>
    <row r="1214" spans="1:7" s="25" customFormat="1" ht="13.8" x14ac:dyDescent="0.3">
      <c r="A1214" s="208"/>
      <c r="B1214" s="208"/>
      <c r="C1214" s="209"/>
      <c r="D1214" s="209"/>
      <c r="E1214" s="209"/>
      <c r="F1214" s="209"/>
      <c r="G1214" s="210"/>
    </row>
    <row r="1215" spans="1:7" s="25" customFormat="1" ht="13.8" x14ac:dyDescent="0.3">
      <c r="A1215" s="208"/>
      <c r="B1215" s="208"/>
      <c r="C1215" s="209"/>
      <c r="D1215" s="209"/>
      <c r="E1215" s="209"/>
      <c r="F1215" s="209"/>
      <c r="G1215" s="210"/>
    </row>
    <row r="1216" spans="1:7" s="25" customFormat="1" ht="13.8" x14ac:dyDescent="0.3">
      <c r="A1216" s="208"/>
      <c r="B1216" s="208"/>
      <c r="C1216" s="209"/>
      <c r="D1216" s="209"/>
      <c r="E1216" s="209"/>
      <c r="F1216" s="209"/>
      <c r="G1216" s="210"/>
    </row>
    <row r="1217" spans="1:7" s="25" customFormat="1" ht="13.8" x14ac:dyDescent="0.3">
      <c r="A1217" s="208"/>
      <c r="B1217" s="208"/>
      <c r="C1217" s="209"/>
      <c r="D1217" s="209"/>
      <c r="E1217" s="209"/>
      <c r="F1217" s="209"/>
      <c r="G1217" s="210"/>
    </row>
    <row r="1218" spans="1:7" s="25" customFormat="1" ht="13.8" x14ac:dyDescent="0.3">
      <c r="A1218" s="208"/>
      <c r="B1218" s="208"/>
      <c r="C1218" s="209"/>
      <c r="D1218" s="209"/>
      <c r="E1218" s="209"/>
      <c r="F1218" s="209"/>
      <c r="G1218" s="210"/>
    </row>
    <row r="1219" spans="1:7" s="25" customFormat="1" ht="13.8" x14ac:dyDescent="0.3">
      <c r="A1219" s="208"/>
      <c r="B1219" s="208"/>
      <c r="C1219" s="209"/>
      <c r="D1219" s="209"/>
      <c r="E1219" s="209"/>
      <c r="F1219" s="209"/>
      <c r="G1219" s="210"/>
    </row>
    <row r="1220" spans="1:7" s="25" customFormat="1" ht="13.8" x14ac:dyDescent="0.3">
      <c r="A1220" s="208"/>
      <c r="B1220" s="208"/>
      <c r="C1220" s="209"/>
      <c r="D1220" s="209"/>
      <c r="E1220" s="209"/>
      <c r="F1220" s="209"/>
      <c r="G1220" s="210"/>
    </row>
    <row r="1221" spans="1:7" s="25" customFormat="1" ht="13.8" x14ac:dyDescent="0.3">
      <c r="A1221" s="208"/>
      <c r="B1221" s="208"/>
      <c r="C1221" s="209"/>
      <c r="D1221" s="209"/>
      <c r="E1221" s="209"/>
      <c r="F1221" s="209"/>
      <c r="G1221" s="210"/>
    </row>
    <row r="1222" spans="1:7" s="25" customFormat="1" ht="13.8" x14ac:dyDescent="0.3">
      <c r="A1222" s="208"/>
      <c r="B1222" s="208"/>
      <c r="C1222" s="209"/>
      <c r="D1222" s="209"/>
      <c r="E1222" s="209"/>
      <c r="F1222" s="209"/>
      <c r="G1222" s="210"/>
    </row>
    <row r="1223" spans="1:7" s="25" customFormat="1" ht="13.8" x14ac:dyDescent="0.3">
      <c r="A1223" s="208"/>
      <c r="B1223" s="208"/>
      <c r="C1223" s="209"/>
      <c r="D1223" s="209"/>
      <c r="E1223" s="209"/>
      <c r="F1223" s="209"/>
      <c r="G1223" s="210"/>
    </row>
    <row r="1224" spans="1:7" s="25" customFormat="1" ht="13.8" x14ac:dyDescent="0.3">
      <c r="A1224" s="208"/>
      <c r="B1224" s="208"/>
      <c r="C1224" s="209"/>
      <c r="D1224" s="209"/>
      <c r="E1224" s="209"/>
      <c r="F1224" s="209"/>
      <c r="G1224" s="210"/>
    </row>
    <row r="1225" spans="1:7" s="25" customFormat="1" ht="13.8" x14ac:dyDescent="0.3">
      <c r="A1225" s="208"/>
      <c r="B1225" s="208"/>
      <c r="C1225" s="209"/>
      <c r="D1225" s="209"/>
      <c r="E1225" s="209"/>
      <c r="F1225" s="209"/>
      <c r="G1225" s="210"/>
    </row>
    <row r="1226" spans="1:7" s="25" customFormat="1" ht="13.8" x14ac:dyDescent="0.3">
      <c r="A1226" s="208"/>
      <c r="B1226" s="208"/>
      <c r="C1226" s="209"/>
      <c r="D1226" s="209"/>
      <c r="E1226" s="209"/>
      <c r="F1226" s="209"/>
      <c r="G1226" s="210"/>
    </row>
    <row r="1227" spans="1:7" s="25" customFormat="1" ht="13.8" x14ac:dyDescent="0.3">
      <c r="A1227" s="208"/>
      <c r="B1227" s="208"/>
      <c r="C1227" s="209"/>
      <c r="D1227" s="209"/>
      <c r="E1227" s="209"/>
      <c r="F1227" s="209"/>
      <c r="G1227" s="210"/>
    </row>
    <row r="1228" spans="1:7" s="25" customFormat="1" ht="13.8" x14ac:dyDescent="0.3">
      <c r="A1228" s="208"/>
      <c r="B1228" s="208"/>
      <c r="C1228" s="209"/>
      <c r="D1228" s="209"/>
      <c r="E1228" s="209"/>
      <c r="F1228" s="209"/>
      <c r="G1228" s="210"/>
    </row>
    <row r="1229" spans="1:7" s="25" customFormat="1" ht="13.8" x14ac:dyDescent="0.3">
      <c r="A1229" s="208"/>
      <c r="B1229" s="208"/>
      <c r="C1229" s="209"/>
      <c r="D1229" s="209"/>
      <c r="E1229" s="209"/>
      <c r="F1229" s="209"/>
      <c r="G1229" s="210"/>
    </row>
    <row r="1230" spans="1:7" s="25" customFormat="1" ht="13.8" x14ac:dyDescent="0.3">
      <c r="A1230" s="208"/>
      <c r="B1230" s="208"/>
      <c r="C1230" s="209"/>
      <c r="D1230" s="209"/>
      <c r="E1230" s="209"/>
      <c r="F1230" s="209"/>
      <c r="G1230" s="210"/>
    </row>
    <row r="1231" spans="1:7" s="25" customFormat="1" ht="13.8" x14ac:dyDescent="0.3">
      <c r="A1231" s="208"/>
      <c r="B1231" s="208"/>
      <c r="C1231" s="209"/>
      <c r="D1231" s="209"/>
      <c r="E1231" s="209"/>
      <c r="F1231" s="209"/>
      <c r="G1231" s="210"/>
    </row>
    <row r="1232" spans="1:7" s="25" customFormat="1" ht="13.8" x14ac:dyDescent="0.3">
      <c r="A1232" s="208"/>
      <c r="B1232" s="208"/>
      <c r="C1232" s="209"/>
      <c r="D1232" s="209"/>
      <c r="E1232" s="209"/>
      <c r="F1232" s="209"/>
      <c r="G1232" s="210"/>
    </row>
    <row r="1233" spans="1:7" s="25" customFormat="1" ht="13.8" x14ac:dyDescent="0.3">
      <c r="A1233" s="208"/>
      <c r="B1233" s="208"/>
      <c r="C1233" s="209"/>
      <c r="D1233" s="209"/>
      <c r="E1233" s="209"/>
      <c r="F1233" s="209"/>
      <c r="G1233" s="210"/>
    </row>
    <row r="1234" spans="1:7" s="25" customFormat="1" ht="13.8" x14ac:dyDescent="0.3">
      <c r="A1234" s="208"/>
      <c r="B1234" s="208"/>
      <c r="C1234" s="209"/>
      <c r="D1234" s="209"/>
      <c r="E1234" s="209"/>
      <c r="F1234" s="209"/>
      <c r="G1234" s="210"/>
    </row>
    <row r="1235" spans="1:7" s="25" customFormat="1" ht="13.8" x14ac:dyDescent="0.3">
      <c r="A1235" s="208"/>
      <c r="B1235" s="208"/>
      <c r="C1235" s="209"/>
      <c r="D1235" s="209"/>
      <c r="E1235" s="209"/>
      <c r="F1235" s="209"/>
      <c r="G1235" s="210"/>
    </row>
    <row r="1236" spans="1:7" s="25" customFormat="1" ht="13.8" x14ac:dyDescent="0.3">
      <c r="A1236" s="208"/>
      <c r="B1236" s="208"/>
      <c r="C1236" s="209"/>
      <c r="D1236" s="209"/>
      <c r="E1236" s="209"/>
      <c r="F1236" s="209"/>
      <c r="G1236" s="210"/>
    </row>
    <row r="1237" spans="1:7" s="25" customFormat="1" ht="13.8" x14ac:dyDescent="0.3">
      <c r="A1237" s="208"/>
      <c r="B1237" s="208"/>
      <c r="C1237" s="209"/>
      <c r="D1237" s="209"/>
      <c r="E1237" s="209"/>
      <c r="F1237" s="209"/>
      <c r="G1237" s="210"/>
    </row>
    <row r="1238" spans="1:7" s="25" customFormat="1" ht="13.8" x14ac:dyDescent="0.3">
      <c r="A1238" s="208"/>
      <c r="B1238" s="208"/>
      <c r="C1238" s="209"/>
      <c r="D1238" s="209"/>
      <c r="E1238" s="209"/>
      <c r="F1238" s="209"/>
      <c r="G1238" s="210"/>
    </row>
    <row r="1239" spans="1:7" s="25" customFormat="1" ht="13.8" x14ac:dyDescent="0.3">
      <c r="A1239" s="208"/>
      <c r="B1239" s="208"/>
      <c r="C1239" s="209"/>
      <c r="D1239" s="209"/>
      <c r="E1239" s="209"/>
      <c r="F1239" s="209"/>
      <c r="G1239" s="210"/>
    </row>
    <row r="1240" spans="1:7" s="25" customFormat="1" ht="13.8" x14ac:dyDescent="0.3">
      <c r="A1240" s="208"/>
      <c r="B1240" s="208"/>
      <c r="C1240" s="209"/>
      <c r="D1240" s="209"/>
      <c r="E1240" s="209"/>
      <c r="F1240" s="209"/>
      <c r="G1240" s="210"/>
    </row>
    <row r="1241" spans="1:7" s="25" customFormat="1" ht="13.8" x14ac:dyDescent="0.3">
      <c r="A1241" s="208"/>
      <c r="B1241" s="208"/>
      <c r="C1241" s="209"/>
      <c r="D1241" s="209"/>
      <c r="E1241" s="209"/>
      <c r="F1241" s="209"/>
      <c r="G1241" s="210"/>
    </row>
    <row r="1242" spans="1:7" s="25" customFormat="1" ht="13.8" x14ac:dyDescent="0.3">
      <c r="A1242" s="208"/>
      <c r="B1242" s="208"/>
      <c r="C1242" s="209"/>
      <c r="D1242" s="209"/>
      <c r="E1242" s="209"/>
      <c r="F1242" s="209"/>
      <c r="G1242" s="210"/>
    </row>
    <row r="1243" spans="1:7" s="25" customFormat="1" ht="13.8" x14ac:dyDescent="0.3">
      <c r="A1243" s="208"/>
      <c r="B1243" s="208"/>
      <c r="C1243" s="209"/>
      <c r="D1243" s="209"/>
      <c r="E1243" s="209"/>
      <c r="F1243" s="209"/>
      <c r="G1243" s="210"/>
    </row>
    <row r="1244" spans="1:7" s="25" customFormat="1" ht="13.8" x14ac:dyDescent="0.3">
      <c r="A1244" s="208"/>
      <c r="B1244" s="208"/>
      <c r="C1244" s="209"/>
      <c r="D1244" s="209"/>
      <c r="E1244" s="209"/>
      <c r="F1244" s="209"/>
      <c r="G1244" s="210"/>
    </row>
    <row r="1245" spans="1:7" s="25" customFormat="1" ht="13.8" x14ac:dyDescent="0.3">
      <c r="A1245" s="208"/>
      <c r="B1245" s="208"/>
      <c r="C1245" s="209"/>
      <c r="D1245" s="209"/>
      <c r="E1245" s="209"/>
      <c r="F1245" s="209"/>
      <c r="G1245" s="210"/>
    </row>
    <row r="1246" spans="1:7" s="25" customFormat="1" ht="13.8" x14ac:dyDescent="0.3">
      <c r="A1246" s="208"/>
      <c r="B1246" s="208"/>
      <c r="C1246" s="209"/>
      <c r="D1246" s="209"/>
      <c r="E1246" s="209"/>
      <c r="F1246" s="209"/>
      <c r="G1246" s="210"/>
    </row>
    <row r="1247" spans="1:7" s="25" customFormat="1" ht="13.8" x14ac:dyDescent="0.3">
      <c r="A1247" s="208"/>
      <c r="B1247" s="208"/>
      <c r="C1247" s="209"/>
      <c r="D1247" s="209"/>
      <c r="E1247" s="209"/>
      <c r="F1247" s="209"/>
      <c r="G1247" s="210"/>
    </row>
    <row r="1248" spans="1:7" s="25" customFormat="1" ht="13.8" x14ac:dyDescent="0.3">
      <c r="A1248" s="208"/>
      <c r="B1248" s="208"/>
      <c r="C1248" s="209"/>
      <c r="D1248" s="209"/>
      <c r="E1248" s="209"/>
      <c r="F1248" s="209"/>
      <c r="G1248" s="210"/>
    </row>
    <row r="1249" spans="1:7" s="25" customFormat="1" ht="13.8" x14ac:dyDescent="0.3">
      <c r="A1249" s="208"/>
      <c r="B1249" s="208"/>
      <c r="C1249" s="209"/>
      <c r="D1249" s="209"/>
      <c r="E1249" s="209"/>
      <c r="F1249" s="209"/>
      <c r="G1249" s="210"/>
    </row>
    <row r="1250" spans="1:7" s="25" customFormat="1" ht="13.8" x14ac:dyDescent="0.3">
      <c r="A1250" s="208"/>
      <c r="B1250" s="208"/>
      <c r="C1250" s="209"/>
      <c r="D1250" s="209"/>
      <c r="E1250" s="209"/>
      <c r="F1250" s="209"/>
      <c r="G1250" s="210"/>
    </row>
    <row r="1251" spans="1:7" s="25" customFormat="1" ht="13.8" x14ac:dyDescent="0.3">
      <c r="A1251" s="208"/>
      <c r="B1251" s="208"/>
      <c r="C1251" s="209"/>
      <c r="D1251" s="209"/>
      <c r="E1251" s="209"/>
      <c r="F1251" s="209"/>
      <c r="G1251" s="210"/>
    </row>
    <row r="1252" spans="1:7" s="25" customFormat="1" ht="13.8" x14ac:dyDescent="0.3">
      <c r="A1252" s="208"/>
      <c r="B1252" s="208"/>
      <c r="C1252" s="209"/>
      <c r="D1252" s="209"/>
      <c r="E1252" s="209"/>
      <c r="F1252" s="209"/>
      <c r="G1252" s="210"/>
    </row>
    <row r="1253" spans="1:7" s="25" customFormat="1" ht="13.8" x14ac:dyDescent="0.3">
      <c r="A1253" s="208"/>
      <c r="B1253" s="208"/>
      <c r="C1253" s="209"/>
      <c r="D1253" s="209"/>
      <c r="E1253" s="209"/>
      <c r="F1253" s="209"/>
      <c r="G1253" s="210"/>
    </row>
    <row r="1254" spans="1:7" s="25" customFormat="1" ht="13.8" x14ac:dyDescent="0.3">
      <c r="A1254" s="208"/>
      <c r="B1254" s="208"/>
      <c r="C1254" s="209"/>
      <c r="D1254" s="209"/>
      <c r="E1254" s="209"/>
      <c r="F1254" s="209"/>
      <c r="G1254" s="210"/>
    </row>
    <row r="1255" spans="1:7" s="25" customFormat="1" ht="13.8" x14ac:dyDescent="0.3">
      <c r="A1255" s="208"/>
      <c r="B1255" s="208"/>
      <c r="C1255" s="209"/>
      <c r="D1255" s="209"/>
      <c r="E1255" s="209"/>
      <c r="F1255" s="209"/>
      <c r="G1255" s="210"/>
    </row>
    <row r="1256" spans="1:7" s="25" customFormat="1" ht="13.8" x14ac:dyDescent="0.3">
      <c r="A1256" s="208"/>
      <c r="B1256" s="208"/>
      <c r="C1256" s="209"/>
      <c r="D1256" s="209"/>
      <c r="E1256" s="209"/>
      <c r="F1256" s="209"/>
      <c r="G1256" s="210"/>
    </row>
    <row r="1257" spans="1:7" s="25" customFormat="1" ht="13.8" x14ac:dyDescent="0.3">
      <c r="A1257" s="208"/>
      <c r="B1257" s="208"/>
      <c r="C1257" s="209"/>
      <c r="D1257" s="209"/>
      <c r="E1257" s="209"/>
      <c r="F1257" s="209"/>
      <c r="G1257" s="210"/>
    </row>
    <row r="1258" spans="1:7" s="25" customFormat="1" ht="13.8" x14ac:dyDescent="0.3">
      <c r="A1258" s="208"/>
      <c r="B1258" s="208"/>
      <c r="C1258" s="209"/>
      <c r="D1258" s="209"/>
      <c r="E1258" s="209"/>
      <c r="F1258" s="209"/>
      <c r="G1258" s="210"/>
    </row>
    <row r="1259" spans="1:7" s="25" customFormat="1" ht="13.8" x14ac:dyDescent="0.3">
      <c r="A1259" s="208"/>
      <c r="B1259" s="208"/>
      <c r="C1259" s="209"/>
      <c r="D1259" s="209"/>
      <c r="E1259" s="209"/>
      <c r="F1259" s="209"/>
      <c r="G1259" s="210"/>
    </row>
    <row r="1260" spans="1:7" s="25" customFormat="1" ht="13.8" x14ac:dyDescent="0.3">
      <c r="A1260" s="208"/>
      <c r="B1260" s="208"/>
      <c r="C1260" s="209"/>
      <c r="D1260" s="209"/>
      <c r="E1260" s="209"/>
      <c r="F1260" s="209"/>
      <c r="G1260" s="210"/>
    </row>
    <row r="1261" spans="1:7" s="25" customFormat="1" ht="13.8" x14ac:dyDescent="0.3">
      <c r="A1261" s="208"/>
      <c r="B1261" s="208"/>
      <c r="C1261" s="209"/>
      <c r="D1261" s="209"/>
      <c r="E1261" s="209"/>
      <c r="F1261" s="209"/>
      <c r="G1261" s="210"/>
    </row>
    <row r="1262" spans="1:7" s="25" customFormat="1" ht="13.8" x14ac:dyDescent="0.3">
      <c r="A1262" s="208"/>
      <c r="B1262" s="208"/>
      <c r="C1262" s="209"/>
      <c r="D1262" s="209"/>
      <c r="E1262" s="209"/>
      <c r="F1262" s="209"/>
      <c r="G1262" s="210"/>
    </row>
    <row r="1263" spans="1:7" s="25" customFormat="1" ht="13.8" x14ac:dyDescent="0.3">
      <c r="A1263" s="208"/>
      <c r="B1263" s="208"/>
      <c r="C1263" s="209"/>
      <c r="D1263" s="209"/>
      <c r="E1263" s="209"/>
      <c r="F1263" s="209"/>
      <c r="G1263" s="210"/>
    </row>
    <row r="1264" spans="1:7" s="25" customFormat="1" ht="13.8" x14ac:dyDescent="0.3">
      <c r="A1264" s="208"/>
      <c r="B1264" s="208"/>
      <c r="C1264" s="209"/>
      <c r="D1264" s="209"/>
      <c r="E1264" s="209"/>
      <c r="F1264" s="209"/>
      <c r="G1264" s="210"/>
    </row>
    <row r="1265" spans="1:7" s="25" customFormat="1" ht="13.8" x14ac:dyDescent="0.3">
      <c r="A1265" s="208"/>
      <c r="B1265" s="208"/>
      <c r="C1265" s="209"/>
      <c r="D1265" s="209"/>
      <c r="E1265" s="209"/>
      <c r="F1265" s="209"/>
      <c r="G1265" s="210"/>
    </row>
    <row r="1266" spans="1:7" s="25" customFormat="1" ht="13.8" x14ac:dyDescent="0.3">
      <c r="A1266" s="208"/>
      <c r="B1266" s="208"/>
      <c r="C1266" s="209"/>
      <c r="D1266" s="209"/>
      <c r="E1266" s="209"/>
      <c r="F1266" s="209"/>
      <c r="G1266" s="210"/>
    </row>
    <row r="1267" spans="1:7" s="25" customFormat="1" ht="13.8" x14ac:dyDescent="0.3">
      <c r="A1267" s="208"/>
      <c r="B1267" s="208"/>
      <c r="C1267" s="209"/>
      <c r="D1267" s="209"/>
      <c r="E1267" s="209"/>
      <c r="F1267" s="209"/>
      <c r="G1267" s="210"/>
    </row>
    <row r="1268" spans="1:7" s="25" customFormat="1" ht="13.8" x14ac:dyDescent="0.3">
      <c r="A1268" s="208"/>
      <c r="B1268" s="208"/>
      <c r="C1268" s="209"/>
      <c r="D1268" s="209"/>
      <c r="E1268" s="209"/>
      <c r="F1268" s="209"/>
      <c r="G1268" s="210"/>
    </row>
    <row r="1269" spans="1:7" s="25" customFormat="1" ht="13.8" x14ac:dyDescent="0.3">
      <c r="A1269" s="208"/>
      <c r="B1269" s="208"/>
      <c r="C1269" s="209"/>
      <c r="D1269" s="209"/>
      <c r="E1269" s="209"/>
      <c r="F1269" s="209"/>
      <c r="G1269" s="210"/>
    </row>
    <row r="1270" spans="1:7" s="25" customFormat="1" ht="13.8" x14ac:dyDescent="0.3">
      <c r="A1270" s="208"/>
      <c r="B1270" s="208"/>
      <c r="C1270" s="209"/>
      <c r="D1270" s="209"/>
      <c r="E1270" s="209"/>
      <c r="F1270" s="209"/>
      <c r="G1270" s="210"/>
    </row>
    <row r="1271" spans="1:7" s="25" customFormat="1" ht="13.8" x14ac:dyDescent="0.3">
      <c r="A1271" s="208"/>
      <c r="B1271" s="208"/>
      <c r="C1271" s="209"/>
      <c r="D1271" s="209"/>
      <c r="E1271" s="209"/>
      <c r="F1271" s="209"/>
      <c r="G1271" s="210"/>
    </row>
    <row r="1272" spans="1:7" s="25" customFormat="1" ht="13.8" x14ac:dyDescent="0.3">
      <c r="A1272" s="208"/>
      <c r="B1272" s="208"/>
      <c r="C1272" s="209"/>
      <c r="D1272" s="209"/>
      <c r="E1272" s="209"/>
      <c r="F1272" s="209"/>
      <c r="G1272" s="210"/>
    </row>
    <row r="1273" spans="1:7" s="25" customFormat="1" ht="13.8" x14ac:dyDescent="0.3">
      <c r="A1273" s="208"/>
      <c r="B1273" s="208"/>
      <c r="C1273" s="209"/>
      <c r="D1273" s="209"/>
      <c r="E1273" s="209"/>
      <c r="F1273" s="209"/>
      <c r="G1273" s="210"/>
    </row>
    <row r="1274" spans="1:7" s="25" customFormat="1" ht="13.8" x14ac:dyDescent="0.3">
      <c r="A1274" s="208"/>
      <c r="B1274" s="208"/>
      <c r="C1274" s="209"/>
      <c r="D1274" s="209"/>
      <c r="E1274" s="209"/>
      <c r="F1274" s="209"/>
      <c r="G1274" s="210"/>
    </row>
    <row r="1275" spans="1:7" s="25" customFormat="1" ht="13.8" x14ac:dyDescent="0.3">
      <c r="A1275" s="208"/>
      <c r="B1275" s="208"/>
      <c r="C1275" s="209"/>
      <c r="D1275" s="209"/>
      <c r="E1275" s="209"/>
      <c r="F1275" s="209"/>
      <c r="G1275" s="210"/>
    </row>
    <row r="1276" spans="1:7" s="25" customFormat="1" ht="13.8" x14ac:dyDescent="0.3">
      <c r="A1276" s="208"/>
      <c r="B1276" s="208"/>
      <c r="C1276" s="209"/>
      <c r="D1276" s="209"/>
      <c r="E1276" s="209"/>
      <c r="F1276" s="209"/>
      <c r="G1276" s="210"/>
    </row>
    <row r="1277" spans="1:7" s="25" customFormat="1" ht="13.8" x14ac:dyDescent="0.3">
      <c r="A1277" s="208"/>
      <c r="B1277" s="208"/>
      <c r="C1277" s="209"/>
      <c r="D1277" s="209"/>
      <c r="E1277" s="209"/>
      <c r="F1277" s="209"/>
      <c r="G1277" s="210"/>
    </row>
    <row r="1278" spans="1:7" s="25" customFormat="1" ht="13.8" x14ac:dyDescent="0.3">
      <c r="A1278" s="208"/>
      <c r="B1278" s="208"/>
      <c r="C1278" s="209"/>
      <c r="D1278" s="209"/>
      <c r="E1278" s="209"/>
      <c r="F1278" s="209"/>
      <c r="G1278" s="210"/>
    </row>
    <row r="1279" spans="1:7" s="25" customFormat="1" ht="13.8" x14ac:dyDescent="0.3">
      <c r="A1279" s="208"/>
      <c r="B1279" s="208"/>
      <c r="C1279" s="209"/>
      <c r="D1279" s="209"/>
      <c r="E1279" s="209"/>
      <c r="F1279" s="209"/>
      <c r="G1279" s="210"/>
    </row>
    <row r="1280" spans="1:7" s="25" customFormat="1" ht="13.8" x14ac:dyDescent="0.3">
      <c r="A1280" s="208"/>
      <c r="B1280" s="208"/>
      <c r="C1280" s="209"/>
      <c r="D1280" s="209"/>
      <c r="E1280" s="209"/>
      <c r="F1280" s="209"/>
      <c r="G1280" s="210"/>
    </row>
    <row r="1281" spans="1:7" s="25" customFormat="1" ht="13.8" x14ac:dyDescent="0.3">
      <c r="A1281" s="208"/>
      <c r="B1281" s="208"/>
      <c r="C1281" s="209"/>
      <c r="D1281" s="209"/>
      <c r="E1281" s="209"/>
      <c r="F1281" s="209"/>
      <c r="G1281" s="210"/>
    </row>
    <row r="1282" spans="1:7" s="25" customFormat="1" ht="13.8" x14ac:dyDescent="0.3">
      <c r="A1282" s="208"/>
      <c r="B1282" s="208"/>
      <c r="C1282" s="209"/>
      <c r="D1282" s="209"/>
      <c r="E1282" s="209"/>
      <c r="F1282" s="209"/>
      <c r="G1282" s="210"/>
    </row>
    <row r="1283" spans="1:7" s="25" customFormat="1" ht="13.8" x14ac:dyDescent="0.3">
      <c r="A1283" s="208"/>
      <c r="B1283" s="208"/>
      <c r="C1283" s="209"/>
      <c r="D1283" s="209"/>
      <c r="E1283" s="209"/>
      <c r="F1283" s="209"/>
      <c r="G1283" s="210"/>
    </row>
    <row r="1284" spans="1:7" s="25" customFormat="1" ht="13.8" x14ac:dyDescent="0.3">
      <c r="A1284" s="208"/>
      <c r="B1284" s="208"/>
      <c r="C1284" s="209"/>
      <c r="D1284" s="209"/>
      <c r="E1284" s="209"/>
      <c r="F1284" s="209"/>
      <c r="G1284" s="210"/>
    </row>
    <row r="1285" spans="1:7" s="25" customFormat="1" ht="13.8" x14ac:dyDescent="0.3">
      <c r="A1285" s="208"/>
      <c r="B1285" s="208"/>
      <c r="C1285" s="209"/>
      <c r="D1285" s="209"/>
      <c r="E1285" s="209"/>
      <c r="F1285" s="209"/>
      <c r="G1285" s="210"/>
    </row>
    <row r="1286" spans="1:7" s="25" customFormat="1" ht="13.8" x14ac:dyDescent="0.3">
      <c r="A1286" s="208"/>
      <c r="B1286" s="208"/>
      <c r="C1286" s="209"/>
      <c r="D1286" s="209"/>
      <c r="E1286" s="209"/>
      <c r="F1286" s="209"/>
      <c r="G1286" s="210"/>
    </row>
    <row r="1287" spans="1:7" s="25" customFormat="1" ht="13.8" x14ac:dyDescent="0.3">
      <c r="A1287" s="208"/>
      <c r="B1287" s="208"/>
      <c r="C1287" s="209"/>
      <c r="D1287" s="209"/>
      <c r="E1287" s="209"/>
      <c r="F1287" s="209"/>
      <c r="G1287" s="210"/>
    </row>
    <row r="1288" spans="1:7" s="25" customFormat="1" ht="13.8" x14ac:dyDescent="0.3">
      <c r="A1288" s="208"/>
      <c r="B1288" s="208"/>
      <c r="C1288" s="209"/>
      <c r="D1288" s="209"/>
      <c r="E1288" s="209"/>
      <c r="F1288" s="209"/>
      <c r="G1288" s="210"/>
    </row>
    <row r="1289" spans="1:7" s="25" customFormat="1" ht="13.8" x14ac:dyDescent="0.3">
      <c r="A1289" s="208"/>
      <c r="B1289" s="208"/>
      <c r="C1289" s="209"/>
      <c r="D1289" s="209"/>
      <c r="E1289" s="209"/>
      <c r="F1289" s="209"/>
      <c r="G1289" s="210"/>
    </row>
    <row r="1290" spans="1:7" s="25" customFormat="1" ht="13.8" x14ac:dyDescent="0.3">
      <c r="A1290" s="208"/>
      <c r="B1290" s="208"/>
      <c r="C1290" s="209"/>
      <c r="D1290" s="209"/>
      <c r="E1290" s="209"/>
      <c r="F1290" s="209"/>
      <c r="G1290" s="210"/>
    </row>
    <row r="1291" spans="1:7" s="25" customFormat="1" ht="13.8" x14ac:dyDescent="0.3">
      <c r="A1291" s="208"/>
      <c r="B1291" s="208"/>
      <c r="C1291" s="209"/>
      <c r="D1291" s="209"/>
      <c r="E1291" s="209"/>
      <c r="F1291" s="209"/>
      <c r="G1291" s="210"/>
    </row>
    <row r="1292" spans="1:7" s="25" customFormat="1" ht="13.8" x14ac:dyDescent="0.3">
      <c r="A1292" s="208"/>
      <c r="B1292" s="208"/>
      <c r="C1292" s="209"/>
      <c r="D1292" s="209"/>
      <c r="E1292" s="209"/>
      <c r="F1292" s="209"/>
      <c r="G1292" s="210"/>
    </row>
    <row r="1293" spans="1:7" s="25" customFormat="1" ht="13.8" x14ac:dyDescent="0.3">
      <c r="A1293" s="208"/>
      <c r="B1293" s="208"/>
      <c r="C1293" s="209"/>
      <c r="D1293" s="209"/>
      <c r="E1293" s="209"/>
      <c r="F1293" s="209"/>
      <c r="G1293" s="210"/>
    </row>
    <row r="1294" spans="1:7" s="25" customFormat="1" ht="13.8" x14ac:dyDescent="0.3">
      <c r="A1294" s="208"/>
      <c r="B1294" s="208"/>
      <c r="C1294" s="209"/>
      <c r="D1294" s="209"/>
      <c r="E1294" s="209"/>
      <c r="F1294" s="209"/>
      <c r="G1294" s="210"/>
    </row>
    <row r="1295" spans="1:7" s="25" customFormat="1" ht="13.8" x14ac:dyDescent="0.3">
      <c r="A1295" s="208"/>
      <c r="B1295" s="208"/>
      <c r="C1295" s="209"/>
      <c r="D1295" s="209"/>
      <c r="E1295" s="209"/>
      <c r="F1295" s="209"/>
      <c r="G1295" s="210"/>
    </row>
    <row r="1296" spans="1:7" s="25" customFormat="1" ht="13.8" x14ac:dyDescent="0.3">
      <c r="A1296" s="208"/>
      <c r="B1296" s="208"/>
      <c r="C1296" s="209"/>
      <c r="D1296" s="209"/>
      <c r="E1296" s="209"/>
      <c r="F1296" s="209"/>
      <c r="G1296" s="210"/>
    </row>
    <row r="1297" spans="1:7" s="25" customFormat="1" ht="13.8" x14ac:dyDescent="0.3">
      <c r="A1297" s="208"/>
      <c r="B1297" s="208"/>
      <c r="C1297" s="209"/>
      <c r="D1297" s="209"/>
      <c r="E1297" s="209"/>
      <c r="F1297" s="209"/>
      <c r="G1297" s="210"/>
    </row>
    <row r="1298" spans="1:7" s="25" customFormat="1" ht="13.8" x14ac:dyDescent="0.3">
      <c r="A1298" s="208"/>
      <c r="B1298" s="208"/>
      <c r="C1298" s="209"/>
      <c r="D1298" s="209"/>
      <c r="E1298" s="209"/>
      <c r="F1298" s="209"/>
      <c r="G1298" s="210"/>
    </row>
    <row r="1299" spans="1:7" s="25" customFormat="1" ht="13.8" x14ac:dyDescent="0.3">
      <c r="A1299" s="208"/>
      <c r="B1299" s="208"/>
      <c r="C1299" s="209"/>
      <c r="D1299" s="209"/>
      <c r="E1299" s="209"/>
      <c r="F1299" s="209"/>
      <c r="G1299" s="210"/>
    </row>
    <row r="1300" spans="1:7" s="25" customFormat="1" ht="13.8" x14ac:dyDescent="0.3">
      <c r="A1300" s="208"/>
      <c r="B1300" s="208"/>
      <c r="C1300" s="209"/>
      <c r="D1300" s="209"/>
      <c r="E1300" s="209"/>
      <c r="F1300" s="209"/>
      <c r="G1300" s="210"/>
    </row>
    <row r="1301" spans="1:7" s="25" customFormat="1" ht="13.8" x14ac:dyDescent="0.3">
      <c r="A1301" s="208"/>
      <c r="B1301" s="208"/>
      <c r="C1301" s="209"/>
      <c r="D1301" s="209"/>
      <c r="E1301" s="209"/>
      <c r="F1301" s="209"/>
      <c r="G1301" s="210"/>
    </row>
    <row r="1302" spans="1:7" s="25" customFormat="1" ht="13.8" x14ac:dyDescent="0.3">
      <c r="A1302" s="208"/>
      <c r="B1302" s="208"/>
      <c r="C1302" s="209"/>
      <c r="D1302" s="209"/>
      <c r="E1302" s="209"/>
      <c r="F1302" s="209"/>
      <c r="G1302" s="210"/>
    </row>
    <row r="1303" spans="1:7" s="25" customFormat="1" ht="13.8" x14ac:dyDescent="0.3">
      <c r="A1303" s="208"/>
      <c r="B1303" s="208"/>
      <c r="C1303" s="209"/>
      <c r="D1303" s="209"/>
      <c r="E1303" s="209"/>
      <c r="F1303" s="209"/>
      <c r="G1303" s="210"/>
    </row>
    <row r="1304" spans="1:7" s="25" customFormat="1" ht="13.8" x14ac:dyDescent="0.3">
      <c r="A1304" s="208"/>
      <c r="B1304" s="208"/>
      <c r="C1304" s="209"/>
      <c r="D1304" s="209"/>
      <c r="E1304" s="209"/>
      <c r="F1304" s="209"/>
      <c r="G1304" s="210"/>
    </row>
    <row r="1305" spans="1:7" s="25" customFormat="1" ht="13.8" x14ac:dyDescent="0.3">
      <c r="A1305" s="208"/>
      <c r="B1305" s="208"/>
      <c r="C1305" s="209"/>
      <c r="D1305" s="209"/>
      <c r="E1305" s="209"/>
      <c r="F1305" s="209"/>
      <c r="G1305" s="210"/>
    </row>
    <row r="1306" spans="1:7" s="25" customFormat="1" ht="13.8" x14ac:dyDescent="0.3">
      <c r="A1306" s="208"/>
      <c r="B1306" s="208"/>
      <c r="C1306" s="209"/>
      <c r="D1306" s="209"/>
      <c r="E1306" s="209"/>
      <c r="F1306" s="209"/>
      <c r="G1306" s="210"/>
    </row>
    <row r="1307" spans="1:7" s="25" customFormat="1" ht="13.8" x14ac:dyDescent="0.3">
      <c r="A1307" s="208"/>
      <c r="B1307" s="208"/>
      <c r="C1307" s="209"/>
      <c r="D1307" s="209"/>
      <c r="E1307" s="209"/>
      <c r="F1307" s="209"/>
      <c r="G1307" s="210"/>
    </row>
    <row r="1308" spans="1:7" s="25" customFormat="1" ht="13.8" x14ac:dyDescent="0.3">
      <c r="A1308" s="208"/>
      <c r="B1308" s="208"/>
      <c r="C1308" s="209"/>
      <c r="D1308" s="209"/>
      <c r="E1308" s="209"/>
      <c r="F1308" s="209"/>
      <c r="G1308" s="210"/>
    </row>
    <row r="1309" spans="1:7" s="25" customFormat="1" ht="13.8" x14ac:dyDescent="0.3">
      <c r="A1309" s="208"/>
      <c r="B1309" s="208"/>
      <c r="C1309" s="209"/>
      <c r="D1309" s="209"/>
      <c r="E1309" s="209"/>
      <c r="F1309" s="209"/>
      <c r="G1309" s="210"/>
    </row>
    <row r="1310" spans="1:7" s="25" customFormat="1" ht="13.8" x14ac:dyDescent="0.3">
      <c r="A1310" s="208"/>
      <c r="B1310" s="208"/>
      <c r="C1310" s="209"/>
      <c r="D1310" s="209"/>
      <c r="E1310" s="209"/>
      <c r="F1310" s="209"/>
      <c r="G1310" s="210"/>
    </row>
    <row r="1311" spans="1:7" s="25" customFormat="1" ht="13.8" x14ac:dyDescent="0.3">
      <c r="A1311" s="208"/>
      <c r="B1311" s="208"/>
      <c r="C1311" s="209"/>
      <c r="D1311" s="209"/>
      <c r="E1311" s="209"/>
      <c r="F1311" s="209"/>
      <c r="G1311" s="210"/>
    </row>
    <row r="1312" spans="1:7" s="25" customFormat="1" ht="13.8" x14ac:dyDescent="0.3">
      <c r="A1312" s="208"/>
      <c r="B1312" s="208"/>
      <c r="C1312" s="209"/>
      <c r="D1312" s="209"/>
      <c r="E1312" s="209"/>
      <c r="F1312" s="209"/>
      <c r="G1312" s="210"/>
    </row>
    <row r="1313" spans="1:7" s="25" customFormat="1" ht="13.8" x14ac:dyDescent="0.3">
      <c r="A1313" s="208"/>
      <c r="B1313" s="208"/>
      <c r="C1313" s="209"/>
      <c r="D1313" s="209"/>
      <c r="E1313" s="209"/>
      <c r="F1313" s="209"/>
      <c r="G1313" s="210"/>
    </row>
    <row r="1314" spans="1:7" s="25" customFormat="1" ht="13.8" x14ac:dyDescent="0.3">
      <c r="A1314" s="208"/>
      <c r="B1314" s="208"/>
      <c r="C1314" s="209"/>
      <c r="D1314" s="209"/>
      <c r="E1314" s="209"/>
      <c r="F1314" s="209"/>
      <c r="G1314" s="210"/>
    </row>
    <row r="1315" spans="1:7" s="25" customFormat="1" ht="13.8" x14ac:dyDescent="0.3">
      <c r="A1315" s="208"/>
      <c r="B1315" s="208"/>
      <c r="C1315" s="209"/>
      <c r="D1315" s="209"/>
      <c r="E1315" s="209"/>
      <c r="F1315" s="209"/>
      <c r="G1315" s="210"/>
    </row>
    <row r="1316" spans="1:7" s="25" customFormat="1" ht="13.8" x14ac:dyDescent="0.3">
      <c r="A1316" s="208"/>
      <c r="B1316" s="208"/>
      <c r="C1316" s="209"/>
      <c r="D1316" s="209"/>
      <c r="E1316" s="209"/>
      <c r="F1316" s="209"/>
      <c r="G1316" s="210"/>
    </row>
    <row r="1317" spans="1:7" s="25" customFormat="1" ht="13.8" x14ac:dyDescent="0.3">
      <c r="A1317" s="208"/>
      <c r="B1317" s="208"/>
      <c r="C1317" s="209"/>
      <c r="D1317" s="209"/>
      <c r="E1317" s="209"/>
      <c r="F1317" s="209"/>
      <c r="G1317" s="210"/>
    </row>
    <row r="1318" spans="1:7" s="25" customFormat="1" ht="13.8" x14ac:dyDescent="0.3">
      <c r="A1318" s="208"/>
      <c r="B1318" s="208"/>
      <c r="C1318" s="209"/>
      <c r="D1318" s="209"/>
      <c r="E1318" s="209"/>
      <c r="F1318" s="209"/>
      <c r="G1318" s="210"/>
    </row>
    <row r="1319" spans="1:7" s="25" customFormat="1" ht="13.8" x14ac:dyDescent="0.3">
      <c r="A1319" s="208"/>
      <c r="B1319" s="208"/>
      <c r="C1319" s="209"/>
      <c r="D1319" s="209"/>
      <c r="E1319" s="209"/>
      <c r="F1319" s="209"/>
      <c r="G1319" s="210"/>
    </row>
    <row r="1320" spans="1:7" s="25" customFormat="1" ht="13.8" x14ac:dyDescent="0.3">
      <c r="A1320" s="208"/>
      <c r="B1320" s="208"/>
      <c r="C1320" s="209"/>
      <c r="D1320" s="209"/>
      <c r="E1320" s="209"/>
      <c r="F1320" s="209"/>
      <c r="G1320" s="210"/>
    </row>
    <row r="1321" spans="1:7" s="25" customFormat="1" ht="13.8" x14ac:dyDescent="0.3">
      <c r="A1321" s="208"/>
      <c r="B1321" s="208"/>
      <c r="C1321" s="209"/>
      <c r="D1321" s="209"/>
      <c r="E1321" s="209"/>
      <c r="F1321" s="209"/>
      <c r="G1321" s="210"/>
    </row>
    <row r="1322" spans="1:7" s="25" customFormat="1" ht="13.8" x14ac:dyDescent="0.3">
      <c r="A1322" s="208"/>
      <c r="B1322" s="208"/>
      <c r="C1322" s="209"/>
      <c r="D1322" s="209"/>
      <c r="E1322" s="209"/>
      <c r="F1322" s="209"/>
      <c r="G1322" s="210"/>
    </row>
    <row r="1323" spans="1:7" s="25" customFormat="1" ht="13.8" x14ac:dyDescent="0.3">
      <c r="A1323" s="208"/>
      <c r="B1323" s="208"/>
      <c r="C1323" s="209"/>
      <c r="D1323" s="209"/>
      <c r="E1323" s="209"/>
      <c r="F1323" s="209"/>
      <c r="G1323" s="210"/>
    </row>
    <row r="1324" spans="1:7" s="25" customFormat="1" ht="13.8" x14ac:dyDescent="0.3">
      <c r="A1324" s="208"/>
      <c r="B1324" s="208"/>
      <c r="C1324" s="209"/>
      <c r="D1324" s="209"/>
      <c r="E1324" s="209"/>
      <c r="F1324" s="209"/>
      <c r="G1324" s="210"/>
    </row>
    <row r="1325" spans="1:7" s="25" customFormat="1" ht="13.8" x14ac:dyDescent="0.3">
      <c r="A1325" s="208"/>
      <c r="B1325" s="208"/>
      <c r="C1325" s="209"/>
      <c r="D1325" s="209"/>
      <c r="E1325" s="209"/>
      <c r="F1325" s="209"/>
      <c r="G1325" s="210"/>
    </row>
    <row r="1326" spans="1:7" s="25" customFormat="1" ht="13.8" x14ac:dyDescent="0.3">
      <c r="A1326" s="208"/>
      <c r="B1326" s="208"/>
      <c r="C1326" s="209"/>
      <c r="D1326" s="209"/>
      <c r="E1326" s="209"/>
      <c r="F1326" s="209"/>
      <c r="G1326" s="210"/>
    </row>
    <row r="1327" spans="1:7" s="25" customFormat="1" ht="13.8" x14ac:dyDescent="0.3">
      <c r="A1327" s="208"/>
      <c r="B1327" s="208"/>
      <c r="C1327" s="209"/>
      <c r="D1327" s="209"/>
      <c r="E1327" s="209"/>
      <c r="F1327" s="209"/>
      <c r="G1327" s="210"/>
    </row>
    <row r="1328" spans="1:7" s="25" customFormat="1" ht="13.8" x14ac:dyDescent="0.3">
      <c r="A1328" s="208"/>
      <c r="B1328" s="208"/>
      <c r="C1328" s="209"/>
      <c r="D1328" s="209"/>
      <c r="E1328" s="209"/>
      <c r="F1328" s="209"/>
      <c r="G1328" s="210"/>
    </row>
    <row r="1329" spans="1:7" s="25" customFormat="1" ht="13.8" x14ac:dyDescent="0.3">
      <c r="A1329" s="208"/>
      <c r="B1329" s="208"/>
      <c r="C1329" s="209"/>
      <c r="D1329" s="209"/>
      <c r="E1329" s="209"/>
      <c r="F1329" s="209"/>
      <c r="G1329" s="210"/>
    </row>
    <row r="1330" spans="1:7" s="25" customFormat="1" ht="13.8" x14ac:dyDescent="0.3">
      <c r="A1330" s="208"/>
      <c r="B1330" s="208"/>
      <c r="C1330" s="209"/>
      <c r="D1330" s="209"/>
      <c r="E1330" s="209"/>
      <c r="F1330" s="209"/>
      <c r="G1330" s="210"/>
    </row>
    <row r="1331" spans="1:7" s="25" customFormat="1" ht="13.8" x14ac:dyDescent="0.3">
      <c r="A1331" s="208"/>
      <c r="B1331" s="208"/>
      <c r="C1331" s="209"/>
      <c r="D1331" s="209"/>
      <c r="E1331" s="209"/>
      <c r="F1331" s="209"/>
      <c r="G1331" s="210"/>
    </row>
    <row r="1332" spans="1:7" s="25" customFormat="1" ht="13.8" x14ac:dyDescent="0.3">
      <c r="A1332" s="208"/>
      <c r="B1332" s="208"/>
      <c r="C1332" s="209"/>
      <c r="D1332" s="209"/>
      <c r="E1332" s="209"/>
      <c r="F1332" s="209"/>
      <c r="G1332" s="210"/>
    </row>
    <row r="1333" spans="1:7" s="25" customFormat="1" ht="13.8" x14ac:dyDescent="0.3">
      <c r="A1333" s="208"/>
      <c r="B1333" s="208"/>
      <c r="C1333" s="209"/>
      <c r="D1333" s="209"/>
      <c r="E1333" s="209"/>
      <c r="F1333" s="209"/>
      <c r="G1333" s="210"/>
    </row>
    <row r="1334" spans="1:7" s="25" customFormat="1" ht="13.8" x14ac:dyDescent="0.3">
      <c r="A1334" s="208"/>
      <c r="B1334" s="208"/>
      <c r="C1334" s="209"/>
      <c r="D1334" s="209"/>
      <c r="E1334" s="209"/>
      <c r="F1334" s="209"/>
      <c r="G1334" s="210"/>
    </row>
    <row r="1335" spans="1:7" s="25" customFormat="1" ht="13.8" x14ac:dyDescent="0.3">
      <c r="A1335" s="208"/>
      <c r="B1335" s="208"/>
      <c r="C1335" s="209"/>
      <c r="D1335" s="209"/>
      <c r="E1335" s="209"/>
      <c r="F1335" s="209"/>
      <c r="G1335" s="210"/>
    </row>
    <row r="1336" spans="1:7" s="25" customFormat="1" ht="13.8" x14ac:dyDescent="0.3">
      <c r="A1336" s="208"/>
      <c r="B1336" s="208"/>
      <c r="C1336" s="209"/>
      <c r="D1336" s="209"/>
      <c r="E1336" s="209"/>
      <c r="F1336" s="209"/>
      <c r="G1336" s="210"/>
    </row>
    <row r="1337" spans="1:7" s="25" customFormat="1" ht="13.8" x14ac:dyDescent="0.3">
      <c r="A1337" s="208"/>
      <c r="B1337" s="208"/>
      <c r="C1337" s="209"/>
      <c r="D1337" s="209"/>
      <c r="E1337" s="209"/>
      <c r="F1337" s="209"/>
      <c r="G1337" s="210"/>
    </row>
    <row r="1338" spans="1:7" s="25" customFormat="1" ht="13.8" x14ac:dyDescent="0.3">
      <c r="A1338" s="208"/>
      <c r="B1338" s="208"/>
      <c r="C1338" s="209"/>
      <c r="D1338" s="209"/>
      <c r="E1338" s="209"/>
      <c r="F1338" s="209"/>
      <c r="G1338" s="210"/>
    </row>
    <row r="1339" spans="1:7" s="25" customFormat="1" ht="13.8" x14ac:dyDescent="0.3">
      <c r="A1339" s="208"/>
      <c r="B1339" s="208"/>
      <c r="C1339" s="209"/>
      <c r="D1339" s="209"/>
      <c r="E1339" s="209"/>
      <c r="F1339" s="209"/>
      <c r="G1339" s="210"/>
    </row>
    <row r="1340" spans="1:7" s="25" customFormat="1" ht="13.8" x14ac:dyDescent="0.3">
      <c r="A1340" s="208"/>
      <c r="B1340" s="208"/>
      <c r="C1340" s="209"/>
      <c r="D1340" s="209"/>
      <c r="E1340" s="209"/>
      <c r="F1340" s="209"/>
      <c r="G1340" s="210"/>
    </row>
    <row r="1341" spans="1:7" s="25" customFormat="1" ht="13.8" x14ac:dyDescent="0.3">
      <c r="A1341" s="208"/>
      <c r="B1341" s="208"/>
      <c r="C1341" s="209"/>
      <c r="D1341" s="209"/>
      <c r="E1341" s="209"/>
      <c r="F1341" s="209"/>
      <c r="G1341" s="210"/>
    </row>
    <row r="1342" spans="1:7" s="25" customFormat="1" ht="13.8" x14ac:dyDescent="0.3">
      <c r="A1342" s="208"/>
      <c r="B1342" s="208"/>
      <c r="C1342" s="209"/>
      <c r="D1342" s="209"/>
      <c r="E1342" s="209"/>
      <c r="F1342" s="209"/>
      <c r="G1342" s="210"/>
    </row>
    <row r="1343" spans="1:7" s="25" customFormat="1" ht="13.8" x14ac:dyDescent="0.3">
      <c r="A1343" s="208"/>
      <c r="B1343" s="208"/>
      <c r="C1343" s="209"/>
      <c r="D1343" s="209"/>
      <c r="E1343" s="209"/>
      <c r="F1343" s="209"/>
      <c r="G1343" s="210"/>
    </row>
    <row r="1344" spans="1:7" s="25" customFormat="1" ht="13.8" x14ac:dyDescent="0.3">
      <c r="A1344" s="208"/>
      <c r="B1344" s="208"/>
      <c r="C1344" s="209"/>
      <c r="D1344" s="209"/>
      <c r="E1344" s="209"/>
      <c r="F1344" s="209"/>
      <c r="G1344" s="210"/>
    </row>
    <row r="1345" spans="1:7" s="25" customFormat="1" ht="13.8" x14ac:dyDescent="0.3">
      <c r="A1345" s="208"/>
      <c r="B1345" s="208"/>
      <c r="C1345" s="209"/>
      <c r="D1345" s="209"/>
      <c r="E1345" s="209"/>
      <c r="F1345" s="209"/>
      <c r="G1345" s="210"/>
    </row>
    <row r="1346" spans="1:7" s="25" customFormat="1" ht="13.8" x14ac:dyDescent="0.3">
      <c r="A1346" s="208"/>
      <c r="B1346" s="208"/>
      <c r="C1346" s="209"/>
      <c r="D1346" s="209"/>
      <c r="E1346" s="209"/>
      <c r="F1346" s="209"/>
      <c r="G1346" s="210"/>
    </row>
    <row r="1347" spans="1:7" s="25" customFormat="1" ht="13.8" x14ac:dyDescent="0.3">
      <c r="A1347" s="208"/>
      <c r="B1347" s="208"/>
      <c r="C1347" s="209"/>
      <c r="D1347" s="209"/>
      <c r="E1347" s="209"/>
      <c r="F1347" s="209"/>
      <c r="G1347" s="210"/>
    </row>
    <row r="1348" spans="1:7" s="25" customFormat="1" ht="13.8" x14ac:dyDescent="0.3">
      <c r="A1348" s="208"/>
      <c r="B1348" s="208"/>
      <c r="C1348" s="209"/>
      <c r="D1348" s="209"/>
      <c r="E1348" s="209"/>
      <c r="F1348" s="209"/>
      <c r="G1348" s="210"/>
    </row>
    <row r="1349" spans="1:7" s="25" customFormat="1" ht="13.8" x14ac:dyDescent="0.3">
      <c r="A1349" s="208"/>
      <c r="B1349" s="208"/>
      <c r="C1349" s="209"/>
      <c r="D1349" s="209"/>
      <c r="E1349" s="209"/>
      <c r="F1349" s="209"/>
      <c r="G1349" s="210"/>
    </row>
    <row r="1350" spans="1:7" s="25" customFormat="1" ht="13.8" x14ac:dyDescent="0.3">
      <c r="A1350" s="208"/>
      <c r="B1350" s="208"/>
      <c r="C1350" s="209"/>
      <c r="D1350" s="209"/>
      <c r="E1350" s="209"/>
      <c r="F1350" s="209"/>
      <c r="G1350" s="210"/>
    </row>
    <row r="1351" spans="1:7" s="25" customFormat="1" ht="13.8" x14ac:dyDescent="0.3">
      <c r="A1351" s="208"/>
      <c r="B1351" s="208"/>
      <c r="C1351" s="209"/>
      <c r="D1351" s="209"/>
      <c r="E1351" s="209"/>
      <c r="F1351" s="209"/>
      <c r="G1351" s="210"/>
    </row>
    <row r="1352" spans="1:7" s="25" customFormat="1" ht="13.8" x14ac:dyDescent="0.3">
      <c r="A1352" s="208"/>
      <c r="B1352" s="208"/>
      <c r="C1352" s="209"/>
      <c r="D1352" s="209"/>
      <c r="E1352" s="209"/>
      <c r="F1352" s="209"/>
      <c r="G1352" s="210"/>
    </row>
    <row r="1353" spans="1:7" s="25" customFormat="1" ht="13.8" x14ac:dyDescent="0.3">
      <c r="A1353" s="208"/>
      <c r="B1353" s="208"/>
      <c r="C1353" s="209"/>
      <c r="D1353" s="209"/>
      <c r="E1353" s="209"/>
      <c r="F1353" s="209"/>
      <c r="G1353" s="210"/>
    </row>
    <row r="1354" spans="1:7" s="25" customFormat="1" ht="13.8" x14ac:dyDescent="0.3">
      <c r="A1354" s="208"/>
      <c r="B1354" s="208"/>
      <c r="C1354" s="209"/>
      <c r="D1354" s="209"/>
      <c r="E1354" s="209"/>
      <c r="F1354" s="209"/>
      <c r="G1354" s="210"/>
    </row>
    <row r="1355" spans="1:7" s="25" customFormat="1" ht="13.8" x14ac:dyDescent="0.3">
      <c r="A1355" s="208"/>
      <c r="B1355" s="208"/>
      <c r="C1355" s="209"/>
      <c r="D1355" s="209"/>
      <c r="E1355" s="209"/>
      <c r="F1355" s="209"/>
      <c r="G1355" s="210"/>
    </row>
    <row r="1356" spans="1:7" s="25" customFormat="1" ht="13.8" x14ac:dyDescent="0.3">
      <c r="A1356" s="208"/>
      <c r="B1356" s="208"/>
      <c r="C1356" s="209"/>
      <c r="D1356" s="209"/>
      <c r="E1356" s="209"/>
      <c r="F1356" s="209"/>
      <c r="G1356" s="210"/>
    </row>
    <row r="1357" spans="1:7" s="25" customFormat="1" ht="13.8" x14ac:dyDescent="0.3">
      <c r="A1357" s="208"/>
      <c r="B1357" s="208"/>
      <c r="C1357" s="209"/>
      <c r="D1357" s="209"/>
      <c r="E1357" s="209"/>
      <c r="F1357" s="209"/>
      <c r="G1357" s="210"/>
    </row>
    <row r="1358" spans="1:7" s="25" customFormat="1" ht="13.8" x14ac:dyDescent="0.3">
      <c r="A1358" s="208"/>
      <c r="B1358" s="208"/>
      <c r="C1358" s="209"/>
      <c r="D1358" s="209"/>
      <c r="E1358" s="209"/>
      <c r="F1358" s="209"/>
      <c r="G1358" s="210"/>
    </row>
    <row r="1359" spans="1:7" s="25" customFormat="1" ht="13.8" x14ac:dyDescent="0.3">
      <c r="A1359" s="208"/>
      <c r="B1359" s="208"/>
      <c r="C1359" s="209"/>
      <c r="D1359" s="209"/>
      <c r="E1359" s="209"/>
      <c r="F1359" s="209"/>
      <c r="G1359" s="210"/>
    </row>
    <row r="1360" spans="1:7" s="25" customFormat="1" ht="13.8" x14ac:dyDescent="0.3">
      <c r="A1360" s="208"/>
      <c r="B1360" s="208"/>
      <c r="C1360" s="209"/>
      <c r="D1360" s="209"/>
      <c r="E1360" s="209"/>
      <c r="F1360" s="209"/>
      <c r="G1360" s="210"/>
    </row>
    <row r="1361" spans="1:7" s="25" customFormat="1" ht="13.8" x14ac:dyDescent="0.3">
      <c r="A1361" s="208"/>
      <c r="B1361" s="208"/>
      <c r="C1361" s="209"/>
      <c r="D1361" s="209"/>
      <c r="E1361" s="209"/>
      <c r="F1361" s="209"/>
      <c r="G1361" s="210"/>
    </row>
    <row r="1362" spans="1:7" s="25" customFormat="1" ht="13.8" x14ac:dyDescent="0.3">
      <c r="A1362" s="208"/>
      <c r="B1362" s="208"/>
      <c r="C1362" s="209"/>
      <c r="D1362" s="209"/>
      <c r="E1362" s="209"/>
      <c r="F1362" s="209"/>
      <c r="G1362" s="210"/>
    </row>
    <row r="1363" spans="1:7" s="25" customFormat="1" ht="13.8" x14ac:dyDescent="0.3">
      <c r="A1363" s="208"/>
      <c r="B1363" s="208"/>
      <c r="C1363" s="209"/>
      <c r="D1363" s="209"/>
      <c r="E1363" s="209"/>
      <c r="F1363" s="209"/>
      <c r="G1363" s="210"/>
    </row>
    <row r="1364" spans="1:7" s="25" customFormat="1" ht="13.8" x14ac:dyDescent="0.3">
      <c r="A1364" s="208"/>
      <c r="B1364" s="208"/>
      <c r="C1364" s="209"/>
      <c r="D1364" s="209"/>
      <c r="E1364" s="209"/>
      <c r="F1364" s="209"/>
      <c r="G1364" s="210"/>
    </row>
    <row r="1365" spans="1:7" s="25" customFormat="1" ht="13.8" x14ac:dyDescent="0.3">
      <c r="A1365" s="208"/>
      <c r="B1365" s="208"/>
      <c r="C1365" s="209"/>
      <c r="D1365" s="209"/>
      <c r="E1365" s="209"/>
      <c r="F1365" s="209"/>
      <c r="G1365" s="210"/>
    </row>
    <row r="1366" spans="1:7" s="25" customFormat="1" ht="13.8" x14ac:dyDescent="0.3">
      <c r="A1366" s="208"/>
      <c r="B1366" s="208"/>
      <c r="C1366" s="209"/>
      <c r="D1366" s="209"/>
      <c r="E1366" s="209"/>
      <c r="F1366" s="209"/>
      <c r="G1366" s="210"/>
    </row>
    <row r="1367" spans="1:7" s="25" customFormat="1" ht="13.8" x14ac:dyDescent="0.3">
      <c r="A1367" s="208"/>
      <c r="B1367" s="208"/>
      <c r="C1367" s="209"/>
      <c r="D1367" s="209"/>
      <c r="E1367" s="209"/>
      <c r="F1367" s="209"/>
      <c r="G1367" s="210"/>
    </row>
    <row r="1368" spans="1:7" s="25" customFormat="1" ht="13.8" x14ac:dyDescent="0.3">
      <c r="A1368" s="208"/>
      <c r="B1368" s="208"/>
      <c r="C1368" s="209"/>
      <c r="D1368" s="209"/>
      <c r="E1368" s="209"/>
      <c r="F1368" s="209"/>
      <c r="G1368" s="210"/>
    </row>
    <row r="1369" spans="1:7" s="25" customFormat="1" ht="13.8" x14ac:dyDescent="0.3">
      <c r="A1369" s="208"/>
      <c r="B1369" s="208"/>
      <c r="C1369" s="209"/>
      <c r="D1369" s="209"/>
      <c r="E1369" s="209"/>
      <c r="F1369" s="209"/>
      <c r="G1369" s="210"/>
    </row>
    <row r="1370" spans="1:7" s="25" customFormat="1" ht="13.8" x14ac:dyDescent="0.3">
      <c r="A1370" s="208"/>
      <c r="B1370" s="208"/>
      <c r="C1370" s="209"/>
      <c r="D1370" s="209"/>
      <c r="E1370" s="209"/>
      <c r="F1370" s="209"/>
      <c r="G1370" s="210"/>
    </row>
    <row r="1371" spans="1:7" s="25" customFormat="1" ht="13.8" x14ac:dyDescent="0.3">
      <c r="A1371" s="208"/>
      <c r="B1371" s="208"/>
      <c r="C1371" s="209"/>
      <c r="D1371" s="209"/>
      <c r="E1371" s="209"/>
      <c r="F1371" s="209"/>
      <c r="G1371" s="210"/>
    </row>
    <row r="1372" spans="1:7" s="25" customFormat="1" ht="13.8" x14ac:dyDescent="0.3">
      <c r="A1372" s="208"/>
      <c r="B1372" s="208"/>
      <c r="C1372" s="209"/>
      <c r="D1372" s="209"/>
      <c r="E1372" s="209"/>
      <c r="F1372" s="209"/>
      <c r="G1372" s="210"/>
    </row>
    <row r="1373" spans="1:7" s="25" customFormat="1" ht="13.8" x14ac:dyDescent="0.3">
      <c r="A1373" s="208"/>
      <c r="B1373" s="208"/>
      <c r="C1373" s="209"/>
      <c r="D1373" s="209"/>
      <c r="E1373" s="209"/>
      <c r="F1373" s="209"/>
      <c r="G1373" s="210"/>
    </row>
    <row r="1374" spans="1:7" s="25" customFormat="1" ht="13.8" x14ac:dyDescent="0.3">
      <c r="A1374" s="208"/>
      <c r="B1374" s="208"/>
      <c r="C1374" s="209"/>
      <c r="D1374" s="209"/>
      <c r="E1374" s="209"/>
      <c r="F1374" s="209"/>
      <c r="G1374" s="210"/>
    </row>
    <row r="1375" spans="1:7" s="25" customFormat="1" ht="13.8" x14ac:dyDescent="0.3">
      <c r="A1375" s="208"/>
      <c r="B1375" s="208"/>
      <c r="C1375" s="209"/>
      <c r="D1375" s="209"/>
      <c r="E1375" s="209"/>
      <c r="F1375" s="209"/>
      <c r="G1375" s="210"/>
    </row>
    <row r="1376" spans="1:7" s="25" customFormat="1" ht="13.8" x14ac:dyDescent="0.3">
      <c r="A1376" s="208"/>
      <c r="B1376" s="208"/>
      <c r="C1376" s="209"/>
      <c r="D1376" s="209"/>
      <c r="E1376" s="209"/>
      <c r="F1376" s="209"/>
      <c r="G1376" s="210"/>
    </row>
    <row r="1377" spans="1:7" s="25" customFormat="1" ht="13.8" x14ac:dyDescent="0.3">
      <c r="A1377" s="208"/>
      <c r="B1377" s="208"/>
      <c r="C1377" s="209"/>
      <c r="D1377" s="209"/>
      <c r="E1377" s="209"/>
      <c r="F1377" s="209"/>
      <c r="G1377" s="210"/>
    </row>
    <row r="1378" spans="1:7" s="25" customFormat="1" ht="13.8" x14ac:dyDescent="0.3">
      <c r="A1378" s="208"/>
      <c r="B1378" s="208"/>
      <c r="C1378" s="209"/>
      <c r="D1378" s="209"/>
      <c r="E1378" s="209"/>
      <c r="F1378" s="209"/>
      <c r="G1378" s="210"/>
    </row>
    <row r="1379" spans="1:7" s="25" customFormat="1" ht="13.8" x14ac:dyDescent="0.3">
      <c r="A1379" s="208"/>
      <c r="B1379" s="208"/>
      <c r="C1379" s="209"/>
      <c r="D1379" s="209"/>
      <c r="E1379" s="209"/>
      <c r="F1379" s="209"/>
      <c r="G1379" s="210"/>
    </row>
    <row r="1380" spans="1:7" s="25" customFormat="1" ht="13.8" x14ac:dyDescent="0.3">
      <c r="A1380" s="208"/>
      <c r="B1380" s="208"/>
      <c r="C1380" s="209"/>
      <c r="D1380" s="209"/>
      <c r="E1380" s="209"/>
      <c r="F1380" s="209"/>
      <c r="G1380" s="210"/>
    </row>
    <row r="1381" spans="1:7" s="25" customFormat="1" ht="13.8" x14ac:dyDescent="0.3">
      <c r="A1381" s="208"/>
      <c r="B1381" s="208"/>
      <c r="C1381" s="209"/>
      <c r="D1381" s="209"/>
      <c r="E1381" s="209"/>
      <c r="F1381" s="209"/>
      <c r="G1381" s="210"/>
    </row>
    <row r="1382" spans="1:7" s="25" customFormat="1" ht="13.8" x14ac:dyDescent="0.3">
      <c r="A1382" s="208"/>
      <c r="B1382" s="208"/>
      <c r="C1382" s="209"/>
      <c r="D1382" s="209"/>
      <c r="E1382" s="209"/>
      <c r="F1382" s="209"/>
      <c r="G1382" s="210"/>
    </row>
    <row r="1383" spans="1:7" s="25" customFormat="1" ht="13.8" x14ac:dyDescent="0.3">
      <c r="A1383" s="208"/>
      <c r="B1383" s="208"/>
      <c r="C1383" s="209"/>
      <c r="D1383" s="209"/>
      <c r="E1383" s="209"/>
      <c r="F1383" s="209"/>
      <c r="G1383" s="210"/>
    </row>
    <row r="1384" spans="1:7" s="25" customFormat="1" ht="13.8" x14ac:dyDescent="0.3">
      <c r="A1384" s="208"/>
      <c r="B1384" s="208"/>
      <c r="C1384" s="209"/>
      <c r="D1384" s="209"/>
      <c r="E1384" s="209"/>
      <c r="F1384" s="209"/>
      <c r="G1384" s="210"/>
    </row>
    <row r="1385" spans="1:7" s="25" customFormat="1" ht="13.8" x14ac:dyDescent="0.3">
      <c r="A1385" s="208"/>
      <c r="B1385" s="208"/>
      <c r="C1385" s="209"/>
      <c r="D1385" s="209"/>
      <c r="E1385" s="209"/>
      <c r="F1385" s="209"/>
      <c r="G1385" s="210"/>
    </row>
    <row r="1386" spans="1:7" s="25" customFormat="1" ht="13.8" x14ac:dyDescent="0.3">
      <c r="A1386" s="208"/>
      <c r="B1386" s="208"/>
      <c r="C1386" s="209"/>
      <c r="D1386" s="209"/>
      <c r="E1386" s="209"/>
      <c r="F1386" s="209"/>
      <c r="G1386" s="210"/>
    </row>
    <row r="1387" spans="1:7" s="25" customFormat="1" ht="13.8" x14ac:dyDescent="0.3">
      <c r="A1387" s="208"/>
      <c r="B1387" s="208"/>
      <c r="C1387" s="209"/>
      <c r="D1387" s="209"/>
      <c r="E1387" s="209"/>
      <c r="F1387" s="209"/>
      <c r="G1387" s="210"/>
    </row>
    <row r="1388" spans="1:7" s="25" customFormat="1" ht="13.8" x14ac:dyDescent="0.3">
      <c r="A1388" s="208"/>
      <c r="B1388" s="208"/>
      <c r="C1388" s="209"/>
      <c r="D1388" s="209"/>
      <c r="E1388" s="209"/>
      <c r="F1388" s="209"/>
      <c r="G1388" s="210"/>
    </row>
    <row r="1389" spans="1:7" s="25" customFormat="1" ht="13.8" x14ac:dyDescent="0.3">
      <c r="A1389" s="208"/>
      <c r="B1389" s="208"/>
      <c r="C1389" s="209"/>
      <c r="D1389" s="209"/>
      <c r="E1389" s="209"/>
      <c r="F1389" s="209"/>
      <c r="G1389" s="210"/>
    </row>
    <row r="1390" spans="1:7" s="25" customFormat="1" ht="13.8" x14ac:dyDescent="0.3">
      <c r="A1390" s="208"/>
      <c r="B1390" s="208"/>
      <c r="C1390" s="209"/>
      <c r="D1390" s="209"/>
      <c r="E1390" s="209"/>
      <c r="F1390" s="209"/>
      <c r="G1390" s="210"/>
    </row>
    <row r="1391" spans="1:7" s="25" customFormat="1" ht="13.8" x14ac:dyDescent="0.3">
      <c r="A1391" s="208"/>
      <c r="B1391" s="208"/>
      <c r="C1391" s="209"/>
      <c r="D1391" s="209"/>
      <c r="E1391" s="209"/>
      <c r="F1391" s="209"/>
      <c r="G1391" s="210"/>
    </row>
    <row r="1392" spans="1:7" s="25" customFormat="1" ht="13.8" x14ac:dyDescent="0.3">
      <c r="A1392" s="208"/>
      <c r="B1392" s="208"/>
      <c r="C1392" s="209"/>
      <c r="D1392" s="209"/>
      <c r="E1392" s="209"/>
      <c r="F1392" s="209"/>
      <c r="G1392" s="210"/>
    </row>
    <row r="1393" spans="1:7" s="25" customFormat="1" ht="13.8" x14ac:dyDescent="0.3">
      <c r="A1393" s="208"/>
      <c r="B1393" s="208"/>
      <c r="C1393" s="209"/>
      <c r="D1393" s="209"/>
      <c r="E1393" s="209"/>
      <c r="F1393" s="209"/>
      <c r="G1393" s="210"/>
    </row>
    <row r="1394" spans="1:7" s="25" customFormat="1" ht="13.8" x14ac:dyDescent="0.3">
      <c r="A1394" s="208"/>
      <c r="B1394" s="208"/>
      <c r="C1394" s="209"/>
      <c r="D1394" s="209"/>
      <c r="E1394" s="209"/>
      <c r="F1394" s="209"/>
      <c r="G1394" s="210"/>
    </row>
    <row r="1395" spans="1:7" s="25" customFormat="1" ht="13.8" x14ac:dyDescent="0.3">
      <c r="A1395" s="208"/>
      <c r="B1395" s="208"/>
      <c r="C1395" s="209"/>
      <c r="D1395" s="209"/>
      <c r="E1395" s="209"/>
      <c r="F1395" s="209"/>
      <c r="G1395" s="210"/>
    </row>
    <row r="1396" spans="1:7" s="25" customFormat="1" ht="13.8" x14ac:dyDescent="0.3">
      <c r="A1396" s="208"/>
      <c r="B1396" s="208"/>
      <c r="C1396" s="209"/>
      <c r="D1396" s="209"/>
      <c r="E1396" s="209"/>
      <c r="F1396" s="209"/>
      <c r="G1396" s="210"/>
    </row>
    <row r="1397" spans="1:7" s="25" customFormat="1" ht="13.8" x14ac:dyDescent="0.3">
      <c r="A1397" s="208"/>
      <c r="B1397" s="208"/>
      <c r="C1397" s="209"/>
      <c r="D1397" s="209"/>
      <c r="E1397" s="209"/>
      <c r="F1397" s="209"/>
      <c r="G1397" s="210"/>
    </row>
    <row r="1398" spans="1:7" s="25" customFormat="1" ht="13.8" x14ac:dyDescent="0.3">
      <c r="A1398" s="208"/>
      <c r="B1398" s="208"/>
      <c r="C1398" s="209"/>
      <c r="D1398" s="209"/>
      <c r="E1398" s="209"/>
      <c r="F1398" s="209"/>
      <c r="G1398" s="210"/>
    </row>
    <row r="1399" spans="1:7" s="25" customFormat="1" ht="13.8" x14ac:dyDescent="0.3">
      <c r="A1399" s="208"/>
      <c r="B1399" s="208"/>
      <c r="C1399" s="209"/>
      <c r="D1399" s="209"/>
      <c r="E1399" s="209"/>
      <c r="F1399" s="209"/>
      <c r="G1399" s="210"/>
    </row>
    <row r="1400" spans="1:7" s="25" customFormat="1" ht="13.8" x14ac:dyDescent="0.3">
      <c r="A1400" s="208"/>
      <c r="B1400" s="208"/>
      <c r="C1400" s="209"/>
      <c r="D1400" s="209"/>
      <c r="E1400" s="209"/>
      <c r="F1400" s="209"/>
      <c r="G1400" s="210"/>
    </row>
    <row r="1401" spans="1:7" s="25" customFormat="1" ht="13.8" x14ac:dyDescent="0.3">
      <c r="A1401" s="208"/>
      <c r="B1401" s="208"/>
      <c r="C1401" s="209"/>
      <c r="D1401" s="209"/>
      <c r="E1401" s="209"/>
      <c r="F1401" s="209"/>
      <c r="G1401" s="210"/>
    </row>
    <row r="1402" spans="1:7" s="25" customFormat="1" ht="13.8" x14ac:dyDescent="0.3">
      <c r="A1402" s="208"/>
      <c r="B1402" s="208"/>
      <c r="C1402" s="209"/>
      <c r="D1402" s="209"/>
      <c r="E1402" s="209"/>
      <c r="F1402" s="209"/>
      <c r="G1402" s="210"/>
    </row>
    <row r="1403" spans="1:7" s="25" customFormat="1" ht="13.8" x14ac:dyDescent="0.3">
      <c r="A1403" s="208"/>
      <c r="B1403" s="208"/>
      <c r="C1403" s="209"/>
      <c r="D1403" s="209"/>
      <c r="E1403" s="209"/>
      <c r="F1403" s="209"/>
      <c r="G1403" s="210"/>
    </row>
    <row r="1404" spans="1:7" s="25" customFormat="1" ht="13.8" x14ac:dyDescent="0.3">
      <c r="A1404" s="208"/>
      <c r="B1404" s="208"/>
      <c r="C1404" s="209"/>
      <c r="D1404" s="209"/>
      <c r="E1404" s="209"/>
      <c r="F1404" s="209"/>
      <c r="G1404" s="210"/>
    </row>
    <row r="1405" spans="1:7" s="25" customFormat="1" ht="13.8" x14ac:dyDescent="0.3">
      <c r="A1405" s="208"/>
      <c r="B1405" s="208"/>
      <c r="C1405" s="209"/>
      <c r="D1405" s="209"/>
      <c r="E1405" s="209"/>
      <c r="F1405" s="209"/>
      <c r="G1405" s="210"/>
    </row>
    <row r="1406" spans="1:7" s="25" customFormat="1" ht="13.8" x14ac:dyDescent="0.3">
      <c r="A1406" s="208"/>
      <c r="B1406" s="208"/>
      <c r="C1406" s="209"/>
      <c r="D1406" s="209"/>
      <c r="E1406" s="209"/>
      <c r="F1406" s="209"/>
      <c r="G1406" s="210"/>
    </row>
    <row r="1407" spans="1:7" s="25" customFormat="1" ht="13.8" x14ac:dyDescent="0.3">
      <c r="A1407" s="208"/>
      <c r="B1407" s="208"/>
      <c r="C1407" s="209"/>
      <c r="D1407" s="209"/>
      <c r="E1407" s="209"/>
      <c r="F1407" s="209"/>
      <c r="G1407" s="210"/>
    </row>
    <row r="1408" spans="1:7" s="25" customFormat="1" ht="13.8" x14ac:dyDescent="0.3">
      <c r="A1408" s="208"/>
      <c r="B1408" s="208"/>
      <c r="C1408" s="209"/>
      <c r="D1408" s="209"/>
      <c r="E1408" s="209"/>
      <c r="F1408" s="209"/>
      <c r="G1408" s="210"/>
    </row>
    <row r="1409" spans="1:7" s="25" customFormat="1" ht="13.8" x14ac:dyDescent="0.3">
      <c r="A1409" s="208"/>
      <c r="B1409" s="208"/>
      <c r="C1409" s="209"/>
      <c r="D1409" s="209"/>
      <c r="E1409" s="209"/>
      <c r="F1409" s="209"/>
      <c r="G1409" s="210"/>
    </row>
    <row r="1410" spans="1:7" s="25" customFormat="1" ht="13.8" x14ac:dyDescent="0.3">
      <c r="A1410" s="208"/>
      <c r="B1410" s="208"/>
      <c r="C1410" s="209"/>
      <c r="D1410" s="209"/>
      <c r="E1410" s="209"/>
      <c r="F1410" s="209"/>
      <c r="G1410" s="210"/>
    </row>
    <row r="1411" spans="1:7" s="25" customFormat="1" ht="13.8" x14ac:dyDescent="0.3">
      <c r="A1411" s="208"/>
      <c r="B1411" s="208"/>
      <c r="C1411" s="209"/>
      <c r="D1411" s="209"/>
      <c r="E1411" s="209"/>
      <c r="F1411" s="209"/>
      <c r="G1411" s="210"/>
    </row>
    <row r="1412" spans="1:7" s="25" customFormat="1" ht="13.8" x14ac:dyDescent="0.3">
      <c r="A1412" s="208"/>
      <c r="B1412" s="208"/>
      <c r="C1412" s="209"/>
      <c r="D1412" s="209"/>
      <c r="E1412" s="209"/>
      <c r="F1412" s="209"/>
      <c r="G1412" s="210"/>
    </row>
    <row r="1413" spans="1:7" s="25" customFormat="1" ht="13.8" x14ac:dyDescent="0.3">
      <c r="A1413" s="208"/>
      <c r="B1413" s="208"/>
      <c r="C1413" s="209"/>
      <c r="D1413" s="209"/>
      <c r="E1413" s="209"/>
      <c r="F1413" s="209"/>
      <c r="G1413" s="210"/>
    </row>
    <row r="1414" spans="1:7" s="25" customFormat="1" ht="13.8" x14ac:dyDescent="0.3">
      <c r="A1414" s="208"/>
      <c r="B1414" s="208"/>
      <c r="C1414" s="209"/>
      <c r="D1414" s="209"/>
      <c r="E1414" s="209"/>
      <c r="F1414" s="209"/>
      <c r="G1414" s="210"/>
    </row>
    <row r="1415" spans="1:7" s="25" customFormat="1" ht="13.8" x14ac:dyDescent="0.3">
      <c r="A1415" s="208"/>
      <c r="B1415" s="208"/>
      <c r="C1415" s="209"/>
      <c r="D1415" s="209"/>
      <c r="E1415" s="209"/>
      <c r="F1415" s="209"/>
      <c r="G1415" s="210"/>
    </row>
    <row r="1416" spans="1:7" s="25" customFormat="1" ht="13.8" x14ac:dyDescent="0.3">
      <c r="A1416" s="208"/>
      <c r="B1416" s="208"/>
      <c r="C1416" s="209"/>
      <c r="D1416" s="209"/>
      <c r="E1416" s="209"/>
      <c r="F1416" s="209"/>
      <c r="G1416" s="210"/>
    </row>
    <row r="1417" spans="1:7" s="25" customFormat="1" ht="13.8" x14ac:dyDescent="0.3">
      <c r="A1417" s="208"/>
      <c r="B1417" s="208"/>
      <c r="C1417" s="209"/>
      <c r="D1417" s="209"/>
      <c r="E1417" s="209"/>
      <c r="F1417" s="209"/>
      <c r="G1417" s="210"/>
    </row>
    <row r="1418" spans="1:7" s="25" customFormat="1" ht="13.8" x14ac:dyDescent="0.3">
      <c r="A1418" s="208"/>
      <c r="B1418" s="208"/>
      <c r="C1418" s="209"/>
      <c r="D1418" s="209"/>
      <c r="E1418" s="209"/>
      <c r="F1418" s="209"/>
      <c r="G1418" s="210"/>
    </row>
    <row r="1419" spans="1:7" s="25" customFormat="1" ht="13.8" x14ac:dyDescent="0.3">
      <c r="A1419" s="208"/>
      <c r="B1419" s="208"/>
      <c r="C1419" s="209"/>
      <c r="D1419" s="209"/>
      <c r="E1419" s="209"/>
      <c r="F1419" s="209"/>
      <c r="G1419" s="210"/>
    </row>
    <row r="1420" spans="1:7" s="25" customFormat="1" ht="13.8" x14ac:dyDescent="0.3">
      <c r="A1420" s="208"/>
      <c r="B1420" s="208"/>
      <c r="C1420" s="209"/>
      <c r="D1420" s="209"/>
      <c r="E1420" s="209"/>
      <c r="F1420" s="209"/>
      <c r="G1420" s="210"/>
    </row>
    <row r="1421" spans="1:7" s="25" customFormat="1" ht="13.8" x14ac:dyDescent="0.3">
      <c r="A1421" s="208"/>
      <c r="B1421" s="208"/>
      <c r="C1421" s="209"/>
      <c r="D1421" s="209"/>
      <c r="E1421" s="209"/>
      <c r="F1421" s="209"/>
      <c r="G1421" s="210"/>
    </row>
    <row r="1422" spans="1:7" s="25" customFormat="1" ht="13.8" x14ac:dyDescent="0.3">
      <c r="A1422" s="208"/>
      <c r="B1422" s="208"/>
      <c r="C1422" s="209"/>
      <c r="D1422" s="209"/>
      <c r="E1422" s="209"/>
      <c r="F1422" s="209"/>
      <c r="G1422" s="210"/>
    </row>
    <row r="1423" spans="1:7" s="25" customFormat="1" ht="13.8" x14ac:dyDescent="0.3">
      <c r="A1423" s="208"/>
      <c r="B1423" s="208"/>
      <c r="C1423" s="209"/>
      <c r="D1423" s="209"/>
      <c r="E1423" s="209"/>
      <c r="F1423" s="209"/>
      <c r="G1423" s="210"/>
    </row>
    <row r="1424" spans="1:7" s="25" customFormat="1" ht="13.8" x14ac:dyDescent="0.3">
      <c r="A1424" s="208"/>
      <c r="B1424" s="208"/>
      <c r="C1424" s="209"/>
      <c r="D1424" s="209"/>
      <c r="E1424" s="209"/>
      <c r="F1424" s="209"/>
      <c r="G1424" s="210"/>
    </row>
    <row r="1425" spans="1:7" s="25" customFormat="1" ht="13.8" x14ac:dyDescent="0.3">
      <c r="A1425" s="208"/>
      <c r="B1425" s="208"/>
      <c r="C1425" s="209"/>
      <c r="D1425" s="209"/>
      <c r="E1425" s="209"/>
      <c r="F1425" s="209"/>
      <c r="G1425" s="210"/>
    </row>
    <row r="1426" spans="1:7" s="25" customFormat="1" ht="13.8" x14ac:dyDescent="0.3">
      <c r="A1426" s="208"/>
      <c r="B1426" s="208"/>
      <c r="C1426" s="209"/>
      <c r="D1426" s="209"/>
      <c r="E1426" s="209"/>
      <c r="F1426" s="209"/>
      <c r="G1426" s="210"/>
    </row>
    <row r="1427" spans="1:7" s="25" customFormat="1" ht="13.8" x14ac:dyDescent="0.3">
      <c r="A1427" s="208"/>
      <c r="B1427" s="208"/>
      <c r="C1427" s="209"/>
      <c r="D1427" s="209"/>
      <c r="E1427" s="209"/>
      <c r="F1427" s="209"/>
      <c r="G1427" s="210"/>
    </row>
    <row r="1428" spans="1:7" s="25" customFormat="1" ht="13.8" x14ac:dyDescent="0.3">
      <c r="A1428" s="208"/>
      <c r="B1428" s="208"/>
      <c r="C1428" s="209"/>
      <c r="D1428" s="209"/>
      <c r="E1428" s="209"/>
      <c r="F1428" s="209"/>
      <c r="G1428" s="210"/>
    </row>
    <row r="1429" spans="1:7" s="25" customFormat="1" ht="13.8" x14ac:dyDescent="0.3">
      <c r="A1429" s="208"/>
      <c r="B1429" s="208"/>
      <c r="C1429" s="209"/>
      <c r="D1429" s="209"/>
      <c r="E1429" s="209"/>
      <c r="F1429" s="209"/>
      <c r="G1429" s="210"/>
    </row>
    <row r="1430" spans="1:7" s="25" customFormat="1" ht="13.8" x14ac:dyDescent="0.3">
      <c r="A1430" s="208"/>
      <c r="B1430" s="208"/>
      <c r="C1430" s="209"/>
      <c r="D1430" s="209"/>
      <c r="E1430" s="209"/>
      <c r="F1430" s="209"/>
      <c r="G1430" s="210"/>
    </row>
    <row r="1431" spans="1:7" s="25" customFormat="1" ht="13.8" x14ac:dyDescent="0.3">
      <c r="A1431" s="208"/>
      <c r="B1431" s="208"/>
      <c r="C1431" s="209"/>
      <c r="D1431" s="209"/>
      <c r="E1431" s="209"/>
      <c r="F1431" s="209"/>
      <c r="G1431" s="210"/>
    </row>
    <row r="1432" spans="1:7" s="25" customFormat="1" ht="13.8" x14ac:dyDescent="0.3">
      <c r="A1432" s="208"/>
      <c r="B1432" s="208"/>
      <c r="C1432" s="209"/>
      <c r="D1432" s="209"/>
      <c r="E1432" s="209"/>
      <c r="F1432" s="209"/>
      <c r="G1432" s="210"/>
    </row>
    <row r="1433" spans="1:7" s="25" customFormat="1" ht="13.8" x14ac:dyDescent="0.3">
      <c r="A1433" s="208"/>
      <c r="B1433" s="208"/>
      <c r="C1433" s="209"/>
      <c r="D1433" s="209"/>
      <c r="E1433" s="209"/>
      <c r="F1433" s="209"/>
      <c r="G1433" s="210"/>
    </row>
    <row r="1434" spans="1:7" s="25" customFormat="1" ht="13.8" x14ac:dyDescent="0.3">
      <c r="A1434" s="208"/>
      <c r="B1434" s="208"/>
      <c r="C1434" s="209"/>
      <c r="D1434" s="209"/>
      <c r="E1434" s="209"/>
      <c r="F1434" s="209"/>
      <c r="G1434" s="210"/>
    </row>
    <row r="1435" spans="1:7" s="25" customFormat="1" ht="13.8" x14ac:dyDescent="0.3">
      <c r="A1435" s="208"/>
      <c r="B1435" s="208"/>
      <c r="C1435" s="209"/>
      <c r="D1435" s="209"/>
      <c r="E1435" s="209"/>
      <c r="F1435" s="209"/>
      <c r="G1435" s="210"/>
    </row>
    <row r="1436" spans="1:7" s="25" customFormat="1" ht="13.8" x14ac:dyDescent="0.3">
      <c r="A1436" s="208"/>
      <c r="B1436" s="208"/>
      <c r="C1436" s="209"/>
      <c r="D1436" s="209"/>
      <c r="E1436" s="209"/>
      <c r="F1436" s="209"/>
      <c r="G1436" s="210"/>
    </row>
    <row r="1437" spans="1:7" s="25" customFormat="1" ht="13.8" x14ac:dyDescent="0.3">
      <c r="A1437" s="208"/>
      <c r="B1437" s="208"/>
      <c r="C1437" s="209"/>
      <c r="D1437" s="209"/>
      <c r="E1437" s="209"/>
      <c r="F1437" s="209"/>
      <c r="G1437" s="210"/>
    </row>
    <row r="1438" spans="1:7" s="25" customFormat="1" ht="13.8" x14ac:dyDescent="0.3">
      <c r="A1438" s="208"/>
      <c r="B1438" s="208"/>
      <c r="C1438" s="209"/>
      <c r="D1438" s="209"/>
      <c r="E1438" s="209"/>
      <c r="F1438" s="209"/>
      <c r="G1438" s="210"/>
    </row>
    <row r="1439" spans="1:7" s="25" customFormat="1" ht="13.8" x14ac:dyDescent="0.3">
      <c r="A1439" s="208"/>
      <c r="B1439" s="208"/>
      <c r="C1439" s="209"/>
      <c r="D1439" s="209"/>
      <c r="E1439" s="209"/>
      <c r="F1439" s="209"/>
      <c r="G1439" s="210"/>
    </row>
    <row r="1440" spans="1:7" s="25" customFormat="1" ht="13.8" x14ac:dyDescent="0.3">
      <c r="A1440" s="208"/>
      <c r="B1440" s="208"/>
      <c r="C1440" s="209"/>
      <c r="D1440" s="209"/>
      <c r="E1440" s="209"/>
      <c r="F1440" s="209"/>
      <c r="G1440" s="210"/>
    </row>
    <row r="1441" spans="1:7" s="25" customFormat="1" ht="13.8" x14ac:dyDescent="0.3">
      <c r="A1441" s="208"/>
      <c r="B1441" s="208"/>
      <c r="C1441" s="209"/>
      <c r="D1441" s="209"/>
      <c r="E1441" s="209"/>
      <c r="F1441" s="209"/>
      <c r="G1441" s="210"/>
    </row>
    <row r="1442" spans="1:7" s="25" customFormat="1" ht="13.8" x14ac:dyDescent="0.3">
      <c r="A1442" s="208"/>
      <c r="B1442" s="208"/>
      <c r="C1442" s="209"/>
      <c r="D1442" s="209"/>
      <c r="E1442" s="209"/>
      <c r="F1442" s="209"/>
      <c r="G1442" s="210"/>
    </row>
    <row r="1443" spans="1:7" s="25" customFormat="1" ht="13.8" x14ac:dyDescent="0.3">
      <c r="A1443" s="208"/>
      <c r="B1443" s="208"/>
      <c r="C1443" s="209"/>
      <c r="D1443" s="209"/>
      <c r="E1443" s="209"/>
      <c r="F1443" s="209"/>
      <c r="G1443" s="210"/>
    </row>
    <row r="1444" spans="1:7" s="25" customFormat="1" ht="13.8" x14ac:dyDescent="0.3">
      <c r="A1444" s="208"/>
      <c r="B1444" s="208"/>
      <c r="C1444" s="209"/>
      <c r="D1444" s="209"/>
      <c r="E1444" s="209"/>
      <c r="F1444" s="209"/>
      <c r="G1444" s="210"/>
    </row>
    <row r="1445" spans="1:7" s="25" customFormat="1" ht="13.8" x14ac:dyDescent="0.3">
      <c r="A1445" s="208"/>
      <c r="B1445" s="208"/>
      <c r="C1445" s="209"/>
      <c r="D1445" s="209"/>
      <c r="E1445" s="209"/>
      <c r="F1445" s="209"/>
      <c r="G1445" s="210"/>
    </row>
    <row r="1446" spans="1:7" s="25" customFormat="1" ht="13.8" x14ac:dyDescent="0.3">
      <c r="A1446" s="208"/>
      <c r="B1446" s="208"/>
      <c r="C1446" s="209"/>
      <c r="D1446" s="209"/>
      <c r="E1446" s="209"/>
      <c r="F1446" s="209"/>
      <c r="G1446" s="210"/>
    </row>
    <row r="1447" spans="1:7" s="25" customFormat="1" ht="13.8" x14ac:dyDescent="0.3">
      <c r="A1447" s="208"/>
      <c r="B1447" s="208"/>
      <c r="C1447" s="209"/>
      <c r="D1447" s="209"/>
      <c r="E1447" s="209"/>
      <c r="F1447" s="209"/>
      <c r="G1447" s="210"/>
    </row>
    <row r="1448" spans="1:7" s="25" customFormat="1" ht="13.8" x14ac:dyDescent="0.3">
      <c r="A1448" s="208"/>
      <c r="B1448" s="208"/>
      <c r="C1448" s="209"/>
      <c r="D1448" s="209"/>
      <c r="E1448" s="209"/>
      <c r="F1448" s="209"/>
      <c r="G1448" s="210"/>
    </row>
    <row r="1449" spans="1:7" s="25" customFormat="1" ht="13.8" x14ac:dyDescent="0.3">
      <c r="A1449" s="208"/>
      <c r="B1449" s="208"/>
      <c r="C1449" s="209"/>
      <c r="D1449" s="209"/>
      <c r="E1449" s="209"/>
      <c r="F1449" s="209"/>
      <c r="G1449" s="210"/>
    </row>
    <row r="1450" spans="1:7" s="25" customFormat="1" ht="13.8" x14ac:dyDescent="0.3">
      <c r="A1450" s="208"/>
      <c r="B1450" s="208"/>
      <c r="C1450" s="209"/>
      <c r="D1450" s="209"/>
      <c r="E1450" s="209"/>
      <c r="F1450" s="209"/>
      <c r="G1450" s="210"/>
    </row>
    <row r="1451" spans="1:7" s="25" customFormat="1" ht="13.8" x14ac:dyDescent="0.3">
      <c r="A1451" s="208"/>
      <c r="B1451" s="208"/>
      <c r="C1451" s="209"/>
      <c r="D1451" s="209"/>
      <c r="E1451" s="209"/>
      <c r="F1451" s="209"/>
      <c r="G1451" s="210"/>
    </row>
    <row r="1452" spans="1:7" s="25" customFormat="1" ht="13.8" x14ac:dyDescent="0.3">
      <c r="A1452" s="208"/>
      <c r="B1452" s="208"/>
      <c r="C1452" s="209"/>
      <c r="D1452" s="209"/>
      <c r="E1452" s="209"/>
      <c r="F1452" s="209"/>
      <c r="G1452" s="210"/>
    </row>
    <row r="1453" spans="1:7" s="25" customFormat="1" ht="13.8" x14ac:dyDescent="0.3">
      <c r="A1453" s="208"/>
      <c r="B1453" s="208"/>
      <c r="C1453" s="209"/>
      <c r="D1453" s="209"/>
      <c r="E1453" s="209"/>
      <c r="F1453" s="209"/>
      <c r="G1453" s="210"/>
    </row>
    <row r="1454" spans="1:7" s="25" customFormat="1" ht="13.8" x14ac:dyDescent="0.3">
      <c r="A1454" s="208"/>
      <c r="B1454" s="208"/>
      <c r="C1454" s="209"/>
      <c r="D1454" s="209"/>
      <c r="E1454" s="209"/>
      <c r="F1454" s="209"/>
      <c r="G1454" s="210"/>
    </row>
    <row r="1455" spans="1:7" s="25" customFormat="1" ht="13.8" x14ac:dyDescent="0.3">
      <c r="A1455" s="208"/>
      <c r="B1455" s="208"/>
      <c r="C1455" s="209"/>
      <c r="D1455" s="209"/>
      <c r="E1455" s="209"/>
      <c r="F1455" s="209"/>
      <c r="G1455" s="210"/>
    </row>
    <row r="1456" spans="1:7" s="25" customFormat="1" ht="13.8" x14ac:dyDescent="0.3">
      <c r="A1456" s="208"/>
      <c r="B1456" s="208"/>
      <c r="C1456" s="209"/>
      <c r="D1456" s="209"/>
      <c r="E1456" s="209"/>
      <c r="F1456" s="209"/>
      <c r="G1456" s="210"/>
    </row>
    <row r="1457" spans="1:7" s="25" customFormat="1" ht="13.8" x14ac:dyDescent="0.3">
      <c r="A1457" s="208"/>
      <c r="B1457" s="208"/>
      <c r="C1457" s="209"/>
      <c r="D1457" s="209"/>
      <c r="E1457" s="209"/>
      <c r="F1457" s="209"/>
      <c r="G1457" s="210"/>
    </row>
    <row r="1458" spans="1:7" s="25" customFormat="1" ht="13.8" x14ac:dyDescent="0.3">
      <c r="A1458" s="208"/>
      <c r="B1458" s="208"/>
      <c r="C1458" s="209"/>
      <c r="D1458" s="209"/>
      <c r="E1458" s="209"/>
      <c r="F1458" s="209"/>
      <c r="G1458" s="210"/>
    </row>
    <row r="1459" spans="1:7" s="25" customFormat="1" ht="13.8" x14ac:dyDescent="0.3">
      <c r="A1459" s="208"/>
      <c r="B1459" s="208"/>
      <c r="C1459" s="209"/>
      <c r="D1459" s="209"/>
      <c r="E1459" s="209"/>
      <c r="F1459" s="209"/>
      <c r="G1459" s="210"/>
    </row>
    <row r="1460" spans="1:7" s="25" customFormat="1" ht="13.8" x14ac:dyDescent="0.3">
      <c r="A1460" s="208"/>
      <c r="B1460" s="208"/>
      <c r="C1460" s="209"/>
      <c r="D1460" s="209"/>
      <c r="E1460" s="209"/>
      <c r="F1460" s="209"/>
      <c r="G1460" s="210"/>
    </row>
    <row r="1461" spans="1:7" s="25" customFormat="1" ht="13.8" x14ac:dyDescent="0.3">
      <c r="A1461" s="208"/>
      <c r="B1461" s="208"/>
      <c r="C1461" s="209"/>
      <c r="D1461" s="209"/>
      <c r="E1461" s="209"/>
      <c r="F1461" s="209"/>
      <c r="G1461" s="210"/>
    </row>
    <row r="1462" spans="1:7" s="25" customFormat="1" ht="13.8" x14ac:dyDescent="0.3">
      <c r="A1462" s="208"/>
      <c r="B1462" s="208"/>
      <c r="C1462" s="209"/>
      <c r="D1462" s="209"/>
      <c r="E1462" s="209"/>
      <c r="F1462" s="209"/>
      <c r="G1462" s="210"/>
    </row>
    <row r="1463" spans="1:7" s="25" customFormat="1" ht="13.8" x14ac:dyDescent="0.3">
      <c r="A1463" s="208"/>
      <c r="B1463" s="208"/>
      <c r="C1463" s="209"/>
      <c r="D1463" s="209"/>
      <c r="E1463" s="209"/>
      <c r="F1463" s="209"/>
      <c r="G1463" s="210"/>
    </row>
    <row r="1464" spans="1:7" s="25" customFormat="1" ht="13.8" x14ac:dyDescent="0.3">
      <c r="A1464" s="208"/>
      <c r="B1464" s="208"/>
      <c r="C1464" s="209"/>
      <c r="D1464" s="209"/>
      <c r="E1464" s="209"/>
      <c r="F1464" s="209"/>
      <c r="G1464" s="210"/>
    </row>
    <row r="1465" spans="1:7" s="25" customFormat="1" ht="13.8" x14ac:dyDescent="0.3">
      <c r="A1465" s="208"/>
      <c r="B1465" s="208"/>
      <c r="C1465" s="209"/>
      <c r="D1465" s="209"/>
      <c r="E1465" s="209"/>
      <c r="F1465" s="209"/>
      <c r="G1465" s="210"/>
    </row>
    <row r="1466" spans="1:7" s="25" customFormat="1" ht="13.8" x14ac:dyDescent="0.3">
      <c r="A1466" s="208"/>
      <c r="B1466" s="208"/>
      <c r="C1466" s="209"/>
      <c r="D1466" s="209"/>
      <c r="E1466" s="209"/>
      <c r="F1466" s="209"/>
      <c r="G1466" s="210"/>
    </row>
    <row r="1467" spans="1:7" s="25" customFormat="1" ht="13.8" x14ac:dyDescent="0.3">
      <c r="A1467" s="208"/>
      <c r="B1467" s="208"/>
      <c r="C1467" s="209"/>
      <c r="D1467" s="209"/>
      <c r="E1467" s="209"/>
      <c r="F1467" s="209"/>
      <c r="G1467" s="210"/>
    </row>
    <row r="1468" spans="1:7" s="25" customFormat="1" ht="13.8" x14ac:dyDescent="0.3">
      <c r="A1468" s="208"/>
      <c r="B1468" s="208"/>
      <c r="C1468" s="209"/>
      <c r="D1468" s="209"/>
      <c r="E1468" s="209"/>
      <c r="F1468" s="209"/>
      <c r="G1468" s="210"/>
    </row>
    <row r="1469" spans="1:7" s="25" customFormat="1" ht="13.8" x14ac:dyDescent="0.3">
      <c r="A1469" s="208"/>
      <c r="B1469" s="208"/>
      <c r="C1469" s="209"/>
      <c r="D1469" s="209"/>
      <c r="E1469" s="209"/>
      <c r="F1469" s="209"/>
      <c r="G1469" s="210"/>
    </row>
    <row r="1470" spans="1:7" s="25" customFormat="1" ht="13.8" x14ac:dyDescent="0.3">
      <c r="A1470" s="208"/>
      <c r="B1470" s="208"/>
      <c r="C1470" s="209"/>
      <c r="D1470" s="209"/>
      <c r="E1470" s="209"/>
      <c r="F1470" s="209"/>
      <c r="G1470" s="210"/>
    </row>
    <row r="1471" spans="1:7" s="25" customFormat="1" ht="13.8" x14ac:dyDescent="0.3">
      <c r="A1471" s="208"/>
      <c r="B1471" s="208"/>
      <c r="C1471" s="209"/>
      <c r="D1471" s="209"/>
      <c r="E1471" s="209"/>
      <c r="F1471" s="209"/>
      <c r="G1471" s="210"/>
    </row>
    <row r="1472" spans="1:7" s="25" customFormat="1" ht="13.8" x14ac:dyDescent="0.3">
      <c r="A1472" s="208"/>
      <c r="B1472" s="208"/>
      <c r="C1472" s="209"/>
      <c r="D1472" s="209"/>
      <c r="E1472" s="209"/>
      <c r="F1472" s="209"/>
      <c r="G1472" s="210"/>
    </row>
    <row r="1473" spans="1:7" s="25" customFormat="1" ht="13.8" x14ac:dyDescent="0.3">
      <c r="A1473" s="208"/>
      <c r="B1473" s="208"/>
      <c r="C1473" s="209"/>
      <c r="D1473" s="209"/>
      <c r="E1473" s="209"/>
      <c r="F1473" s="209"/>
      <c r="G1473" s="210"/>
    </row>
    <row r="1474" spans="1:7" s="25" customFormat="1" ht="13.8" x14ac:dyDescent="0.3">
      <c r="A1474" s="208"/>
      <c r="B1474" s="208"/>
      <c r="C1474" s="209"/>
      <c r="D1474" s="209"/>
      <c r="E1474" s="209"/>
      <c r="F1474" s="209"/>
      <c r="G1474" s="210"/>
    </row>
    <row r="1475" spans="1:7" s="25" customFormat="1" ht="13.8" x14ac:dyDescent="0.3">
      <c r="A1475" s="208"/>
      <c r="B1475" s="208"/>
      <c r="C1475" s="209"/>
      <c r="D1475" s="209"/>
      <c r="E1475" s="209"/>
      <c r="F1475" s="209"/>
      <c r="G1475" s="210"/>
    </row>
    <row r="1476" spans="1:7" s="25" customFormat="1" ht="13.8" x14ac:dyDescent="0.3">
      <c r="A1476" s="208"/>
      <c r="B1476" s="208"/>
      <c r="C1476" s="209"/>
      <c r="D1476" s="209"/>
      <c r="E1476" s="209"/>
      <c r="F1476" s="209"/>
      <c r="G1476" s="210"/>
    </row>
    <row r="1477" spans="1:7" s="25" customFormat="1" ht="13.8" x14ac:dyDescent="0.3">
      <c r="A1477" s="208"/>
      <c r="B1477" s="208"/>
      <c r="C1477" s="209"/>
      <c r="D1477" s="209"/>
      <c r="E1477" s="209"/>
      <c r="F1477" s="209"/>
      <c r="G1477" s="210"/>
    </row>
    <row r="1478" spans="1:7" s="25" customFormat="1" ht="13.8" x14ac:dyDescent="0.3">
      <c r="A1478" s="208"/>
      <c r="B1478" s="208"/>
      <c r="C1478" s="209"/>
      <c r="D1478" s="209"/>
      <c r="E1478" s="209"/>
      <c r="F1478" s="209"/>
      <c r="G1478" s="210"/>
    </row>
    <row r="1479" spans="1:7" s="25" customFormat="1" ht="13.8" x14ac:dyDescent="0.3">
      <c r="A1479" s="208"/>
      <c r="B1479" s="208"/>
      <c r="C1479" s="209"/>
      <c r="D1479" s="209"/>
      <c r="E1479" s="209"/>
      <c r="F1479" s="209"/>
      <c r="G1479" s="210"/>
    </row>
    <row r="1480" spans="1:7" s="25" customFormat="1" ht="13.8" x14ac:dyDescent="0.3">
      <c r="A1480" s="208"/>
      <c r="B1480" s="208"/>
      <c r="C1480" s="209"/>
      <c r="D1480" s="209"/>
      <c r="E1480" s="209"/>
      <c r="F1480" s="209"/>
      <c r="G1480" s="210"/>
    </row>
    <row r="1481" spans="1:7" s="25" customFormat="1" ht="13.8" x14ac:dyDescent="0.3">
      <c r="A1481" s="208"/>
      <c r="B1481" s="208"/>
      <c r="C1481" s="209"/>
      <c r="D1481" s="209"/>
      <c r="E1481" s="209"/>
      <c r="F1481" s="209"/>
      <c r="G1481" s="210"/>
    </row>
    <row r="1482" spans="1:7" s="25" customFormat="1" ht="13.8" x14ac:dyDescent="0.3">
      <c r="A1482" s="208"/>
      <c r="B1482" s="208"/>
      <c r="C1482" s="209"/>
      <c r="D1482" s="209"/>
      <c r="E1482" s="209"/>
      <c r="F1482" s="209"/>
      <c r="G1482" s="210"/>
    </row>
    <row r="1483" spans="1:7" s="25" customFormat="1" ht="13.8" x14ac:dyDescent="0.3">
      <c r="A1483" s="208"/>
      <c r="B1483" s="208"/>
      <c r="C1483" s="209"/>
      <c r="D1483" s="209"/>
      <c r="E1483" s="209"/>
      <c r="F1483" s="209"/>
      <c r="G1483" s="210"/>
    </row>
    <row r="1484" spans="1:7" s="25" customFormat="1" ht="13.8" x14ac:dyDescent="0.3">
      <c r="A1484" s="208"/>
      <c r="B1484" s="208"/>
      <c r="C1484" s="209"/>
      <c r="D1484" s="209"/>
      <c r="E1484" s="209"/>
      <c r="F1484" s="209"/>
      <c r="G1484" s="210"/>
    </row>
    <row r="1485" spans="1:7" s="25" customFormat="1" ht="13.8" x14ac:dyDescent="0.3">
      <c r="A1485" s="208"/>
      <c r="B1485" s="208"/>
      <c r="C1485" s="209"/>
      <c r="D1485" s="209"/>
      <c r="E1485" s="209"/>
      <c r="F1485" s="209"/>
      <c r="G1485" s="210"/>
    </row>
    <row r="1486" spans="1:7" s="25" customFormat="1" ht="13.8" x14ac:dyDescent="0.3">
      <c r="A1486" s="208"/>
      <c r="B1486" s="208"/>
      <c r="C1486" s="209"/>
      <c r="D1486" s="209"/>
      <c r="E1486" s="209"/>
      <c r="F1486" s="209"/>
      <c r="G1486" s="210"/>
    </row>
    <row r="1487" spans="1:7" s="25" customFormat="1" ht="13.8" x14ac:dyDescent="0.3">
      <c r="A1487" s="208"/>
      <c r="B1487" s="208"/>
      <c r="C1487" s="209"/>
      <c r="D1487" s="209"/>
      <c r="E1487" s="209"/>
      <c r="F1487" s="209"/>
      <c r="G1487" s="210"/>
    </row>
    <row r="1488" spans="1:7" s="25" customFormat="1" ht="13.8" x14ac:dyDescent="0.3">
      <c r="A1488" s="208"/>
      <c r="B1488" s="208"/>
      <c r="C1488" s="209"/>
      <c r="D1488" s="209"/>
      <c r="E1488" s="209"/>
      <c r="F1488" s="209"/>
      <c r="G1488" s="210"/>
    </row>
    <row r="1489" spans="1:7" s="25" customFormat="1" ht="13.8" x14ac:dyDescent="0.3">
      <c r="A1489" s="208"/>
      <c r="B1489" s="208"/>
      <c r="C1489" s="209"/>
      <c r="D1489" s="209"/>
      <c r="E1489" s="209"/>
      <c r="F1489" s="209"/>
      <c r="G1489" s="210"/>
    </row>
    <row r="1490" spans="1:7" s="25" customFormat="1" ht="13.8" x14ac:dyDescent="0.3">
      <c r="A1490" s="208"/>
      <c r="B1490" s="208"/>
      <c r="C1490" s="209"/>
      <c r="D1490" s="209"/>
      <c r="E1490" s="209"/>
      <c r="F1490" s="209"/>
      <c r="G1490" s="210"/>
    </row>
    <row r="1491" spans="1:7" s="25" customFormat="1" ht="13.8" x14ac:dyDescent="0.3">
      <c r="A1491" s="208"/>
      <c r="B1491" s="208"/>
      <c r="C1491" s="209"/>
      <c r="D1491" s="209"/>
      <c r="E1491" s="209"/>
      <c r="F1491" s="209"/>
      <c r="G1491" s="210"/>
    </row>
    <row r="1492" spans="1:7" s="25" customFormat="1" ht="13.8" x14ac:dyDescent="0.3">
      <c r="A1492" s="208"/>
      <c r="B1492" s="208"/>
      <c r="C1492" s="209"/>
      <c r="D1492" s="209"/>
      <c r="E1492" s="209"/>
      <c r="F1492" s="209"/>
      <c r="G1492" s="210"/>
    </row>
    <row r="1493" spans="1:7" s="25" customFormat="1" ht="13.8" x14ac:dyDescent="0.3">
      <c r="A1493" s="208"/>
      <c r="B1493" s="208"/>
      <c r="C1493" s="209"/>
      <c r="D1493" s="209"/>
      <c r="E1493" s="209"/>
      <c r="F1493" s="209"/>
      <c r="G1493" s="210"/>
    </row>
    <row r="1494" spans="1:7" s="25" customFormat="1" ht="13.8" x14ac:dyDescent="0.3">
      <c r="A1494" s="208"/>
      <c r="B1494" s="208"/>
      <c r="C1494" s="209"/>
      <c r="D1494" s="209"/>
      <c r="E1494" s="209"/>
      <c r="F1494" s="209"/>
      <c r="G1494" s="210"/>
    </row>
    <row r="1495" spans="1:7" s="25" customFormat="1" ht="13.8" x14ac:dyDescent="0.3">
      <c r="A1495" s="208"/>
      <c r="B1495" s="208"/>
      <c r="C1495" s="209"/>
      <c r="D1495" s="209"/>
      <c r="E1495" s="209"/>
      <c r="F1495" s="209"/>
      <c r="G1495" s="210"/>
    </row>
    <row r="1496" spans="1:7" s="25" customFormat="1" ht="13.8" x14ac:dyDescent="0.3">
      <c r="A1496" s="208"/>
      <c r="B1496" s="208"/>
      <c r="C1496" s="209"/>
      <c r="D1496" s="209"/>
      <c r="E1496" s="209"/>
      <c r="F1496" s="209"/>
      <c r="G1496" s="210"/>
    </row>
    <row r="1497" spans="1:7" s="25" customFormat="1" ht="13.8" x14ac:dyDescent="0.3">
      <c r="A1497" s="208"/>
      <c r="B1497" s="208"/>
      <c r="C1497" s="209"/>
      <c r="D1497" s="209"/>
      <c r="E1497" s="209"/>
      <c r="F1497" s="209"/>
      <c r="G1497" s="210"/>
    </row>
    <row r="1498" spans="1:7" s="25" customFormat="1" ht="13.8" x14ac:dyDescent="0.3">
      <c r="A1498" s="208"/>
      <c r="B1498" s="208"/>
      <c r="C1498" s="209"/>
      <c r="D1498" s="209"/>
      <c r="E1498" s="209"/>
      <c r="F1498" s="209"/>
      <c r="G1498" s="210"/>
    </row>
    <row r="1499" spans="1:7" s="25" customFormat="1" ht="13.8" x14ac:dyDescent="0.3">
      <c r="A1499" s="208"/>
      <c r="B1499" s="208"/>
      <c r="C1499" s="209"/>
      <c r="D1499" s="209"/>
      <c r="E1499" s="209"/>
      <c r="F1499" s="209"/>
      <c r="G1499" s="210"/>
    </row>
    <row r="1500" spans="1:7" s="25" customFormat="1" ht="13.8" x14ac:dyDescent="0.3">
      <c r="A1500" s="208"/>
      <c r="B1500" s="208"/>
      <c r="C1500" s="209"/>
      <c r="D1500" s="209"/>
      <c r="E1500" s="209"/>
      <c r="F1500" s="209"/>
      <c r="G1500" s="210"/>
    </row>
    <row r="1501" spans="1:7" s="25" customFormat="1" ht="13.8" x14ac:dyDescent="0.3">
      <c r="A1501" s="208"/>
      <c r="B1501" s="208"/>
      <c r="C1501" s="209"/>
      <c r="D1501" s="209"/>
      <c r="E1501" s="209"/>
      <c r="F1501" s="209"/>
      <c r="G1501" s="210"/>
    </row>
    <row r="1502" spans="1:7" s="25" customFormat="1" ht="13.8" x14ac:dyDescent="0.3">
      <c r="A1502" s="208"/>
      <c r="B1502" s="208"/>
      <c r="C1502" s="209"/>
      <c r="D1502" s="209"/>
      <c r="E1502" s="209"/>
      <c r="F1502" s="209"/>
      <c r="G1502" s="210"/>
    </row>
    <row r="1503" spans="1:7" s="25" customFormat="1" ht="13.8" x14ac:dyDescent="0.3">
      <c r="A1503" s="208"/>
      <c r="B1503" s="208"/>
      <c r="C1503" s="209"/>
      <c r="D1503" s="209"/>
      <c r="E1503" s="209"/>
      <c r="F1503" s="209"/>
      <c r="G1503" s="210"/>
    </row>
    <row r="1504" spans="1:7" s="25" customFormat="1" ht="13.8" x14ac:dyDescent="0.3">
      <c r="A1504" s="208"/>
      <c r="B1504" s="208"/>
      <c r="C1504" s="209"/>
      <c r="D1504" s="209"/>
      <c r="E1504" s="209"/>
      <c r="F1504" s="209"/>
      <c r="G1504" s="210"/>
    </row>
    <row r="1505" spans="1:7" s="25" customFormat="1" ht="13.8" x14ac:dyDescent="0.3">
      <c r="A1505" s="208"/>
      <c r="B1505" s="208"/>
      <c r="C1505" s="209"/>
      <c r="D1505" s="209"/>
      <c r="E1505" s="209"/>
      <c r="F1505" s="209"/>
      <c r="G1505" s="210"/>
    </row>
    <row r="1506" spans="1:7" s="25" customFormat="1" ht="13.8" x14ac:dyDescent="0.3">
      <c r="A1506" s="208"/>
      <c r="B1506" s="208"/>
      <c r="C1506" s="209"/>
      <c r="D1506" s="209"/>
      <c r="E1506" s="209"/>
      <c r="F1506" s="209"/>
      <c r="G1506" s="210"/>
    </row>
    <row r="1507" spans="1:7" s="25" customFormat="1" ht="13.8" x14ac:dyDescent="0.3">
      <c r="A1507" s="208"/>
      <c r="B1507" s="208"/>
      <c r="C1507" s="209"/>
      <c r="D1507" s="209"/>
      <c r="E1507" s="209"/>
      <c r="F1507" s="209"/>
      <c r="G1507" s="210"/>
    </row>
    <row r="1508" spans="1:7" s="25" customFormat="1" ht="13.8" x14ac:dyDescent="0.3">
      <c r="A1508" s="208"/>
      <c r="B1508" s="208"/>
      <c r="C1508" s="209"/>
      <c r="D1508" s="209"/>
      <c r="E1508" s="209"/>
      <c r="F1508" s="209"/>
      <c r="G1508" s="210"/>
    </row>
    <row r="1509" spans="1:7" s="25" customFormat="1" ht="13.8" x14ac:dyDescent="0.3">
      <c r="A1509" s="208"/>
      <c r="B1509" s="208"/>
      <c r="C1509" s="209"/>
      <c r="D1509" s="209"/>
      <c r="E1509" s="209"/>
      <c r="F1509" s="209"/>
      <c r="G1509" s="210"/>
    </row>
    <row r="1510" spans="1:7" s="25" customFormat="1" ht="13.8" x14ac:dyDescent="0.3">
      <c r="A1510" s="208"/>
      <c r="B1510" s="208"/>
      <c r="C1510" s="209"/>
      <c r="D1510" s="209"/>
      <c r="E1510" s="209"/>
      <c r="F1510" s="209"/>
      <c r="G1510" s="210"/>
    </row>
    <row r="1511" spans="1:7" s="25" customFormat="1" ht="13.8" x14ac:dyDescent="0.3">
      <c r="A1511" s="208"/>
      <c r="B1511" s="208"/>
      <c r="C1511" s="209"/>
      <c r="D1511" s="209"/>
      <c r="E1511" s="209"/>
      <c r="F1511" s="209"/>
      <c r="G1511" s="210"/>
    </row>
    <row r="1512" spans="1:7" s="25" customFormat="1" ht="13.8" x14ac:dyDescent="0.3">
      <c r="A1512" s="208"/>
      <c r="B1512" s="208"/>
      <c r="C1512" s="209"/>
      <c r="D1512" s="209"/>
      <c r="E1512" s="209"/>
      <c r="F1512" s="209"/>
      <c r="G1512" s="210"/>
    </row>
    <row r="1513" spans="1:7" s="25" customFormat="1" ht="13.8" x14ac:dyDescent="0.3">
      <c r="A1513" s="208"/>
      <c r="B1513" s="208"/>
      <c r="C1513" s="209"/>
      <c r="D1513" s="209"/>
      <c r="E1513" s="209"/>
      <c r="F1513" s="209"/>
      <c r="G1513" s="210"/>
    </row>
    <row r="1514" spans="1:7" s="25" customFormat="1" ht="13.8" x14ac:dyDescent="0.3">
      <c r="A1514" s="208"/>
      <c r="B1514" s="208"/>
      <c r="C1514" s="209"/>
      <c r="D1514" s="209"/>
      <c r="E1514" s="209"/>
      <c r="F1514" s="209"/>
      <c r="G1514" s="210"/>
    </row>
    <row r="1515" spans="1:7" s="25" customFormat="1" ht="13.8" x14ac:dyDescent="0.3">
      <c r="A1515" s="208"/>
      <c r="B1515" s="208"/>
      <c r="C1515" s="209"/>
      <c r="D1515" s="209"/>
      <c r="E1515" s="209"/>
      <c r="F1515" s="209"/>
      <c r="G1515" s="210"/>
    </row>
    <row r="1516" spans="1:7" s="25" customFormat="1" ht="13.8" x14ac:dyDescent="0.3">
      <c r="A1516" s="208"/>
      <c r="B1516" s="208"/>
      <c r="C1516" s="209"/>
      <c r="D1516" s="209"/>
      <c r="E1516" s="209"/>
      <c r="F1516" s="209"/>
      <c r="G1516" s="210"/>
    </row>
    <row r="1517" spans="1:7" s="25" customFormat="1" ht="13.8" x14ac:dyDescent="0.3">
      <c r="A1517" s="208"/>
      <c r="B1517" s="208"/>
      <c r="C1517" s="209"/>
      <c r="D1517" s="209"/>
      <c r="E1517" s="209"/>
      <c r="F1517" s="209"/>
      <c r="G1517" s="210"/>
    </row>
    <row r="1518" spans="1:7" s="25" customFormat="1" ht="13.8" x14ac:dyDescent="0.3">
      <c r="A1518" s="208"/>
      <c r="B1518" s="208"/>
      <c r="C1518" s="209"/>
      <c r="D1518" s="209"/>
      <c r="E1518" s="209"/>
      <c r="F1518" s="209"/>
      <c r="G1518" s="210"/>
    </row>
    <row r="1519" spans="1:7" s="25" customFormat="1" ht="13.8" x14ac:dyDescent="0.3">
      <c r="A1519" s="208"/>
      <c r="B1519" s="208"/>
      <c r="C1519" s="209"/>
      <c r="D1519" s="209"/>
      <c r="E1519" s="209"/>
      <c r="F1519" s="209"/>
      <c r="G1519" s="210"/>
    </row>
    <row r="1520" spans="1:7" s="25" customFormat="1" ht="13.8" x14ac:dyDescent="0.3">
      <c r="A1520" s="208"/>
      <c r="B1520" s="208"/>
      <c r="C1520" s="209"/>
      <c r="D1520" s="209"/>
      <c r="E1520" s="209"/>
      <c r="F1520" s="209"/>
      <c r="G1520" s="210"/>
    </row>
    <row r="1521" spans="1:7" s="25" customFormat="1" ht="13.8" x14ac:dyDescent="0.3">
      <c r="A1521" s="208"/>
      <c r="B1521" s="208"/>
      <c r="C1521" s="209"/>
      <c r="D1521" s="209"/>
      <c r="E1521" s="209"/>
      <c r="F1521" s="209"/>
      <c r="G1521" s="210"/>
    </row>
    <row r="1522" spans="1:7" s="25" customFormat="1" ht="13.8" x14ac:dyDescent="0.3">
      <c r="A1522" s="208"/>
      <c r="B1522" s="208"/>
      <c r="C1522" s="209"/>
      <c r="D1522" s="209"/>
      <c r="E1522" s="209"/>
      <c r="F1522" s="209"/>
      <c r="G1522" s="210"/>
    </row>
    <row r="1523" spans="1:7" s="25" customFormat="1" ht="13.8" x14ac:dyDescent="0.3">
      <c r="A1523" s="208"/>
      <c r="B1523" s="208"/>
      <c r="C1523" s="209"/>
      <c r="D1523" s="209"/>
      <c r="E1523" s="209"/>
      <c r="F1523" s="209"/>
      <c r="G1523" s="210"/>
    </row>
    <row r="1524" spans="1:7" s="25" customFormat="1" ht="13.8" x14ac:dyDescent="0.3">
      <c r="A1524" s="208"/>
      <c r="B1524" s="208"/>
      <c r="C1524" s="209"/>
      <c r="D1524" s="209"/>
      <c r="E1524" s="209"/>
      <c r="F1524" s="209"/>
      <c r="G1524" s="210"/>
    </row>
    <row r="1525" spans="1:7" s="25" customFormat="1" ht="13.8" x14ac:dyDescent="0.3">
      <c r="A1525" s="208"/>
      <c r="B1525" s="208"/>
      <c r="C1525" s="209"/>
      <c r="D1525" s="209"/>
      <c r="E1525" s="209"/>
      <c r="F1525" s="209"/>
      <c r="G1525" s="210"/>
    </row>
    <row r="1526" spans="1:7" s="25" customFormat="1" ht="13.8" x14ac:dyDescent="0.3">
      <c r="A1526" s="208"/>
      <c r="B1526" s="208"/>
      <c r="C1526" s="209"/>
      <c r="D1526" s="209"/>
      <c r="E1526" s="209"/>
      <c r="F1526" s="209"/>
      <c r="G1526" s="210"/>
    </row>
    <row r="1527" spans="1:7" s="25" customFormat="1" ht="13.8" x14ac:dyDescent="0.3">
      <c r="A1527" s="208"/>
      <c r="B1527" s="208"/>
      <c r="C1527" s="209"/>
      <c r="D1527" s="209"/>
      <c r="E1527" s="209"/>
      <c r="F1527" s="209"/>
      <c r="G1527" s="210"/>
    </row>
    <row r="1528" spans="1:7" s="25" customFormat="1" ht="13.8" x14ac:dyDescent="0.3">
      <c r="A1528" s="208"/>
      <c r="B1528" s="208"/>
      <c r="C1528" s="209"/>
      <c r="D1528" s="209"/>
      <c r="E1528" s="209"/>
      <c r="F1528" s="209"/>
      <c r="G1528" s="210"/>
    </row>
    <row r="1529" spans="1:7" s="25" customFormat="1" ht="13.8" x14ac:dyDescent="0.3">
      <c r="A1529" s="208"/>
      <c r="B1529" s="208"/>
      <c r="C1529" s="209"/>
      <c r="D1529" s="209"/>
      <c r="E1529" s="209"/>
      <c r="F1529" s="209"/>
      <c r="G1529" s="210"/>
    </row>
    <row r="1530" spans="1:7" s="25" customFormat="1" ht="13.8" x14ac:dyDescent="0.3">
      <c r="A1530" s="208"/>
      <c r="B1530" s="208"/>
      <c r="C1530" s="209"/>
      <c r="D1530" s="209"/>
      <c r="E1530" s="209"/>
      <c r="F1530" s="209"/>
      <c r="G1530" s="210"/>
    </row>
    <row r="1531" spans="1:7" s="25" customFormat="1" ht="13.8" x14ac:dyDescent="0.3">
      <c r="A1531" s="208"/>
      <c r="B1531" s="208"/>
      <c r="C1531" s="209"/>
      <c r="D1531" s="209"/>
      <c r="E1531" s="209"/>
      <c r="F1531" s="209"/>
      <c r="G1531" s="210"/>
    </row>
    <row r="1532" spans="1:7" s="25" customFormat="1" ht="13.8" x14ac:dyDescent="0.3">
      <c r="A1532" s="208"/>
      <c r="B1532" s="208"/>
      <c r="C1532" s="209"/>
      <c r="D1532" s="209"/>
      <c r="E1532" s="209"/>
      <c r="F1532" s="209"/>
      <c r="G1532" s="210"/>
    </row>
    <row r="1533" spans="1:7" s="25" customFormat="1" ht="13.8" x14ac:dyDescent="0.3">
      <c r="A1533" s="208"/>
      <c r="B1533" s="208"/>
      <c r="C1533" s="209"/>
      <c r="D1533" s="209"/>
      <c r="E1533" s="209"/>
      <c r="F1533" s="209"/>
      <c r="G1533" s="210"/>
    </row>
    <row r="1534" spans="1:7" s="25" customFormat="1" ht="13.8" x14ac:dyDescent="0.3">
      <c r="A1534" s="208"/>
      <c r="B1534" s="208"/>
      <c r="C1534" s="209"/>
      <c r="D1534" s="209"/>
      <c r="E1534" s="209"/>
      <c r="F1534" s="209"/>
      <c r="G1534" s="210"/>
    </row>
    <row r="1535" spans="1:7" s="25" customFormat="1" ht="13.8" x14ac:dyDescent="0.3">
      <c r="A1535" s="208"/>
      <c r="B1535" s="208"/>
      <c r="C1535" s="209"/>
      <c r="D1535" s="209"/>
      <c r="E1535" s="209"/>
      <c r="F1535" s="209"/>
      <c r="G1535" s="210"/>
    </row>
    <row r="1536" spans="1:7" s="25" customFormat="1" ht="13.8" x14ac:dyDescent="0.3">
      <c r="A1536" s="208"/>
      <c r="B1536" s="208"/>
      <c r="C1536" s="209"/>
      <c r="D1536" s="209"/>
      <c r="E1536" s="209"/>
      <c r="F1536" s="209"/>
      <c r="G1536" s="210"/>
    </row>
    <row r="1537" spans="1:7" s="25" customFormat="1" ht="13.8" x14ac:dyDescent="0.3">
      <c r="A1537" s="208"/>
      <c r="B1537" s="208"/>
      <c r="C1537" s="209"/>
      <c r="D1537" s="209"/>
      <c r="E1537" s="209"/>
      <c r="F1537" s="209"/>
      <c r="G1537" s="210"/>
    </row>
    <row r="1538" spans="1:7" s="25" customFormat="1" ht="13.8" x14ac:dyDescent="0.3">
      <c r="A1538" s="208"/>
      <c r="B1538" s="208"/>
      <c r="C1538" s="209"/>
      <c r="D1538" s="209"/>
      <c r="E1538" s="209"/>
      <c r="F1538" s="209"/>
      <c r="G1538" s="210"/>
    </row>
    <row r="1539" spans="1:7" s="25" customFormat="1" ht="13.8" x14ac:dyDescent="0.3">
      <c r="A1539" s="208"/>
      <c r="B1539" s="208"/>
      <c r="C1539" s="209"/>
      <c r="D1539" s="209"/>
      <c r="E1539" s="209"/>
      <c r="F1539" s="209"/>
      <c r="G1539" s="210"/>
    </row>
    <row r="1540" spans="1:7" s="25" customFormat="1" ht="13.8" x14ac:dyDescent="0.3">
      <c r="A1540" s="208"/>
      <c r="B1540" s="208"/>
      <c r="C1540" s="209"/>
      <c r="D1540" s="209"/>
      <c r="E1540" s="209"/>
      <c r="F1540" s="209"/>
      <c r="G1540" s="210"/>
    </row>
    <row r="1541" spans="1:7" s="25" customFormat="1" ht="13.8" x14ac:dyDescent="0.3">
      <c r="A1541" s="208"/>
      <c r="B1541" s="208"/>
      <c r="C1541" s="209"/>
      <c r="D1541" s="209"/>
      <c r="E1541" s="209"/>
      <c r="F1541" s="209"/>
      <c r="G1541" s="210"/>
    </row>
    <row r="1542" spans="1:7" s="25" customFormat="1" ht="13.8" x14ac:dyDescent="0.3">
      <c r="A1542" s="208"/>
      <c r="B1542" s="208"/>
      <c r="C1542" s="209"/>
      <c r="D1542" s="209"/>
      <c r="E1542" s="209"/>
      <c r="F1542" s="209"/>
      <c r="G1542" s="210"/>
    </row>
    <row r="1543" spans="1:7" s="25" customFormat="1" ht="13.8" x14ac:dyDescent="0.3">
      <c r="A1543" s="208"/>
      <c r="B1543" s="208"/>
      <c r="C1543" s="209"/>
      <c r="D1543" s="209"/>
      <c r="E1543" s="209"/>
      <c r="F1543" s="209"/>
      <c r="G1543" s="210"/>
    </row>
    <row r="1544" spans="1:7" s="25" customFormat="1" ht="13.8" x14ac:dyDescent="0.3">
      <c r="A1544" s="208"/>
      <c r="B1544" s="208"/>
      <c r="C1544" s="209"/>
      <c r="D1544" s="209"/>
      <c r="E1544" s="209"/>
      <c r="F1544" s="209"/>
      <c r="G1544" s="210"/>
    </row>
    <row r="1545" spans="1:7" s="25" customFormat="1" ht="13.8" x14ac:dyDescent="0.3">
      <c r="A1545" s="208"/>
      <c r="B1545" s="208"/>
      <c r="C1545" s="209"/>
      <c r="D1545" s="209"/>
      <c r="E1545" s="209"/>
      <c r="F1545" s="209"/>
      <c r="G1545" s="210"/>
    </row>
    <row r="1546" spans="1:7" s="25" customFormat="1" ht="13.8" x14ac:dyDescent="0.3">
      <c r="A1546" s="208"/>
      <c r="B1546" s="208"/>
      <c r="C1546" s="209"/>
      <c r="D1546" s="209"/>
      <c r="E1546" s="209"/>
      <c r="F1546" s="209"/>
      <c r="G1546" s="210"/>
    </row>
    <row r="1547" spans="1:7" s="25" customFormat="1" ht="13.8" x14ac:dyDescent="0.3">
      <c r="A1547" s="208"/>
      <c r="B1547" s="208"/>
      <c r="C1547" s="209"/>
      <c r="D1547" s="209"/>
      <c r="E1547" s="209"/>
      <c r="F1547" s="209"/>
      <c r="G1547" s="210"/>
    </row>
    <row r="1548" spans="1:7" s="25" customFormat="1" ht="13.8" x14ac:dyDescent="0.3">
      <c r="A1548" s="208"/>
      <c r="B1548" s="208"/>
      <c r="C1548" s="209"/>
      <c r="D1548" s="209"/>
      <c r="E1548" s="209"/>
      <c r="F1548" s="209"/>
      <c r="G1548" s="210"/>
    </row>
    <row r="1549" spans="1:7" s="25" customFormat="1" ht="13.8" x14ac:dyDescent="0.3">
      <c r="A1549" s="208"/>
      <c r="B1549" s="208"/>
      <c r="C1549" s="209"/>
      <c r="D1549" s="209"/>
      <c r="E1549" s="209"/>
      <c r="F1549" s="209"/>
      <c r="G1549" s="210"/>
    </row>
    <row r="1550" spans="1:7" s="25" customFormat="1" ht="13.8" x14ac:dyDescent="0.3">
      <c r="A1550" s="208"/>
      <c r="B1550" s="208"/>
      <c r="C1550" s="209"/>
      <c r="D1550" s="209"/>
      <c r="E1550" s="209"/>
      <c r="F1550" s="209"/>
      <c r="G1550" s="210"/>
    </row>
    <row r="1551" spans="1:7" s="25" customFormat="1" ht="13.8" x14ac:dyDescent="0.3">
      <c r="A1551" s="208"/>
      <c r="B1551" s="208"/>
      <c r="C1551" s="209"/>
      <c r="D1551" s="209"/>
      <c r="E1551" s="209"/>
      <c r="F1551" s="209"/>
      <c r="G1551" s="210"/>
    </row>
    <row r="1552" spans="1:7" s="25" customFormat="1" ht="13.8" x14ac:dyDescent="0.3">
      <c r="A1552" s="208"/>
      <c r="B1552" s="208"/>
      <c r="C1552" s="209"/>
      <c r="D1552" s="209"/>
      <c r="E1552" s="209"/>
      <c r="F1552" s="209"/>
      <c r="G1552" s="210"/>
    </row>
    <row r="1553" spans="1:7" s="25" customFormat="1" ht="13.8" x14ac:dyDescent="0.3">
      <c r="A1553" s="208"/>
      <c r="B1553" s="208"/>
      <c r="C1553" s="209"/>
      <c r="D1553" s="209"/>
      <c r="E1553" s="209"/>
      <c r="F1553" s="209"/>
      <c r="G1553" s="210"/>
    </row>
    <row r="1554" spans="1:7" s="25" customFormat="1" ht="13.8" x14ac:dyDescent="0.3">
      <c r="A1554" s="208"/>
      <c r="B1554" s="208"/>
      <c r="C1554" s="209"/>
      <c r="D1554" s="209"/>
      <c r="E1554" s="209"/>
      <c r="F1554" s="209"/>
      <c r="G1554" s="210"/>
    </row>
    <row r="1555" spans="1:7" s="25" customFormat="1" ht="13.8" x14ac:dyDescent="0.3">
      <c r="A1555" s="208"/>
      <c r="B1555" s="208"/>
      <c r="C1555" s="209"/>
      <c r="D1555" s="209"/>
      <c r="E1555" s="209"/>
      <c r="F1555" s="209"/>
      <c r="G1555" s="210"/>
    </row>
    <row r="1556" spans="1:7" s="25" customFormat="1" ht="13.8" x14ac:dyDescent="0.3">
      <c r="A1556" s="208"/>
      <c r="B1556" s="208"/>
      <c r="C1556" s="209"/>
      <c r="D1556" s="209"/>
      <c r="E1556" s="209"/>
      <c r="F1556" s="209"/>
      <c r="G1556" s="210"/>
    </row>
    <row r="1557" spans="1:7" s="25" customFormat="1" ht="13.8" x14ac:dyDescent="0.3">
      <c r="A1557" s="208"/>
      <c r="B1557" s="208"/>
      <c r="C1557" s="209"/>
      <c r="D1557" s="209"/>
      <c r="E1557" s="209"/>
      <c r="F1557" s="209"/>
      <c r="G1557" s="210"/>
    </row>
    <row r="1558" spans="1:7" s="25" customFormat="1" ht="13.8" x14ac:dyDescent="0.3">
      <c r="A1558" s="208"/>
      <c r="B1558" s="208"/>
      <c r="C1558" s="209"/>
      <c r="D1558" s="209"/>
      <c r="E1558" s="209"/>
      <c r="F1558" s="209"/>
      <c r="G1558" s="210"/>
    </row>
    <row r="1559" spans="1:7" s="25" customFormat="1" ht="13.8" x14ac:dyDescent="0.3">
      <c r="A1559" s="208"/>
      <c r="B1559" s="208"/>
      <c r="C1559" s="209"/>
      <c r="D1559" s="209"/>
      <c r="E1559" s="209"/>
      <c r="F1559" s="209"/>
      <c r="G1559" s="210"/>
    </row>
    <row r="1560" spans="1:7" s="25" customFormat="1" ht="13.8" x14ac:dyDescent="0.3">
      <c r="A1560" s="208"/>
      <c r="B1560" s="208"/>
      <c r="C1560" s="209"/>
      <c r="D1560" s="209"/>
      <c r="E1560" s="209"/>
      <c r="F1560" s="209"/>
      <c r="G1560" s="210"/>
    </row>
    <row r="1561" spans="1:7" s="25" customFormat="1" ht="13.8" x14ac:dyDescent="0.3">
      <c r="A1561" s="208"/>
      <c r="B1561" s="208"/>
      <c r="C1561" s="209"/>
      <c r="D1561" s="209"/>
      <c r="E1561" s="209"/>
      <c r="F1561" s="209"/>
      <c r="G1561" s="210"/>
    </row>
    <row r="1562" spans="1:7" s="25" customFormat="1" ht="13.8" x14ac:dyDescent="0.3">
      <c r="A1562" s="208"/>
      <c r="B1562" s="208"/>
      <c r="C1562" s="209"/>
      <c r="D1562" s="209"/>
      <c r="E1562" s="209"/>
      <c r="F1562" s="209"/>
      <c r="G1562" s="210"/>
    </row>
    <row r="1563" spans="1:7" s="25" customFormat="1" ht="13.8" x14ac:dyDescent="0.3">
      <c r="A1563" s="208"/>
      <c r="B1563" s="208"/>
      <c r="C1563" s="209"/>
      <c r="D1563" s="209"/>
      <c r="E1563" s="209"/>
      <c r="F1563" s="209"/>
      <c r="G1563" s="210"/>
    </row>
    <row r="1564" spans="1:7" s="25" customFormat="1" ht="13.8" x14ac:dyDescent="0.3">
      <c r="A1564" s="208"/>
      <c r="B1564" s="208"/>
      <c r="C1564" s="209"/>
      <c r="D1564" s="209"/>
      <c r="E1564" s="209"/>
      <c r="F1564" s="209"/>
      <c r="G1564" s="210"/>
    </row>
    <row r="1565" spans="1:7" s="25" customFormat="1" ht="13.8" x14ac:dyDescent="0.3">
      <c r="A1565" s="208"/>
      <c r="B1565" s="208"/>
      <c r="C1565" s="209"/>
      <c r="D1565" s="209"/>
      <c r="E1565" s="209"/>
      <c r="F1565" s="209"/>
      <c r="G1565" s="210"/>
    </row>
    <row r="1566" spans="1:7" s="25" customFormat="1" ht="13.8" x14ac:dyDescent="0.3">
      <c r="A1566" s="208"/>
      <c r="B1566" s="208"/>
      <c r="C1566" s="209"/>
      <c r="D1566" s="209"/>
      <c r="E1566" s="209"/>
      <c r="F1566" s="209"/>
      <c r="G1566" s="210"/>
    </row>
    <row r="1567" spans="1:7" s="25" customFormat="1" ht="13.8" x14ac:dyDescent="0.3">
      <c r="A1567" s="208"/>
      <c r="B1567" s="208"/>
      <c r="C1567" s="209"/>
      <c r="D1567" s="209"/>
      <c r="E1567" s="209"/>
      <c r="F1567" s="209"/>
      <c r="G1567" s="210"/>
    </row>
    <row r="1568" spans="1:7" s="25" customFormat="1" ht="13.8" x14ac:dyDescent="0.3">
      <c r="A1568" s="208"/>
      <c r="B1568" s="208"/>
      <c r="C1568" s="209"/>
      <c r="D1568" s="209"/>
      <c r="E1568" s="209"/>
      <c r="F1568" s="209"/>
      <c r="G1568" s="210"/>
    </row>
    <row r="1569" spans="1:7" s="25" customFormat="1" ht="13.8" x14ac:dyDescent="0.3">
      <c r="A1569" s="208"/>
      <c r="B1569" s="208"/>
      <c r="C1569" s="209"/>
      <c r="D1569" s="209"/>
      <c r="E1569" s="209"/>
      <c r="F1569" s="209"/>
      <c r="G1569" s="210"/>
    </row>
    <row r="1570" spans="1:7" s="25" customFormat="1" ht="13.8" x14ac:dyDescent="0.3">
      <c r="A1570" s="208"/>
      <c r="B1570" s="208"/>
      <c r="C1570" s="209"/>
      <c r="D1570" s="209"/>
      <c r="E1570" s="209"/>
      <c r="F1570" s="209"/>
      <c r="G1570" s="210"/>
    </row>
    <row r="1571" spans="1:7" s="25" customFormat="1" ht="13.8" x14ac:dyDescent="0.3">
      <c r="A1571" s="208"/>
      <c r="B1571" s="208"/>
      <c r="C1571" s="209"/>
      <c r="D1571" s="209"/>
      <c r="E1571" s="209"/>
      <c r="F1571" s="209"/>
      <c r="G1571" s="210"/>
    </row>
    <row r="1572" spans="1:7" s="25" customFormat="1" ht="13.8" x14ac:dyDescent="0.3">
      <c r="A1572" s="208"/>
      <c r="B1572" s="208"/>
      <c r="C1572" s="209"/>
      <c r="D1572" s="209"/>
      <c r="E1572" s="209"/>
      <c r="F1572" s="209"/>
      <c r="G1572" s="210"/>
    </row>
    <row r="1573" spans="1:7" s="25" customFormat="1" ht="13.8" x14ac:dyDescent="0.3">
      <c r="A1573" s="208"/>
      <c r="B1573" s="208"/>
      <c r="C1573" s="209"/>
      <c r="D1573" s="209"/>
      <c r="E1573" s="209"/>
      <c r="F1573" s="209"/>
      <c r="G1573" s="210"/>
    </row>
    <row r="1574" spans="1:7" s="25" customFormat="1" ht="13.8" x14ac:dyDescent="0.3">
      <c r="A1574" s="208"/>
      <c r="B1574" s="208"/>
      <c r="C1574" s="209"/>
      <c r="D1574" s="209"/>
      <c r="E1574" s="209"/>
      <c r="F1574" s="209"/>
      <c r="G1574" s="210"/>
    </row>
    <row r="1575" spans="1:7" s="25" customFormat="1" ht="13.8" x14ac:dyDescent="0.3">
      <c r="A1575" s="208"/>
      <c r="B1575" s="208"/>
      <c r="C1575" s="209"/>
      <c r="D1575" s="209"/>
      <c r="E1575" s="209"/>
      <c r="F1575" s="209"/>
      <c r="G1575" s="210"/>
    </row>
    <row r="1576" spans="1:7" s="25" customFormat="1" ht="13.8" x14ac:dyDescent="0.3">
      <c r="A1576" s="208"/>
      <c r="B1576" s="208"/>
      <c r="C1576" s="209"/>
      <c r="D1576" s="209"/>
      <c r="E1576" s="209"/>
      <c r="F1576" s="209"/>
      <c r="G1576" s="210"/>
    </row>
    <row r="1577" spans="1:7" s="25" customFormat="1" ht="13.8" x14ac:dyDescent="0.3">
      <c r="A1577" s="208"/>
      <c r="B1577" s="208"/>
      <c r="C1577" s="209"/>
      <c r="D1577" s="209"/>
      <c r="E1577" s="209"/>
      <c r="F1577" s="209"/>
      <c r="G1577" s="210"/>
    </row>
    <row r="1578" spans="1:7" s="25" customFormat="1" ht="13.8" x14ac:dyDescent="0.3">
      <c r="A1578" s="208"/>
      <c r="B1578" s="208"/>
      <c r="C1578" s="209"/>
      <c r="D1578" s="209"/>
      <c r="E1578" s="209"/>
      <c r="F1578" s="209"/>
      <c r="G1578" s="210"/>
    </row>
    <row r="1579" spans="1:7" s="25" customFormat="1" ht="13.8" x14ac:dyDescent="0.3">
      <c r="A1579" s="208"/>
      <c r="B1579" s="208"/>
      <c r="C1579" s="209"/>
      <c r="D1579" s="209"/>
      <c r="E1579" s="209"/>
      <c r="F1579" s="209"/>
      <c r="G1579" s="210"/>
    </row>
    <row r="1580" spans="1:7" s="25" customFormat="1" ht="13.8" x14ac:dyDescent="0.3">
      <c r="A1580" s="208"/>
      <c r="B1580" s="208"/>
      <c r="C1580" s="209"/>
      <c r="D1580" s="209"/>
      <c r="E1580" s="209"/>
      <c r="F1580" s="209"/>
      <c r="G1580" s="210"/>
    </row>
    <row r="1581" spans="1:7" s="25" customFormat="1" ht="13.8" x14ac:dyDescent="0.3">
      <c r="A1581" s="208"/>
      <c r="B1581" s="208"/>
      <c r="C1581" s="209"/>
      <c r="D1581" s="209"/>
      <c r="E1581" s="209"/>
      <c r="F1581" s="209"/>
      <c r="G1581" s="210"/>
    </row>
    <row r="1582" spans="1:7" s="25" customFormat="1" ht="13.8" x14ac:dyDescent="0.3">
      <c r="A1582" s="208"/>
      <c r="B1582" s="208"/>
      <c r="C1582" s="209"/>
      <c r="D1582" s="209"/>
      <c r="E1582" s="209"/>
      <c r="F1582" s="209"/>
      <c r="G1582" s="210"/>
    </row>
    <row r="1583" spans="1:7" s="25" customFormat="1" ht="13.8" x14ac:dyDescent="0.3">
      <c r="A1583" s="208"/>
      <c r="B1583" s="208"/>
      <c r="C1583" s="209"/>
      <c r="D1583" s="209"/>
      <c r="E1583" s="209"/>
      <c r="F1583" s="209"/>
      <c r="G1583" s="210"/>
    </row>
    <row r="1584" spans="1:7" s="25" customFormat="1" ht="13.8" x14ac:dyDescent="0.3">
      <c r="A1584" s="208"/>
      <c r="B1584" s="208"/>
      <c r="C1584" s="209"/>
      <c r="D1584" s="209"/>
      <c r="E1584" s="209"/>
      <c r="F1584" s="209"/>
      <c r="G1584" s="210"/>
    </row>
    <row r="1585" spans="1:7" s="25" customFormat="1" ht="13.8" x14ac:dyDescent="0.3">
      <c r="A1585" s="208"/>
      <c r="B1585" s="208"/>
      <c r="C1585" s="209"/>
      <c r="D1585" s="209"/>
      <c r="E1585" s="209"/>
      <c r="F1585" s="209"/>
      <c r="G1585" s="210"/>
    </row>
    <row r="1586" spans="1:7" s="25" customFormat="1" ht="13.8" x14ac:dyDescent="0.3">
      <c r="A1586" s="208"/>
      <c r="B1586" s="208"/>
      <c r="C1586" s="209"/>
      <c r="D1586" s="209"/>
      <c r="E1586" s="209"/>
      <c r="F1586" s="209"/>
      <c r="G1586" s="210"/>
    </row>
    <row r="1587" spans="1:7" s="25" customFormat="1" ht="13.8" x14ac:dyDescent="0.3">
      <c r="A1587" s="208"/>
      <c r="B1587" s="208"/>
      <c r="C1587" s="209"/>
      <c r="D1587" s="209"/>
      <c r="E1587" s="209"/>
      <c r="F1587" s="209"/>
      <c r="G1587" s="210"/>
    </row>
    <row r="1588" spans="1:7" s="25" customFormat="1" ht="13.8" x14ac:dyDescent="0.3">
      <c r="A1588" s="208"/>
      <c r="B1588" s="208"/>
      <c r="C1588" s="209"/>
      <c r="D1588" s="209"/>
      <c r="E1588" s="209"/>
      <c r="F1588" s="209"/>
      <c r="G1588" s="210"/>
    </row>
    <row r="1589" spans="1:7" s="25" customFormat="1" ht="13.8" x14ac:dyDescent="0.3">
      <c r="A1589" s="208"/>
      <c r="B1589" s="208"/>
      <c r="C1589" s="209"/>
      <c r="D1589" s="209"/>
      <c r="E1589" s="209"/>
      <c r="F1589" s="209"/>
      <c r="G1589" s="210"/>
    </row>
    <row r="1590" spans="1:7" s="25" customFormat="1" ht="13.8" x14ac:dyDescent="0.3">
      <c r="A1590" s="208"/>
      <c r="B1590" s="208"/>
      <c r="C1590" s="209"/>
      <c r="D1590" s="209"/>
      <c r="E1590" s="209"/>
      <c r="F1590" s="209"/>
      <c r="G1590" s="210"/>
    </row>
    <row r="1591" spans="1:7" s="25" customFormat="1" ht="13.8" x14ac:dyDescent="0.3">
      <c r="A1591" s="208"/>
      <c r="B1591" s="208"/>
      <c r="C1591" s="209"/>
      <c r="D1591" s="209"/>
      <c r="E1591" s="209"/>
      <c r="F1591" s="209"/>
      <c r="G1591" s="210"/>
    </row>
    <row r="1592" spans="1:7" s="25" customFormat="1" ht="13.8" x14ac:dyDescent="0.3">
      <c r="A1592" s="208"/>
      <c r="B1592" s="208"/>
      <c r="C1592" s="209"/>
      <c r="D1592" s="209"/>
      <c r="E1592" s="209"/>
      <c r="F1592" s="209"/>
      <c r="G1592" s="210"/>
    </row>
    <row r="1593" spans="1:7" s="25" customFormat="1" ht="13.8" x14ac:dyDescent="0.3">
      <c r="A1593" s="208"/>
      <c r="B1593" s="208"/>
      <c r="C1593" s="209"/>
      <c r="D1593" s="209"/>
      <c r="E1593" s="209"/>
      <c r="F1593" s="209"/>
      <c r="G1593" s="210"/>
    </row>
    <row r="1594" spans="1:7" s="25" customFormat="1" ht="13.8" x14ac:dyDescent="0.3">
      <c r="A1594" s="208"/>
      <c r="B1594" s="208"/>
      <c r="C1594" s="209"/>
      <c r="D1594" s="209"/>
      <c r="E1594" s="209"/>
      <c r="F1594" s="209"/>
      <c r="G1594" s="210"/>
    </row>
    <row r="1595" spans="1:7" s="25" customFormat="1" ht="13.8" x14ac:dyDescent="0.3">
      <c r="A1595" s="208"/>
      <c r="B1595" s="208"/>
      <c r="C1595" s="209"/>
      <c r="D1595" s="209"/>
      <c r="E1595" s="209"/>
      <c r="F1595" s="209"/>
      <c r="G1595" s="210"/>
    </row>
    <row r="1596" spans="1:7" s="25" customFormat="1" ht="13.8" x14ac:dyDescent="0.3">
      <c r="A1596" s="208"/>
      <c r="B1596" s="208"/>
      <c r="C1596" s="209"/>
      <c r="D1596" s="209"/>
      <c r="E1596" s="209"/>
      <c r="F1596" s="209"/>
      <c r="G1596" s="210"/>
    </row>
    <row r="1597" spans="1:7" s="25" customFormat="1" ht="13.8" x14ac:dyDescent="0.3">
      <c r="A1597" s="208"/>
      <c r="B1597" s="208"/>
      <c r="C1597" s="209"/>
      <c r="D1597" s="209"/>
      <c r="E1597" s="209"/>
      <c r="F1597" s="209"/>
      <c r="G1597" s="210"/>
    </row>
    <row r="1598" spans="1:7" s="25" customFormat="1" ht="13.8" x14ac:dyDescent="0.3">
      <c r="A1598" s="208"/>
      <c r="B1598" s="208"/>
      <c r="C1598" s="209"/>
      <c r="D1598" s="209"/>
      <c r="E1598" s="209"/>
      <c r="F1598" s="209"/>
      <c r="G1598" s="210"/>
    </row>
    <row r="1599" spans="1:7" s="25" customFormat="1" ht="13.8" x14ac:dyDescent="0.3">
      <c r="A1599" s="208"/>
      <c r="B1599" s="208"/>
      <c r="C1599" s="209"/>
      <c r="D1599" s="209"/>
      <c r="E1599" s="209"/>
      <c r="F1599" s="209"/>
      <c r="G1599" s="210"/>
    </row>
    <row r="1600" spans="1:7" s="25" customFormat="1" ht="13.8" x14ac:dyDescent="0.3">
      <c r="A1600" s="208"/>
      <c r="B1600" s="208"/>
      <c r="C1600" s="209"/>
      <c r="D1600" s="209"/>
      <c r="E1600" s="209"/>
      <c r="F1600" s="209"/>
      <c r="G1600" s="210"/>
    </row>
    <row r="1601" spans="1:7" s="25" customFormat="1" ht="13.8" x14ac:dyDescent="0.3">
      <c r="A1601" s="208"/>
      <c r="B1601" s="208"/>
      <c r="C1601" s="209"/>
      <c r="D1601" s="209"/>
      <c r="E1601" s="209"/>
      <c r="F1601" s="209"/>
      <c r="G1601" s="210"/>
    </row>
    <row r="1602" spans="1:7" s="25" customFormat="1" ht="13.8" x14ac:dyDescent="0.3">
      <c r="A1602" s="208"/>
      <c r="B1602" s="208"/>
      <c r="C1602" s="209"/>
      <c r="D1602" s="209"/>
      <c r="E1602" s="209"/>
      <c r="F1602" s="209"/>
      <c r="G1602" s="210"/>
    </row>
    <row r="1603" spans="1:7" s="25" customFormat="1" ht="13.8" x14ac:dyDescent="0.3">
      <c r="A1603" s="208"/>
      <c r="B1603" s="208"/>
      <c r="C1603" s="209"/>
      <c r="D1603" s="209"/>
      <c r="E1603" s="209"/>
      <c r="F1603" s="209"/>
      <c r="G1603" s="210"/>
    </row>
    <row r="1604" spans="1:7" s="25" customFormat="1" ht="13.8" x14ac:dyDescent="0.3">
      <c r="A1604" s="208"/>
      <c r="B1604" s="208"/>
      <c r="C1604" s="209"/>
      <c r="D1604" s="209"/>
      <c r="E1604" s="209"/>
      <c r="F1604" s="209"/>
      <c r="G1604" s="210"/>
    </row>
    <row r="1605" spans="1:7" s="25" customFormat="1" ht="13.8" x14ac:dyDescent="0.3">
      <c r="A1605" s="208"/>
      <c r="B1605" s="208"/>
      <c r="C1605" s="209"/>
      <c r="D1605" s="209"/>
      <c r="E1605" s="209"/>
      <c r="F1605" s="209"/>
      <c r="G1605" s="210"/>
    </row>
    <row r="1606" spans="1:7" s="25" customFormat="1" ht="13.8" x14ac:dyDescent="0.3">
      <c r="A1606" s="208"/>
      <c r="B1606" s="208"/>
      <c r="C1606" s="209"/>
      <c r="D1606" s="209"/>
      <c r="E1606" s="209"/>
      <c r="F1606" s="209"/>
      <c r="G1606" s="210"/>
    </row>
    <row r="1607" spans="1:7" s="25" customFormat="1" ht="13.8" x14ac:dyDescent="0.3">
      <c r="A1607" s="208"/>
      <c r="B1607" s="208"/>
      <c r="C1607" s="209"/>
      <c r="D1607" s="209"/>
      <c r="E1607" s="209"/>
      <c r="F1607" s="209"/>
      <c r="G1607" s="210"/>
    </row>
    <row r="1608" spans="1:7" s="25" customFormat="1" ht="13.8" x14ac:dyDescent="0.3">
      <c r="A1608" s="208"/>
      <c r="B1608" s="208"/>
      <c r="C1608" s="209"/>
      <c r="D1608" s="209"/>
      <c r="E1608" s="209"/>
      <c r="F1608" s="209"/>
      <c r="G1608" s="210"/>
    </row>
    <row r="1609" spans="1:7" s="25" customFormat="1" ht="13.8" x14ac:dyDescent="0.3">
      <c r="A1609" s="208"/>
      <c r="B1609" s="208"/>
      <c r="C1609" s="209"/>
      <c r="D1609" s="209"/>
      <c r="E1609" s="209"/>
      <c r="F1609" s="209"/>
      <c r="G1609" s="210"/>
    </row>
    <row r="1610" spans="1:7" s="25" customFormat="1" ht="13.8" x14ac:dyDescent="0.3">
      <c r="A1610" s="208"/>
      <c r="B1610" s="208"/>
      <c r="C1610" s="209"/>
      <c r="D1610" s="209"/>
      <c r="E1610" s="209"/>
      <c r="F1610" s="209"/>
      <c r="G1610" s="210"/>
    </row>
    <row r="1611" spans="1:7" s="25" customFormat="1" ht="13.8" x14ac:dyDescent="0.3">
      <c r="A1611" s="208"/>
      <c r="B1611" s="208"/>
      <c r="C1611" s="209"/>
      <c r="D1611" s="209"/>
      <c r="E1611" s="209"/>
      <c r="F1611" s="209"/>
      <c r="G1611" s="210"/>
    </row>
    <row r="1612" spans="1:7" s="25" customFormat="1" ht="13.8" x14ac:dyDescent="0.3">
      <c r="A1612" s="208"/>
      <c r="B1612" s="208"/>
      <c r="C1612" s="209"/>
      <c r="D1612" s="209"/>
      <c r="E1612" s="209"/>
      <c r="F1612" s="209"/>
      <c r="G1612" s="210"/>
    </row>
    <row r="1613" spans="1:7" s="25" customFormat="1" ht="13.8" x14ac:dyDescent="0.3">
      <c r="A1613" s="208"/>
      <c r="B1613" s="208"/>
      <c r="C1613" s="209"/>
      <c r="D1613" s="209"/>
      <c r="E1613" s="209"/>
      <c r="F1613" s="209"/>
      <c r="G1613" s="210"/>
    </row>
    <row r="1614" spans="1:7" s="25" customFormat="1" ht="13.8" x14ac:dyDescent="0.3">
      <c r="A1614" s="208"/>
      <c r="B1614" s="208"/>
      <c r="C1614" s="209"/>
      <c r="D1614" s="209"/>
      <c r="E1614" s="209"/>
      <c r="F1614" s="209"/>
      <c r="G1614" s="210"/>
    </row>
    <row r="1615" spans="1:7" s="25" customFormat="1" ht="13.8" x14ac:dyDescent="0.3">
      <c r="A1615" s="208"/>
      <c r="B1615" s="208"/>
      <c r="C1615" s="209"/>
      <c r="D1615" s="209"/>
      <c r="E1615" s="209"/>
      <c r="F1615" s="209"/>
      <c r="G1615" s="210"/>
    </row>
    <row r="1616" spans="1:7" s="25" customFormat="1" ht="13.8" x14ac:dyDescent="0.3">
      <c r="A1616" s="208"/>
      <c r="B1616" s="208"/>
      <c r="C1616" s="209"/>
      <c r="D1616" s="209"/>
      <c r="E1616" s="209"/>
      <c r="F1616" s="209"/>
      <c r="G1616" s="210"/>
    </row>
    <row r="1617" spans="1:7" s="25" customFormat="1" ht="13.8" x14ac:dyDescent="0.3">
      <c r="A1617" s="208"/>
      <c r="B1617" s="208"/>
      <c r="C1617" s="209"/>
      <c r="D1617" s="209"/>
      <c r="E1617" s="209"/>
      <c r="F1617" s="209"/>
      <c r="G1617" s="210"/>
    </row>
    <row r="1618" spans="1:7" s="25" customFormat="1" ht="13.8" x14ac:dyDescent="0.3">
      <c r="A1618" s="208"/>
      <c r="B1618" s="208"/>
      <c r="C1618" s="209"/>
      <c r="D1618" s="209"/>
      <c r="E1618" s="209"/>
      <c r="F1618" s="209"/>
      <c r="G1618" s="210"/>
    </row>
    <row r="1619" spans="1:7" s="25" customFormat="1" ht="13.8" x14ac:dyDescent="0.3">
      <c r="A1619" s="208"/>
      <c r="B1619" s="208"/>
      <c r="C1619" s="209"/>
      <c r="D1619" s="209"/>
      <c r="E1619" s="209"/>
      <c r="F1619" s="209"/>
      <c r="G1619" s="210"/>
    </row>
    <row r="1620" spans="1:7" s="25" customFormat="1" ht="13.8" x14ac:dyDescent="0.3">
      <c r="A1620" s="208"/>
      <c r="B1620" s="208"/>
      <c r="C1620" s="209"/>
      <c r="D1620" s="209"/>
      <c r="E1620" s="209"/>
      <c r="F1620" s="209"/>
      <c r="G1620" s="210"/>
    </row>
    <row r="1621" spans="1:7" s="25" customFormat="1" ht="13.8" x14ac:dyDescent="0.3">
      <c r="A1621" s="208"/>
      <c r="B1621" s="208"/>
      <c r="C1621" s="209"/>
      <c r="D1621" s="209"/>
      <c r="E1621" s="209"/>
      <c r="F1621" s="209"/>
      <c r="G1621" s="210"/>
    </row>
    <row r="1622" spans="1:7" s="25" customFormat="1" ht="13.8" x14ac:dyDescent="0.3">
      <c r="A1622" s="208"/>
      <c r="B1622" s="208"/>
      <c r="C1622" s="209"/>
      <c r="D1622" s="209"/>
      <c r="E1622" s="209"/>
      <c r="F1622" s="209"/>
      <c r="G1622" s="210"/>
    </row>
    <row r="1623" spans="1:7" s="25" customFormat="1" ht="13.8" x14ac:dyDescent="0.3">
      <c r="A1623" s="208"/>
      <c r="B1623" s="208"/>
      <c r="C1623" s="209"/>
      <c r="D1623" s="209"/>
      <c r="E1623" s="209"/>
      <c r="F1623" s="209"/>
      <c r="G1623" s="210"/>
    </row>
    <row r="1624" spans="1:7" s="25" customFormat="1" ht="13.8" x14ac:dyDescent="0.3">
      <c r="A1624" s="208"/>
      <c r="B1624" s="208"/>
      <c r="C1624" s="209"/>
      <c r="D1624" s="209"/>
      <c r="E1624" s="209"/>
      <c r="F1624" s="209"/>
      <c r="G1624" s="210"/>
    </row>
    <row r="1625" spans="1:7" s="25" customFormat="1" ht="13.8" x14ac:dyDescent="0.3">
      <c r="A1625" s="208"/>
      <c r="B1625" s="208"/>
      <c r="C1625" s="209"/>
      <c r="D1625" s="209"/>
      <c r="E1625" s="209"/>
      <c r="F1625" s="209"/>
      <c r="G1625" s="210"/>
    </row>
    <row r="1626" spans="1:7" s="25" customFormat="1" ht="13.8" x14ac:dyDescent="0.3">
      <c r="A1626" s="208"/>
      <c r="B1626" s="208"/>
      <c r="C1626" s="209"/>
      <c r="D1626" s="209"/>
      <c r="E1626" s="209"/>
      <c r="F1626" s="209"/>
      <c r="G1626" s="210"/>
    </row>
    <row r="1627" spans="1:7" s="25" customFormat="1" ht="13.8" x14ac:dyDescent="0.3">
      <c r="A1627" s="208"/>
      <c r="B1627" s="208"/>
      <c r="C1627" s="209"/>
      <c r="D1627" s="209"/>
      <c r="E1627" s="209"/>
      <c r="F1627" s="209"/>
      <c r="G1627" s="210"/>
    </row>
    <row r="1628" spans="1:7" s="25" customFormat="1" ht="13.8" x14ac:dyDescent="0.3">
      <c r="A1628" s="208"/>
      <c r="B1628" s="208"/>
      <c r="C1628" s="209"/>
      <c r="D1628" s="209"/>
      <c r="E1628" s="209"/>
      <c r="F1628" s="209"/>
      <c r="G1628" s="210"/>
    </row>
    <row r="1629" spans="1:7" s="25" customFormat="1" ht="13.8" x14ac:dyDescent="0.3">
      <c r="A1629" s="208"/>
      <c r="B1629" s="208"/>
      <c r="C1629" s="209"/>
      <c r="D1629" s="209"/>
      <c r="E1629" s="209"/>
      <c r="F1629" s="209"/>
      <c r="G1629" s="210"/>
    </row>
    <row r="1630" spans="1:7" s="25" customFormat="1" ht="13.8" x14ac:dyDescent="0.3">
      <c r="A1630" s="208"/>
      <c r="B1630" s="208"/>
      <c r="C1630" s="209"/>
      <c r="D1630" s="209"/>
      <c r="E1630" s="209"/>
      <c r="F1630" s="209"/>
      <c r="G1630" s="210"/>
    </row>
    <row r="1631" spans="1:7" s="25" customFormat="1" ht="13.8" x14ac:dyDescent="0.3">
      <c r="A1631" s="208"/>
      <c r="B1631" s="208"/>
      <c r="C1631" s="209"/>
      <c r="D1631" s="209"/>
      <c r="E1631" s="209"/>
      <c r="F1631" s="209"/>
      <c r="G1631" s="210"/>
    </row>
    <row r="1632" spans="1:7" s="25" customFormat="1" ht="13.8" x14ac:dyDescent="0.3">
      <c r="A1632" s="208"/>
      <c r="B1632" s="208"/>
      <c r="C1632" s="209"/>
      <c r="D1632" s="209"/>
      <c r="E1632" s="209"/>
      <c r="F1632" s="209"/>
      <c r="G1632" s="210"/>
    </row>
    <row r="1633" spans="1:7" s="25" customFormat="1" ht="13.8" x14ac:dyDescent="0.3">
      <c r="A1633" s="208"/>
      <c r="B1633" s="208"/>
      <c r="C1633" s="209"/>
      <c r="D1633" s="209"/>
      <c r="E1633" s="209"/>
      <c r="F1633" s="209"/>
      <c r="G1633" s="210"/>
    </row>
    <row r="1634" spans="1:7" s="25" customFormat="1" ht="13.8" x14ac:dyDescent="0.3">
      <c r="A1634" s="208"/>
      <c r="B1634" s="208"/>
      <c r="C1634" s="209"/>
      <c r="D1634" s="209"/>
      <c r="E1634" s="209"/>
      <c r="F1634" s="209"/>
      <c r="G1634" s="210"/>
    </row>
    <row r="1635" spans="1:7" s="25" customFormat="1" ht="13.8" x14ac:dyDescent="0.3">
      <c r="A1635" s="208"/>
      <c r="B1635" s="208"/>
      <c r="C1635" s="209"/>
      <c r="D1635" s="209"/>
      <c r="E1635" s="209"/>
      <c r="F1635" s="209"/>
      <c r="G1635" s="210"/>
    </row>
    <row r="1636" spans="1:7" s="25" customFormat="1" ht="13.8" x14ac:dyDescent="0.3">
      <c r="A1636" s="208"/>
      <c r="B1636" s="208"/>
      <c r="C1636" s="209"/>
      <c r="D1636" s="209"/>
      <c r="E1636" s="209"/>
      <c r="F1636" s="209"/>
      <c r="G1636" s="210"/>
    </row>
    <row r="1637" spans="1:7" s="25" customFormat="1" ht="13.8" x14ac:dyDescent="0.3">
      <c r="A1637" s="208"/>
      <c r="B1637" s="208"/>
      <c r="C1637" s="209"/>
      <c r="D1637" s="209"/>
      <c r="E1637" s="209"/>
      <c r="F1637" s="209"/>
      <c r="G1637" s="210"/>
    </row>
    <row r="1638" spans="1:7" s="25" customFormat="1" ht="13.8" x14ac:dyDescent="0.3">
      <c r="A1638" s="208"/>
      <c r="B1638" s="208"/>
      <c r="C1638" s="209"/>
      <c r="D1638" s="209"/>
      <c r="E1638" s="209"/>
      <c r="F1638" s="209"/>
      <c r="G1638" s="210"/>
    </row>
    <row r="1639" spans="1:7" s="25" customFormat="1" ht="13.8" x14ac:dyDescent="0.3">
      <c r="A1639" s="208"/>
      <c r="B1639" s="208"/>
      <c r="C1639" s="209"/>
      <c r="D1639" s="209"/>
      <c r="E1639" s="209"/>
      <c r="F1639" s="209"/>
      <c r="G1639" s="210"/>
    </row>
    <row r="1640" spans="1:7" s="25" customFormat="1" ht="13.8" x14ac:dyDescent="0.3">
      <c r="A1640" s="208"/>
      <c r="B1640" s="208"/>
      <c r="C1640" s="209"/>
      <c r="D1640" s="209"/>
      <c r="E1640" s="209"/>
      <c r="F1640" s="209"/>
      <c r="G1640" s="210"/>
    </row>
    <row r="1641" spans="1:7" s="25" customFormat="1" ht="13.8" x14ac:dyDescent="0.3">
      <c r="A1641" s="208"/>
      <c r="B1641" s="208"/>
      <c r="C1641" s="209"/>
      <c r="D1641" s="209"/>
      <c r="E1641" s="209"/>
      <c r="F1641" s="209"/>
      <c r="G1641" s="210"/>
    </row>
    <row r="1642" spans="1:7" s="25" customFormat="1" ht="13.8" x14ac:dyDescent="0.3">
      <c r="A1642" s="208"/>
      <c r="B1642" s="208"/>
      <c r="C1642" s="209"/>
      <c r="D1642" s="209"/>
      <c r="E1642" s="209"/>
      <c r="F1642" s="209"/>
      <c r="G1642" s="210"/>
    </row>
    <row r="1643" spans="1:7" s="25" customFormat="1" ht="13.8" x14ac:dyDescent="0.3">
      <c r="A1643" s="208"/>
      <c r="B1643" s="208"/>
      <c r="C1643" s="209"/>
      <c r="D1643" s="209"/>
      <c r="E1643" s="209"/>
      <c r="F1643" s="209"/>
      <c r="G1643" s="210"/>
    </row>
    <row r="1644" spans="1:7" s="25" customFormat="1" ht="13.8" x14ac:dyDescent="0.3">
      <c r="A1644" s="208"/>
      <c r="B1644" s="208"/>
      <c r="C1644" s="209"/>
      <c r="D1644" s="209"/>
      <c r="E1644" s="209"/>
      <c r="F1644" s="209"/>
      <c r="G1644" s="210"/>
    </row>
    <row r="1645" spans="1:7" s="25" customFormat="1" ht="13.8" x14ac:dyDescent="0.3">
      <c r="A1645" s="208"/>
      <c r="B1645" s="208"/>
      <c r="C1645" s="209"/>
      <c r="D1645" s="209"/>
      <c r="E1645" s="209"/>
      <c r="F1645" s="209"/>
      <c r="G1645" s="210"/>
    </row>
    <row r="1646" spans="1:7" s="25" customFormat="1" ht="13.8" x14ac:dyDescent="0.3">
      <c r="A1646" s="208"/>
      <c r="B1646" s="208"/>
      <c r="C1646" s="209"/>
      <c r="D1646" s="209"/>
      <c r="E1646" s="209"/>
      <c r="F1646" s="209"/>
      <c r="G1646" s="210"/>
    </row>
    <row r="1647" spans="1:7" s="25" customFormat="1" ht="13.8" x14ac:dyDescent="0.3">
      <c r="A1647" s="208"/>
      <c r="B1647" s="208"/>
      <c r="C1647" s="209"/>
      <c r="D1647" s="209"/>
      <c r="E1647" s="209"/>
      <c r="F1647" s="209"/>
      <c r="G1647" s="210"/>
    </row>
    <row r="1648" spans="1:7" s="25" customFormat="1" ht="13.8" x14ac:dyDescent="0.3">
      <c r="A1648" s="208"/>
      <c r="B1648" s="208"/>
      <c r="C1648" s="209"/>
      <c r="D1648" s="209"/>
      <c r="E1648" s="209"/>
      <c r="F1648" s="209"/>
      <c r="G1648" s="210"/>
    </row>
    <row r="1649" spans="1:7" s="25" customFormat="1" ht="13.8" x14ac:dyDescent="0.3">
      <c r="A1649" s="208"/>
      <c r="B1649" s="208"/>
      <c r="C1649" s="209"/>
      <c r="D1649" s="209"/>
      <c r="E1649" s="209"/>
      <c r="F1649" s="209"/>
      <c r="G1649" s="210"/>
    </row>
    <row r="1650" spans="1:7" s="25" customFormat="1" ht="13.8" x14ac:dyDescent="0.3">
      <c r="A1650" s="208"/>
      <c r="B1650" s="208"/>
      <c r="C1650" s="209"/>
      <c r="D1650" s="209"/>
      <c r="E1650" s="209"/>
      <c r="F1650" s="209"/>
      <c r="G1650" s="210"/>
    </row>
    <row r="1651" spans="1:7" s="25" customFormat="1" ht="13.8" x14ac:dyDescent="0.3">
      <c r="A1651" s="208"/>
      <c r="B1651" s="208"/>
      <c r="C1651" s="209"/>
      <c r="D1651" s="209"/>
      <c r="E1651" s="209"/>
      <c r="F1651" s="209"/>
      <c r="G1651" s="210"/>
    </row>
    <row r="1652" spans="1:7" s="25" customFormat="1" ht="13.8" x14ac:dyDescent="0.3">
      <c r="A1652" s="208"/>
      <c r="B1652" s="208"/>
      <c r="C1652" s="209"/>
      <c r="D1652" s="209"/>
      <c r="E1652" s="209"/>
      <c r="F1652" s="209"/>
      <c r="G1652" s="210"/>
    </row>
    <row r="1653" spans="1:7" s="25" customFormat="1" ht="13.8" x14ac:dyDescent="0.3">
      <c r="A1653" s="208"/>
      <c r="B1653" s="208"/>
      <c r="C1653" s="209"/>
      <c r="D1653" s="209"/>
      <c r="E1653" s="209"/>
      <c r="F1653" s="209"/>
      <c r="G1653" s="210"/>
    </row>
    <row r="1654" spans="1:7" s="25" customFormat="1" ht="13.8" x14ac:dyDescent="0.3">
      <c r="A1654" s="208"/>
      <c r="B1654" s="208"/>
      <c r="C1654" s="209"/>
      <c r="D1654" s="209"/>
      <c r="E1654" s="209"/>
      <c r="F1654" s="209"/>
      <c r="G1654" s="210"/>
    </row>
    <row r="1655" spans="1:7" s="25" customFormat="1" ht="13.8" x14ac:dyDescent="0.3">
      <c r="A1655" s="208"/>
      <c r="B1655" s="208"/>
      <c r="C1655" s="209"/>
      <c r="D1655" s="209"/>
      <c r="E1655" s="209"/>
      <c r="F1655" s="209"/>
      <c r="G1655" s="210"/>
    </row>
    <row r="1656" spans="1:7" s="25" customFormat="1" ht="13.8" x14ac:dyDescent="0.3">
      <c r="A1656" s="208"/>
      <c r="B1656" s="208"/>
      <c r="C1656" s="209"/>
      <c r="D1656" s="209"/>
      <c r="E1656" s="209"/>
      <c r="F1656" s="209"/>
      <c r="G1656" s="210"/>
    </row>
    <row r="1657" spans="1:7" s="25" customFormat="1" ht="13.8" x14ac:dyDescent="0.3">
      <c r="A1657" s="208"/>
      <c r="B1657" s="208"/>
      <c r="C1657" s="209"/>
      <c r="D1657" s="209"/>
      <c r="E1657" s="209"/>
      <c r="F1657" s="209"/>
      <c r="G1657" s="210"/>
    </row>
    <row r="1658" spans="1:7" s="25" customFormat="1" ht="13.8" x14ac:dyDescent="0.3">
      <c r="A1658" s="208"/>
      <c r="B1658" s="208"/>
      <c r="C1658" s="209"/>
      <c r="D1658" s="209"/>
      <c r="E1658" s="209"/>
      <c r="F1658" s="209"/>
      <c r="G1658" s="210"/>
    </row>
    <row r="1659" spans="1:7" s="25" customFormat="1" ht="13.8" x14ac:dyDescent="0.3">
      <c r="A1659" s="208"/>
      <c r="B1659" s="208"/>
      <c r="C1659" s="209"/>
      <c r="D1659" s="209"/>
      <c r="E1659" s="209"/>
      <c r="F1659" s="209"/>
      <c r="G1659" s="210"/>
    </row>
    <row r="1660" spans="1:7" s="25" customFormat="1" ht="13.8" x14ac:dyDescent="0.3">
      <c r="A1660" s="208"/>
      <c r="B1660" s="208"/>
      <c r="C1660" s="209"/>
      <c r="D1660" s="209"/>
      <c r="E1660" s="209"/>
      <c r="F1660" s="209"/>
      <c r="G1660" s="210"/>
    </row>
    <row r="1661" spans="1:7" s="25" customFormat="1" ht="13.8" x14ac:dyDescent="0.3">
      <c r="A1661" s="208"/>
      <c r="B1661" s="208"/>
      <c r="C1661" s="209"/>
      <c r="D1661" s="209"/>
      <c r="E1661" s="209"/>
      <c r="F1661" s="209"/>
      <c r="G1661" s="210"/>
    </row>
    <row r="1662" spans="1:7" s="25" customFormat="1" ht="13.8" x14ac:dyDescent="0.3">
      <c r="A1662" s="208"/>
      <c r="B1662" s="208"/>
      <c r="C1662" s="209"/>
      <c r="D1662" s="209"/>
      <c r="E1662" s="209"/>
      <c r="F1662" s="209"/>
      <c r="G1662" s="210"/>
    </row>
    <row r="1663" spans="1:7" s="25" customFormat="1" ht="13.8" x14ac:dyDescent="0.3">
      <c r="A1663" s="208"/>
      <c r="B1663" s="208"/>
      <c r="C1663" s="209"/>
      <c r="D1663" s="209"/>
      <c r="E1663" s="209"/>
      <c r="F1663" s="209"/>
      <c r="G1663" s="210"/>
    </row>
    <row r="1664" spans="1:7" s="25" customFormat="1" ht="13.8" x14ac:dyDescent="0.3">
      <c r="A1664" s="208"/>
      <c r="B1664" s="208"/>
      <c r="C1664" s="209"/>
      <c r="D1664" s="209"/>
      <c r="E1664" s="209"/>
      <c r="F1664" s="209"/>
      <c r="G1664" s="210"/>
    </row>
    <row r="1665" spans="1:7" s="25" customFormat="1" ht="13.8" x14ac:dyDescent="0.3">
      <c r="A1665" s="208"/>
      <c r="B1665" s="208"/>
      <c r="C1665" s="209"/>
      <c r="D1665" s="209"/>
      <c r="E1665" s="209"/>
      <c r="F1665" s="209"/>
      <c r="G1665" s="210"/>
    </row>
    <row r="1666" spans="1:7" s="25" customFormat="1" ht="13.8" x14ac:dyDescent="0.3">
      <c r="A1666" s="208"/>
      <c r="B1666" s="208"/>
      <c r="C1666" s="209"/>
      <c r="D1666" s="209"/>
      <c r="E1666" s="209"/>
      <c r="F1666" s="209"/>
      <c r="G1666" s="210"/>
    </row>
    <row r="1667" spans="1:7" s="25" customFormat="1" ht="13.8" x14ac:dyDescent="0.3">
      <c r="A1667" s="208"/>
      <c r="B1667" s="208"/>
      <c r="C1667" s="209"/>
      <c r="D1667" s="209"/>
      <c r="E1667" s="209"/>
      <c r="F1667" s="209"/>
      <c r="G1667" s="210"/>
    </row>
    <row r="1668" spans="1:7" s="25" customFormat="1" ht="13.8" x14ac:dyDescent="0.3">
      <c r="A1668" s="208"/>
      <c r="B1668" s="208"/>
      <c r="C1668" s="209"/>
      <c r="D1668" s="209"/>
      <c r="E1668" s="209"/>
      <c r="F1668" s="209"/>
      <c r="G1668" s="210"/>
    </row>
    <row r="1669" spans="1:7" s="25" customFormat="1" ht="13.8" x14ac:dyDescent="0.3">
      <c r="A1669" s="208"/>
      <c r="B1669" s="208"/>
      <c r="C1669" s="209"/>
      <c r="D1669" s="209"/>
      <c r="E1669" s="209"/>
      <c r="F1669" s="209"/>
      <c r="G1669" s="210"/>
    </row>
    <row r="1670" spans="1:7" s="25" customFormat="1" ht="13.8" x14ac:dyDescent="0.3">
      <c r="A1670" s="208"/>
      <c r="B1670" s="208"/>
      <c r="C1670" s="209"/>
      <c r="D1670" s="209"/>
      <c r="E1670" s="209"/>
      <c r="F1670" s="209"/>
      <c r="G1670" s="210"/>
    </row>
    <row r="1671" spans="1:7" s="25" customFormat="1" ht="13.8" x14ac:dyDescent="0.3">
      <c r="A1671" s="208"/>
      <c r="B1671" s="208"/>
      <c r="C1671" s="209"/>
      <c r="D1671" s="209"/>
      <c r="E1671" s="209"/>
      <c r="F1671" s="209"/>
      <c r="G1671" s="210"/>
    </row>
    <row r="1672" spans="1:7" s="25" customFormat="1" ht="13.8" x14ac:dyDescent="0.3">
      <c r="A1672" s="208"/>
      <c r="B1672" s="208"/>
      <c r="C1672" s="209"/>
      <c r="D1672" s="209"/>
      <c r="E1672" s="209"/>
      <c r="F1672" s="209"/>
      <c r="G1672" s="210"/>
    </row>
    <row r="1673" spans="1:7" s="25" customFormat="1" ht="13.8" x14ac:dyDescent="0.3">
      <c r="A1673" s="208"/>
      <c r="B1673" s="208"/>
      <c r="C1673" s="209"/>
      <c r="D1673" s="209"/>
      <c r="E1673" s="209"/>
      <c r="F1673" s="209"/>
      <c r="G1673" s="210"/>
    </row>
    <row r="1674" spans="1:7" s="25" customFormat="1" ht="13.8" x14ac:dyDescent="0.3">
      <c r="A1674" s="208"/>
      <c r="B1674" s="208"/>
      <c r="C1674" s="209"/>
      <c r="D1674" s="209"/>
      <c r="E1674" s="209"/>
      <c r="F1674" s="209"/>
      <c r="G1674" s="210"/>
    </row>
    <row r="1675" spans="1:7" s="25" customFormat="1" ht="13.8" x14ac:dyDescent="0.3">
      <c r="A1675" s="208"/>
      <c r="B1675" s="208"/>
      <c r="C1675" s="209"/>
      <c r="D1675" s="209"/>
      <c r="E1675" s="209"/>
      <c r="F1675" s="209"/>
      <c r="G1675" s="210"/>
    </row>
    <row r="1676" spans="1:7" s="25" customFormat="1" ht="13.8" x14ac:dyDescent="0.3">
      <c r="A1676" s="208"/>
      <c r="B1676" s="208"/>
      <c r="C1676" s="209"/>
      <c r="D1676" s="209"/>
      <c r="E1676" s="209"/>
      <c r="F1676" s="209"/>
      <c r="G1676" s="210"/>
    </row>
    <row r="1677" spans="1:7" s="25" customFormat="1" ht="13.8" x14ac:dyDescent="0.3">
      <c r="A1677" s="208"/>
      <c r="B1677" s="208"/>
      <c r="C1677" s="209"/>
      <c r="D1677" s="209"/>
      <c r="E1677" s="209"/>
      <c r="F1677" s="209"/>
      <c r="G1677" s="210"/>
    </row>
    <row r="1678" spans="1:7" s="25" customFormat="1" ht="13.8" x14ac:dyDescent="0.3">
      <c r="A1678" s="208"/>
      <c r="B1678" s="208"/>
      <c r="C1678" s="209"/>
      <c r="D1678" s="209"/>
      <c r="E1678" s="209"/>
      <c r="F1678" s="209"/>
      <c r="G1678" s="210"/>
    </row>
    <row r="1679" spans="1:7" s="25" customFormat="1" ht="13.8" x14ac:dyDescent="0.3">
      <c r="A1679" s="208"/>
      <c r="B1679" s="208"/>
      <c r="C1679" s="209"/>
      <c r="D1679" s="209"/>
      <c r="E1679" s="209"/>
      <c r="F1679" s="209"/>
      <c r="G1679" s="210"/>
    </row>
    <row r="1680" spans="1:7" s="25" customFormat="1" ht="13.8" x14ac:dyDescent="0.3">
      <c r="A1680" s="208"/>
      <c r="B1680" s="208"/>
      <c r="C1680" s="209"/>
      <c r="D1680" s="209"/>
      <c r="E1680" s="209"/>
      <c r="F1680" s="209"/>
      <c r="G1680" s="210"/>
    </row>
    <row r="1681" spans="1:7" s="25" customFormat="1" ht="13.8" x14ac:dyDescent="0.3">
      <c r="A1681" s="208"/>
      <c r="B1681" s="208"/>
      <c r="C1681" s="209"/>
      <c r="D1681" s="209"/>
      <c r="E1681" s="209"/>
      <c r="F1681" s="209"/>
      <c r="G1681" s="210"/>
    </row>
    <row r="1682" spans="1:7" s="25" customFormat="1" ht="13.8" x14ac:dyDescent="0.3">
      <c r="A1682" s="208"/>
      <c r="B1682" s="208"/>
      <c r="C1682" s="209"/>
      <c r="D1682" s="209"/>
      <c r="E1682" s="209"/>
      <c r="F1682" s="209"/>
      <c r="G1682" s="210"/>
    </row>
    <row r="1683" spans="1:7" s="25" customFormat="1" ht="13.8" x14ac:dyDescent="0.3">
      <c r="A1683" s="208"/>
      <c r="B1683" s="208"/>
      <c r="C1683" s="209"/>
      <c r="D1683" s="209"/>
      <c r="E1683" s="209"/>
      <c r="F1683" s="209"/>
      <c r="G1683" s="210"/>
    </row>
    <row r="1684" spans="1:7" s="25" customFormat="1" ht="13.8" x14ac:dyDescent="0.3">
      <c r="A1684" s="208"/>
      <c r="B1684" s="208"/>
      <c r="C1684" s="209"/>
      <c r="D1684" s="209"/>
      <c r="E1684" s="209"/>
      <c r="F1684" s="209"/>
      <c r="G1684" s="210"/>
    </row>
    <row r="1685" spans="1:7" s="25" customFormat="1" ht="13.8" x14ac:dyDescent="0.3">
      <c r="A1685" s="208"/>
      <c r="B1685" s="208"/>
      <c r="C1685" s="209"/>
      <c r="D1685" s="209"/>
      <c r="E1685" s="209"/>
      <c r="F1685" s="209"/>
      <c r="G1685" s="210"/>
    </row>
    <row r="1686" spans="1:7" s="25" customFormat="1" ht="13.8" x14ac:dyDescent="0.3">
      <c r="A1686" s="208"/>
      <c r="B1686" s="208"/>
      <c r="C1686" s="209"/>
      <c r="D1686" s="209"/>
      <c r="E1686" s="209"/>
      <c r="F1686" s="209"/>
      <c r="G1686" s="210"/>
    </row>
    <row r="1687" spans="1:7" s="25" customFormat="1" ht="13.8" x14ac:dyDescent="0.3">
      <c r="A1687" s="208"/>
      <c r="B1687" s="208"/>
      <c r="C1687" s="209"/>
      <c r="D1687" s="209"/>
      <c r="E1687" s="209"/>
      <c r="F1687" s="209"/>
      <c r="G1687" s="210"/>
    </row>
    <row r="1688" spans="1:7" s="25" customFormat="1" ht="13.8" x14ac:dyDescent="0.3">
      <c r="A1688" s="208"/>
      <c r="B1688" s="208"/>
      <c r="C1688" s="209"/>
      <c r="D1688" s="209"/>
      <c r="E1688" s="209"/>
      <c r="F1688" s="209"/>
      <c r="G1688" s="210"/>
    </row>
    <row r="1689" spans="1:7" s="25" customFormat="1" ht="13.8" x14ac:dyDescent="0.3">
      <c r="A1689" s="208"/>
      <c r="B1689" s="208"/>
      <c r="C1689" s="209"/>
      <c r="D1689" s="209"/>
      <c r="E1689" s="209"/>
      <c r="F1689" s="209"/>
      <c r="G1689" s="210"/>
    </row>
    <row r="1690" spans="1:7" s="25" customFormat="1" ht="13.8" x14ac:dyDescent="0.3">
      <c r="A1690" s="208"/>
      <c r="B1690" s="208"/>
      <c r="C1690" s="209"/>
      <c r="D1690" s="209"/>
      <c r="E1690" s="209"/>
      <c r="F1690" s="209"/>
      <c r="G1690" s="210"/>
    </row>
    <row r="1691" spans="1:7" s="25" customFormat="1" ht="13.8" x14ac:dyDescent="0.3">
      <c r="A1691" s="208"/>
      <c r="B1691" s="208"/>
      <c r="C1691" s="209"/>
      <c r="D1691" s="209"/>
      <c r="E1691" s="209"/>
      <c r="F1691" s="209"/>
      <c r="G1691" s="210"/>
    </row>
    <row r="1692" spans="1:7" s="25" customFormat="1" ht="13.8" x14ac:dyDescent="0.3">
      <c r="A1692" s="208"/>
      <c r="B1692" s="208"/>
      <c r="C1692" s="209"/>
      <c r="D1692" s="209"/>
      <c r="E1692" s="209"/>
      <c r="F1692" s="209"/>
      <c r="G1692" s="210"/>
    </row>
    <row r="1693" spans="1:7" s="25" customFormat="1" ht="13.8" x14ac:dyDescent="0.3">
      <c r="A1693" s="208"/>
      <c r="B1693" s="208"/>
      <c r="C1693" s="209"/>
      <c r="D1693" s="209"/>
      <c r="E1693" s="209"/>
      <c r="F1693" s="209"/>
      <c r="G1693" s="210"/>
    </row>
    <row r="1694" spans="1:7" s="25" customFormat="1" ht="13.8" x14ac:dyDescent="0.3">
      <c r="A1694" s="208"/>
      <c r="B1694" s="208"/>
      <c r="C1694" s="209"/>
      <c r="D1694" s="209"/>
      <c r="E1694" s="209"/>
      <c r="F1694" s="209"/>
      <c r="G1694" s="210"/>
    </row>
    <row r="1695" spans="1:7" s="25" customFormat="1" ht="13.8" x14ac:dyDescent="0.3">
      <c r="A1695" s="208"/>
      <c r="B1695" s="208"/>
      <c r="C1695" s="209"/>
      <c r="D1695" s="209"/>
      <c r="E1695" s="209"/>
      <c r="F1695" s="209"/>
      <c r="G1695" s="210"/>
    </row>
    <row r="1696" spans="1:7" s="25" customFormat="1" ht="13.8" x14ac:dyDescent="0.3">
      <c r="A1696" s="208"/>
      <c r="B1696" s="208"/>
      <c r="C1696" s="209"/>
      <c r="D1696" s="209"/>
      <c r="E1696" s="209"/>
      <c r="F1696" s="209"/>
      <c r="G1696" s="210"/>
    </row>
    <row r="1697" spans="1:7" s="25" customFormat="1" ht="13.8" x14ac:dyDescent="0.3">
      <c r="A1697" s="208"/>
      <c r="B1697" s="208"/>
      <c r="C1697" s="209"/>
      <c r="D1697" s="209"/>
      <c r="E1697" s="209"/>
      <c r="F1697" s="209"/>
      <c r="G1697" s="210"/>
    </row>
    <row r="1698" spans="1:7" s="25" customFormat="1" ht="13.8" x14ac:dyDescent="0.3">
      <c r="A1698" s="208"/>
      <c r="B1698" s="208"/>
      <c r="C1698" s="209"/>
      <c r="D1698" s="209"/>
      <c r="E1698" s="209"/>
      <c r="F1698" s="209"/>
      <c r="G1698" s="210"/>
    </row>
    <row r="1699" spans="1:7" s="25" customFormat="1" ht="13.8" x14ac:dyDescent="0.3">
      <c r="A1699" s="208"/>
      <c r="B1699" s="208"/>
      <c r="C1699" s="209"/>
      <c r="D1699" s="209"/>
      <c r="E1699" s="209"/>
      <c r="F1699" s="209"/>
      <c r="G1699" s="210"/>
    </row>
    <row r="1700" spans="1:7" s="25" customFormat="1" ht="13.8" x14ac:dyDescent="0.3">
      <c r="A1700" s="208"/>
      <c r="B1700" s="208"/>
      <c r="C1700" s="209"/>
      <c r="D1700" s="209"/>
      <c r="E1700" s="209"/>
      <c r="F1700" s="209"/>
      <c r="G1700" s="210"/>
    </row>
    <row r="1701" spans="1:7" s="25" customFormat="1" ht="13.8" x14ac:dyDescent="0.3">
      <c r="A1701" s="208"/>
      <c r="B1701" s="208"/>
      <c r="C1701" s="209"/>
      <c r="D1701" s="209"/>
      <c r="E1701" s="209"/>
      <c r="F1701" s="209"/>
      <c r="G1701" s="210"/>
    </row>
    <row r="1702" spans="1:7" s="25" customFormat="1" ht="13.8" x14ac:dyDescent="0.3">
      <c r="A1702" s="208"/>
      <c r="B1702" s="208"/>
      <c r="C1702" s="209"/>
      <c r="D1702" s="209"/>
      <c r="E1702" s="209"/>
      <c r="F1702" s="209"/>
      <c r="G1702" s="210"/>
    </row>
    <row r="1703" spans="1:7" s="25" customFormat="1" ht="13.8" x14ac:dyDescent="0.3">
      <c r="A1703" s="208"/>
      <c r="B1703" s="208"/>
      <c r="C1703" s="209"/>
      <c r="D1703" s="209"/>
      <c r="E1703" s="209"/>
      <c r="F1703" s="209"/>
      <c r="G1703" s="210"/>
    </row>
    <row r="1704" spans="1:7" s="25" customFormat="1" ht="13.8" x14ac:dyDescent="0.3">
      <c r="A1704" s="208"/>
      <c r="B1704" s="208"/>
      <c r="C1704" s="209"/>
      <c r="D1704" s="209"/>
      <c r="E1704" s="209"/>
      <c r="F1704" s="209"/>
      <c r="G1704" s="210"/>
    </row>
    <row r="1705" spans="1:7" s="25" customFormat="1" ht="13.8" x14ac:dyDescent="0.3">
      <c r="A1705" s="208"/>
      <c r="B1705" s="208"/>
      <c r="C1705" s="209"/>
      <c r="D1705" s="209"/>
      <c r="E1705" s="209"/>
      <c r="F1705" s="209"/>
      <c r="G1705" s="210"/>
    </row>
    <row r="1706" spans="1:7" s="25" customFormat="1" ht="13.8" x14ac:dyDescent="0.3">
      <c r="A1706" s="208"/>
      <c r="B1706" s="208"/>
      <c r="C1706" s="209"/>
      <c r="D1706" s="209"/>
      <c r="E1706" s="209"/>
      <c r="F1706" s="209"/>
      <c r="G1706" s="210"/>
    </row>
    <row r="1707" spans="1:7" s="25" customFormat="1" ht="13.8" x14ac:dyDescent="0.3">
      <c r="A1707" s="208"/>
      <c r="B1707" s="208"/>
      <c r="C1707" s="209"/>
      <c r="D1707" s="209"/>
      <c r="E1707" s="209"/>
      <c r="F1707" s="209"/>
      <c r="G1707" s="210"/>
    </row>
    <row r="1708" spans="1:7" s="25" customFormat="1" ht="13.8" x14ac:dyDescent="0.3">
      <c r="A1708" s="208"/>
      <c r="B1708" s="208"/>
      <c r="C1708" s="209"/>
      <c r="D1708" s="209"/>
      <c r="E1708" s="209"/>
      <c r="F1708" s="209"/>
      <c r="G1708" s="210"/>
    </row>
    <row r="1709" spans="1:7" s="25" customFormat="1" ht="13.8" x14ac:dyDescent="0.3">
      <c r="A1709" s="208"/>
      <c r="B1709" s="208"/>
      <c r="C1709" s="209"/>
      <c r="D1709" s="209"/>
      <c r="E1709" s="209"/>
      <c r="F1709" s="209"/>
      <c r="G1709" s="210"/>
    </row>
    <row r="1710" spans="1:7" s="25" customFormat="1" ht="13.8" x14ac:dyDescent="0.3">
      <c r="A1710" s="208"/>
      <c r="B1710" s="208"/>
      <c r="C1710" s="209"/>
      <c r="D1710" s="209"/>
      <c r="E1710" s="209"/>
      <c r="F1710" s="209"/>
      <c r="G1710" s="210"/>
    </row>
    <row r="1711" spans="1:7" s="25" customFormat="1" ht="13.8" x14ac:dyDescent="0.3">
      <c r="A1711" s="208"/>
      <c r="B1711" s="208"/>
      <c r="C1711" s="209"/>
      <c r="D1711" s="209"/>
      <c r="E1711" s="209"/>
      <c r="F1711" s="209"/>
      <c r="G1711" s="210"/>
    </row>
    <row r="1712" spans="1:7" s="25" customFormat="1" ht="13.8" x14ac:dyDescent="0.3">
      <c r="A1712" s="208"/>
      <c r="B1712" s="208"/>
      <c r="C1712" s="209"/>
      <c r="D1712" s="209"/>
      <c r="E1712" s="209"/>
      <c r="F1712" s="209"/>
      <c r="G1712" s="210"/>
    </row>
    <row r="1713" spans="1:7" s="25" customFormat="1" ht="13.8" x14ac:dyDescent="0.3">
      <c r="A1713" s="208"/>
      <c r="B1713" s="208"/>
      <c r="C1713" s="209"/>
      <c r="D1713" s="209"/>
      <c r="E1713" s="209"/>
      <c r="F1713" s="209"/>
      <c r="G1713" s="210"/>
    </row>
    <row r="1714" spans="1:7" s="25" customFormat="1" ht="13.8" x14ac:dyDescent="0.3">
      <c r="A1714" s="208"/>
      <c r="B1714" s="208"/>
      <c r="C1714" s="209"/>
      <c r="D1714" s="209"/>
      <c r="E1714" s="209"/>
      <c r="F1714" s="209"/>
      <c r="G1714" s="210"/>
    </row>
    <row r="1715" spans="1:7" s="25" customFormat="1" ht="13.8" x14ac:dyDescent="0.3">
      <c r="A1715" s="208"/>
      <c r="B1715" s="208"/>
      <c r="C1715" s="209"/>
      <c r="D1715" s="209"/>
      <c r="E1715" s="209"/>
      <c r="F1715" s="209"/>
      <c r="G1715" s="210"/>
    </row>
    <row r="1716" spans="1:7" s="25" customFormat="1" ht="13.8" x14ac:dyDescent="0.3">
      <c r="A1716" s="208"/>
      <c r="B1716" s="208"/>
      <c r="C1716" s="209"/>
      <c r="D1716" s="209"/>
      <c r="E1716" s="209"/>
      <c r="F1716" s="209"/>
      <c r="G1716" s="210"/>
    </row>
    <row r="1717" spans="1:7" s="25" customFormat="1" ht="13.8" x14ac:dyDescent="0.3">
      <c r="A1717" s="208"/>
      <c r="B1717" s="208"/>
      <c r="C1717" s="209"/>
      <c r="D1717" s="209"/>
      <c r="E1717" s="209"/>
      <c r="F1717" s="209"/>
      <c r="G1717" s="210"/>
    </row>
    <row r="1718" spans="1:7" s="25" customFormat="1" ht="13.8" x14ac:dyDescent="0.3">
      <c r="A1718" s="208"/>
      <c r="B1718" s="208"/>
      <c r="C1718" s="209"/>
      <c r="D1718" s="209"/>
      <c r="E1718" s="209"/>
      <c r="F1718" s="209"/>
      <c r="G1718" s="210"/>
    </row>
    <row r="1719" spans="1:7" s="25" customFormat="1" ht="13.8" x14ac:dyDescent="0.3">
      <c r="A1719" s="208"/>
      <c r="B1719" s="208"/>
      <c r="C1719" s="209"/>
      <c r="D1719" s="209"/>
      <c r="E1719" s="209"/>
      <c r="F1719" s="209"/>
      <c r="G1719" s="210"/>
    </row>
    <row r="1720" spans="1:7" s="25" customFormat="1" ht="13.8" x14ac:dyDescent="0.3">
      <c r="A1720" s="208"/>
      <c r="B1720" s="208"/>
      <c r="C1720" s="209"/>
      <c r="D1720" s="209"/>
      <c r="E1720" s="209"/>
      <c r="F1720" s="209"/>
      <c r="G1720" s="210"/>
    </row>
    <row r="1721" spans="1:7" s="25" customFormat="1" ht="13.8" x14ac:dyDescent="0.3">
      <c r="A1721" s="208"/>
      <c r="B1721" s="208"/>
      <c r="C1721" s="209"/>
      <c r="D1721" s="209"/>
      <c r="E1721" s="209"/>
      <c r="F1721" s="209"/>
      <c r="G1721" s="210"/>
    </row>
    <row r="1722" spans="1:7" s="25" customFormat="1" ht="13.8" x14ac:dyDescent="0.3">
      <c r="A1722" s="208"/>
      <c r="B1722" s="208"/>
      <c r="C1722" s="209"/>
      <c r="D1722" s="209"/>
      <c r="E1722" s="209"/>
      <c r="F1722" s="209"/>
      <c r="G1722" s="210"/>
    </row>
    <row r="1723" spans="1:7" s="25" customFormat="1" ht="13.8" x14ac:dyDescent="0.3">
      <c r="A1723" s="208"/>
      <c r="B1723" s="208"/>
      <c r="C1723" s="209"/>
      <c r="D1723" s="209"/>
      <c r="E1723" s="209"/>
      <c r="F1723" s="209"/>
      <c r="G1723" s="210"/>
    </row>
    <row r="1724" spans="1:7" s="25" customFormat="1" ht="13.8" x14ac:dyDescent="0.3">
      <c r="A1724" s="208"/>
      <c r="B1724" s="208"/>
      <c r="C1724" s="209"/>
      <c r="D1724" s="209"/>
      <c r="E1724" s="209"/>
      <c r="F1724" s="209"/>
      <c r="G1724" s="210"/>
    </row>
    <row r="1725" spans="1:7" s="25" customFormat="1" ht="13.8" x14ac:dyDescent="0.3">
      <c r="A1725" s="208"/>
      <c r="B1725" s="208"/>
      <c r="C1725" s="209"/>
      <c r="D1725" s="209"/>
      <c r="E1725" s="209"/>
      <c r="F1725" s="209"/>
      <c r="G1725" s="210"/>
    </row>
    <row r="1726" spans="1:7" s="25" customFormat="1" ht="13.8" x14ac:dyDescent="0.3">
      <c r="A1726" s="208"/>
      <c r="B1726" s="208"/>
      <c r="C1726" s="209"/>
      <c r="D1726" s="209"/>
      <c r="E1726" s="209"/>
      <c r="F1726" s="209"/>
      <c r="G1726" s="210"/>
    </row>
    <row r="1727" spans="1:7" s="25" customFormat="1" ht="13.8" x14ac:dyDescent="0.3">
      <c r="A1727" s="208"/>
      <c r="B1727" s="208"/>
      <c r="C1727" s="209"/>
      <c r="D1727" s="209"/>
      <c r="E1727" s="209"/>
      <c r="F1727" s="209"/>
      <c r="G1727" s="210"/>
    </row>
    <row r="1728" spans="1:7" s="25" customFormat="1" ht="13.8" x14ac:dyDescent="0.3">
      <c r="A1728" s="208"/>
      <c r="B1728" s="208"/>
      <c r="C1728" s="209"/>
      <c r="D1728" s="209"/>
      <c r="E1728" s="209"/>
      <c r="F1728" s="209"/>
      <c r="G1728" s="210"/>
    </row>
    <row r="1729" spans="1:7" s="25" customFormat="1" ht="13.8" x14ac:dyDescent="0.3">
      <c r="A1729" s="208"/>
      <c r="B1729" s="208"/>
      <c r="C1729" s="209"/>
      <c r="D1729" s="209"/>
      <c r="E1729" s="209"/>
      <c r="F1729" s="209"/>
      <c r="G1729" s="210"/>
    </row>
    <row r="1730" spans="1:7" s="25" customFormat="1" ht="13.8" x14ac:dyDescent="0.3">
      <c r="A1730" s="208"/>
      <c r="B1730" s="208"/>
      <c r="C1730" s="209"/>
      <c r="D1730" s="209"/>
      <c r="E1730" s="209"/>
      <c r="F1730" s="209"/>
      <c r="G1730" s="210"/>
    </row>
    <row r="1731" spans="1:7" s="25" customFormat="1" ht="13.8" x14ac:dyDescent="0.3">
      <c r="A1731" s="208"/>
      <c r="B1731" s="208"/>
      <c r="C1731" s="209"/>
      <c r="D1731" s="209"/>
      <c r="E1731" s="209"/>
      <c r="F1731" s="209"/>
      <c r="G1731" s="210"/>
    </row>
    <row r="1732" spans="1:7" s="25" customFormat="1" ht="13.8" x14ac:dyDescent="0.3">
      <c r="A1732" s="208"/>
      <c r="B1732" s="208"/>
      <c r="C1732" s="209"/>
      <c r="D1732" s="209"/>
      <c r="E1732" s="209"/>
      <c r="F1732" s="209"/>
      <c r="G1732" s="210"/>
    </row>
    <row r="1733" spans="1:7" s="25" customFormat="1" ht="13.8" x14ac:dyDescent="0.3">
      <c r="A1733" s="208"/>
      <c r="B1733" s="208"/>
      <c r="C1733" s="209"/>
      <c r="D1733" s="209"/>
      <c r="E1733" s="209"/>
      <c r="F1733" s="209"/>
      <c r="G1733" s="210"/>
    </row>
    <row r="1734" spans="1:7" s="25" customFormat="1" ht="13.8" x14ac:dyDescent="0.3">
      <c r="A1734" s="208"/>
      <c r="B1734" s="208"/>
      <c r="C1734" s="209"/>
      <c r="D1734" s="209"/>
      <c r="E1734" s="209"/>
      <c r="F1734" s="209"/>
      <c r="G1734" s="210"/>
    </row>
    <row r="1735" spans="1:7" s="25" customFormat="1" ht="13.8" x14ac:dyDescent="0.3">
      <c r="A1735" s="208"/>
      <c r="B1735" s="208"/>
      <c r="C1735" s="209"/>
      <c r="D1735" s="209"/>
      <c r="E1735" s="209"/>
      <c r="F1735" s="209"/>
      <c r="G1735" s="210"/>
    </row>
    <row r="1736" spans="1:7" s="25" customFormat="1" ht="13.8" x14ac:dyDescent="0.3">
      <c r="A1736" s="208"/>
      <c r="B1736" s="208"/>
      <c r="C1736" s="209"/>
      <c r="D1736" s="209"/>
      <c r="E1736" s="209"/>
      <c r="F1736" s="209"/>
      <c r="G1736" s="210"/>
    </row>
    <row r="1737" spans="1:7" s="25" customFormat="1" ht="13.8" x14ac:dyDescent="0.3">
      <c r="A1737" s="208"/>
      <c r="B1737" s="208"/>
      <c r="C1737" s="209"/>
      <c r="D1737" s="209"/>
      <c r="E1737" s="209"/>
      <c r="F1737" s="209"/>
      <c r="G1737" s="210"/>
    </row>
    <row r="1738" spans="1:7" s="25" customFormat="1" ht="13.8" x14ac:dyDescent="0.3">
      <c r="A1738" s="208"/>
      <c r="B1738" s="208"/>
      <c r="C1738" s="209"/>
      <c r="D1738" s="209"/>
      <c r="E1738" s="209"/>
      <c r="F1738" s="209"/>
      <c r="G1738" s="210"/>
    </row>
    <row r="1739" spans="1:7" s="25" customFormat="1" ht="13.8" x14ac:dyDescent="0.3">
      <c r="A1739" s="208"/>
      <c r="B1739" s="208"/>
      <c r="C1739" s="209"/>
      <c r="D1739" s="209"/>
      <c r="E1739" s="209"/>
      <c r="F1739" s="209"/>
      <c r="G1739" s="210"/>
    </row>
    <row r="1740" spans="1:7" s="25" customFormat="1" ht="13.8" x14ac:dyDescent="0.3">
      <c r="A1740" s="208"/>
      <c r="B1740" s="208"/>
      <c r="C1740" s="209"/>
      <c r="D1740" s="209"/>
      <c r="E1740" s="209"/>
      <c r="F1740" s="209"/>
      <c r="G1740" s="210"/>
    </row>
    <row r="1741" spans="1:7" s="25" customFormat="1" ht="13.8" x14ac:dyDescent="0.3">
      <c r="A1741" s="208"/>
      <c r="B1741" s="208"/>
      <c r="C1741" s="209"/>
      <c r="D1741" s="209"/>
      <c r="E1741" s="209"/>
      <c r="F1741" s="209"/>
      <c r="G1741" s="210"/>
    </row>
    <row r="1742" spans="1:7" s="25" customFormat="1" ht="13.8" x14ac:dyDescent="0.3">
      <c r="A1742" s="208"/>
      <c r="B1742" s="208"/>
      <c r="C1742" s="209"/>
      <c r="D1742" s="209"/>
      <c r="E1742" s="209"/>
      <c r="F1742" s="209"/>
      <c r="G1742" s="210"/>
    </row>
    <row r="1743" spans="1:7" s="25" customFormat="1" ht="13.8" x14ac:dyDescent="0.3">
      <c r="A1743" s="208"/>
      <c r="B1743" s="208"/>
      <c r="C1743" s="209"/>
      <c r="D1743" s="209"/>
      <c r="E1743" s="209"/>
      <c r="F1743" s="209"/>
      <c r="G1743" s="210"/>
    </row>
    <row r="1744" spans="1:7" s="25" customFormat="1" ht="13.8" x14ac:dyDescent="0.3">
      <c r="A1744" s="208"/>
      <c r="B1744" s="208"/>
      <c r="C1744" s="209"/>
      <c r="D1744" s="209"/>
      <c r="E1744" s="209"/>
      <c r="F1744" s="209"/>
      <c r="G1744" s="210"/>
    </row>
    <row r="1745" spans="1:7" s="25" customFormat="1" ht="13.8" x14ac:dyDescent="0.3">
      <c r="A1745" s="208"/>
      <c r="B1745" s="208"/>
      <c r="C1745" s="209"/>
      <c r="D1745" s="209"/>
      <c r="E1745" s="209"/>
      <c r="F1745" s="209"/>
      <c r="G1745" s="210"/>
    </row>
    <row r="1746" spans="1:7" s="25" customFormat="1" ht="13.8" x14ac:dyDescent="0.3">
      <c r="A1746" s="208"/>
      <c r="B1746" s="208"/>
      <c r="C1746" s="209"/>
      <c r="D1746" s="209"/>
      <c r="E1746" s="209"/>
      <c r="F1746" s="209"/>
      <c r="G1746" s="210"/>
    </row>
    <row r="1747" spans="1:7" s="25" customFormat="1" ht="13.8" x14ac:dyDescent="0.3">
      <c r="A1747" s="208"/>
      <c r="B1747" s="208"/>
      <c r="C1747" s="209"/>
      <c r="D1747" s="209"/>
      <c r="E1747" s="209"/>
      <c r="F1747" s="209"/>
      <c r="G1747" s="210"/>
    </row>
    <row r="1748" spans="1:7" s="25" customFormat="1" ht="13.8" x14ac:dyDescent="0.3">
      <c r="A1748" s="208"/>
      <c r="B1748" s="208"/>
      <c r="C1748" s="209"/>
      <c r="D1748" s="209"/>
      <c r="E1748" s="209"/>
      <c r="F1748" s="209"/>
      <c r="G1748" s="210"/>
    </row>
    <row r="1749" spans="1:7" s="25" customFormat="1" ht="13.8" x14ac:dyDescent="0.3">
      <c r="A1749" s="208"/>
      <c r="B1749" s="208"/>
      <c r="C1749" s="209"/>
      <c r="D1749" s="209"/>
      <c r="E1749" s="209"/>
      <c r="F1749" s="209"/>
      <c r="G1749" s="210"/>
    </row>
    <row r="1750" spans="1:7" s="25" customFormat="1" ht="13.8" x14ac:dyDescent="0.3">
      <c r="A1750" s="208"/>
      <c r="B1750" s="208"/>
      <c r="C1750" s="209"/>
      <c r="D1750" s="209"/>
      <c r="E1750" s="209"/>
      <c r="F1750" s="209"/>
      <c r="G1750" s="210"/>
    </row>
    <row r="1751" spans="1:7" s="25" customFormat="1" ht="13.8" x14ac:dyDescent="0.3">
      <c r="A1751" s="208"/>
      <c r="B1751" s="208"/>
      <c r="C1751" s="209"/>
      <c r="D1751" s="209"/>
      <c r="E1751" s="209"/>
      <c r="F1751" s="209"/>
      <c r="G1751" s="210"/>
    </row>
    <row r="1752" spans="1:7" s="25" customFormat="1" ht="13.8" x14ac:dyDescent="0.3">
      <c r="A1752" s="208"/>
      <c r="B1752" s="208"/>
      <c r="C1752" s="209"/>
      <c r="D1752" s="209"/>
      <c r="E1752" s="209"/>
      <c r="F1752" s="209"/>
      <c r="G1752" s="210"/>
    </row>
    <row r="1753" spans="1:7" s="25" customFormat="1" ht="13.8" x14ac:dyDescent="0.3">
      <c r="A1753" s="208"/>
      <c r="B1753" s="208"/>
      <c r="C1753" s="209"/>
      <c r="D1753" s="209"/>
      <c r="E1753" s="209"/>
      <c r="F1753" s="209"/>
      <c r="G1753" s="210"/>
    </row>
    <row r="1754" spans="1:7" s="25" customFormat="1" ht="13.8" x14ac:dyDescent="0.3">
      <c r="A1754" s="208"/>
      <c r="B1754" s="208"/>
      <c r="C1754" s="209"/>
      <c r="D1754" s="209"/>
      <c r="E1754" s="209"/>
      <c r="F1754" s="209"/>
      <c r="G1754" s="210"/>
    </row>
    <row r="1755" spans="1:7" s="25" customFormat="1" ht="13.8" x14ac:dyDescent="0.3">
      <c r="A1755" s="208"/>
      <c r="B1755" s="208"/>
      <c r="C1755" s="209"/>
      <c r="D1755" s="209"/>
      <c r="E1755" s="209"/>
      <c r="F1755" s="209"/>
      <c r="G1755" s="210"/>
    </row>
    <row r="1756" spans="1:7" s="25" customFormat="1" ht="13.8" x14ac:dyDescent="0.3">
      <c r="A1756" s="208"/>
      <c r="B1756" s="208"/>
      <c r="C1756" s="209"/>
      <c r="D1756" s="209"/>
      <c r="E1756" s="209"/>
      <c r="F1756" s="209"/>
      <c r="G1756" s="210"/>
    </row>
    <row r="1757" spans="1:7" s="25" customFormat="1" ht="13.8" x14ac:dyDescent="0.3">
      <c r="A1757" s="208"/>
      <c r="B1757" s="208"/>
      <c r="C1757" s="209"/>
      <c r="D1757" s="209"/>
      <c r="E1757" s="209"/>
      <c r="F1757" s="209"/>
      <c r="G1757" s="210"/>
    </row>
    <row r="1758" spans="1:7" s="25" customFormat="1" ht="13.8" x14ac:dyDescent="0.3">
      <c r="A1758" s="208"/>
      <c r="B1758" s="208"/>
      <c r="C1758" s="209"/>
      <c r="D1758" s="209"/>
      <c r="E1758" s="209"/>
      <c r="F1758" s="209"/>
      <c r="G1758" s="210"/>
    </row>
    <row r="1759" spans="1:7" s="25" customFormat="1" ht="13.8" x14ac:dyDescent="0.3">
      <c r="A1759" s="208"/>
      <c r="B1759" s="208"/>
      <c r="C1759" s="209"/>
      <c r="D1759" s="209"/>
      <c r="E1759" s="209"/>
      <c r="F1759" s="209"/>
      <c r="G1759" s="210"/>
    </row>
    <row r="1760" spans="1:7" s="25" customFormat="1" ht="13.8" x14ac:dyDescent="0.3">
      <c r="A1760" s="208"/>
      <c r="B1760" s="208"/>
      <c r="C1760" s="209"/>
      <c r="D1760" s="209"/>
      <c r="E1760" s="209"/>
      <c r="F1760" s="209"/>
      <c r="G1760" s="210"/>
    </row>
    <row r="1761" spans="1:7" s="25" customFormat="1" ht="13.8" x14ac:dyDescent="0.3">
      <c r="A1761" s="208"/>
      <c r="B1761" s="208"/>
      <c r="C1761" s="209"/>
      <c r="D1761" s="209"/>
      <c r="E1761" s="209"/>
      <c r="F1761" s="209"/>
      <c r="G1761" s="210"/>
    </row>
    <row r="1762" spans="1:7" s="25" customFormat="1" ht="13.8" x14ac:dyDescent="0.3">
      <c r="A1762" s="208"/>
      <c r="B1762" s="208"/>
      <c r="C1762" s="209"/>
      <c r="D1762" s="209"/>
      <c r="E1762" s="209"/>
      <c r="F1762" s="209"/>
      <c r="G1762" s="210"/>
    </row>
    <row r="1763" spans="1:7" s="25" customFormat="1" ht="13.8" x14ac:dyDescent="0.3">
      <c r="A1763" s="208"/>
      <c r="B1763" s="208"/>
      <c r="C1763" s="209"/>
      <c r="D1763" s="209"/>
      <c r="E1763" s="209"/>
      <c r="F1763" s="209"/>
      <c r="G1763" s="210"/>
    </row>
    <row r="1764" spans="1:7" s="25" customFormat="1" ht="13.8" x14ac:dyDescent="0.3">
      <c r="A1764" s="208"/>
      <c r="B1764" s="208"/>
      <c r="C1764" s="209"/>
      <c r="D1764" s="209"/>
      <c r="E1764" s="209"/>
      <c r="F1764" s="209"/>
      <c r="G1764" s="210"/>
    </row>
    <row r="1765" spans="1:7" s="25" customFormat="1" ht="13.8" x14ac:dyDescent="0.3">
      <c r="A1765" s="208"/>
      <c r="B1765" s="208"/>
      <c r="C1765" s="209"/>
      <c r="D1765" s="209"/>
      <c r="E1765" s="209"/>
      <c r="F1765" s="209"/>
      <c r="G1765" s="210"/>
    </row>
    <row r="1766" spans="1:7" s="25" customFormat="1" ht="13.8" x14ac:dyDescent="0.3">
      <c r="A1766" s="208"/>
      <c r="B1766" s="208"/>
      <c r="C1766" s="209"/>
      <c r="D1766" s="209"/>
      <c r="E1766" s="209"/>
      <c r="F1766" s="209"/>
      <c r="G1766" s="210"/>
    </row>
    <row r="1767" spans="1:7" s="25" customFormat="1" ht="13.8" x14ac:dyDescent="0.3">
      <c r="A1767" s="208"/>
      <c r="B1767" s="208"/>
      <c r="C1767" s="209"/>
      <c r="D1767" s="209"/>
      <c r="E1767" s="209"/>
      <c r="F1767" s="209"/>
      <c r="G1767" s="210"/>
    </row>
    <row r="1768" spans="1:7" s="25" customFormat="1" ht="13.8" x14ac:dyDescent="0.3">
      <c r="A1768" s="208"/>
      <c r="B1768" s="208"/>
      <c r="C1768" s="209"/>
      <c r="D1768" s="209"/>
      <c r="E1768" s="209"/>
      <c r="F1768" s="209"/>
      <c r="G1768" s="210"/>
    </row>
    <row r="1769" spans="1:7" s="25" customFormat="1" ht="13.8" x14ac:dyDescent="0.3">
      <c r="A1769" s="208"/>
      <c r="B1769" s="208"/>
      <c r="C1769" s="209"/>
      <c r="D1769" s="209"/>
      <c r="E1769" s="209"/>
      <c r="F1769" s="209"/>
      <c r="G1769" s="210"/>
    </row>
    <row r="1770" spans="1:7" s="25" customFormat="1" ht="13.8" x14ac:dyDescent="0.3">
      <c r="A1770" s="208"/>
      <c r="B1770" s="208"/>
      <c r="C1770" s="209"/>
      <c r="D1770" s="209"/>
      <c r="E1770" s="209"/>
      <c r="F1770" s="209"/>
      <c r="G1770" s="210"/>
    </row>
    <row r="1771" spans="1:7" s="25" customFormat="1" ht="13.8" x14ac:dyDescent="0.3">
      <c r="A1771" s="208"/>
      <c r="B1771" s="208"/>
      <c r="C1771" s="209"/>
      <c r="D1771" s="209"/>
      <c r="E1771" s="209"/>
      <c r="F1771" s="209"/>
      <c r="G1771" s="210"/>
    </row>
    <row r="1772" spans="1:7" s="25" customFormat="1" ht="13.8" x14ac:dyDescent="0.3">
      <c r="A1772" s="208"/>
      <c r="B1772" s="208"/>
      <c r="C1772" s="209"/>
      <c r="D1772" s="209"/>
      <c r="E1772" s="209"/>
      <c r="F1772" s="209"/>
      <c r="G1772" s="210"/>
    </row>
    <row r="1773" spans="1:7" s="25" customFormat="1" ht="13.8" x14ac:dyDescent="0.3">
      <c r="A1773" s="208"/>
      <c r="B1773" s="208"/>
      <c r="C1773" s="209"/>
      <c r="D1773" s="209"/>
      <c r="E1773" s="209"/>
      <c r="F1773" s="209"/>
      <c r="G1773" s="210"/>
    </row>
    <row r="1774" spans="1:7" s="25" customFormat="1" ht="13.8" x14ac:dyDescent="0.3">
      <c r="A1774" s="208"/>
      <c r="B1774" s="208"/>
      <c r="C1774" s="209"/>
      <c r="D1774" s="209"/>
      <c r="E1774" s="209"/>
      <c r="F1774" s="209"/>
      <c r="G1774" s="210"/>
    </row>
    <row r="1775" spans="1:7" s="25" customFormat="1" ht="13.8" x14ac:dyDescent="0.3">
      <c r="A1775" s="208"/>
      <c r="B1775" s="208"/>
      <c r="C1775" s="209"/>
      <c r="D1775" s="209"/>
      <c r="E1775" s="209"/>
      <c r="F1775" s="209"/>
      <c r="G1775" s="210"/>
    </row>
    <row r="1776" spans="1:7" s="25" customFormat="1" ht="13.8" x14ac:dyDescent="0.3">
      <c r="A1776" s="208"/>
      <c r="B1776" s="208"/>
      <c r="C1776" s="209"/>
      <c r="D1776" s="209"/>
      <c r="E1776" s="209"/>
      <c r="F1776" s="209"/>
      <c r="G1776" s="210"/>
    </row>
    <row r="1777" spans="1:7" s="25" customFormat="1" ht="13.8" x14ac:dyDescent="0.3">
      <c r="A1777" s="208"/>
      <c r="B1777" s="208"/>
      <c r="C1777" s="209"/>
      <c r="D1777" s="209"/>
      <c r="E1777" s="209"/>
      <c r="F1777" s="209"/>
      <c r="G1777" s="210"/>
    </row>
    <row r="1778" spans="1:7" s="25" customFormat="1" ht="13.8" x14ac:dyDescent="0.3">
      <c r="A1778" s="208"/>
      <c r="B1778" s="208"/>
      <c r="C1778" s="209"/>
      <c r="D1778" s="209"/>
      <c r="E1778" s="209"/>
      <c r="F1778" s="209"/>
      <c r="G1778" s="210"/>
    </row>
    <row r="1779" spans="1:7" s="25" customFormat="1" ht="13.8" x14ac:dyDescent="0.3">
      <c r="A1779" s="208"/>
      <c r="B1779" s="208"/>
      <c r="C1779" s="209"/>
      <c r="D1779" s="209"/>
      <c r="E1779" s="209"/>
      <c r="F1779" s="209"/>
      <c r="G1779" s="210"/>
    </row>
    <row r="1780" spans="1:7" s="25" customFormat="1" ht="13.8" x14ac:dyDescent="0.3">
      <c r="A1780" s="208"/>
      <c r="B1780" s="208"/>
      <c r="C1780" s="209"/>
      <c r="D1780" s="209"/>
      <c r="E1780" s="209"/>
      <c r="F1780" s="209"/>
      <c r="G1780" s="210"/>
    </row>
    <row r="1781" spans="1:7" s="25" customFormat="1" ht="13.8" x14ac:dyDescent="0.3">
      <c r="A1781" s="208"/>
      <c r="B1781" s="208"/>
      <c r="C1781" s="209"/>
      <c r="D1781" s="209"/>
      <c r="E1781" s="209"/>
      <c r="F1781" s="209"/>
      <c r="G1781" s="210"/>
    </row>
    <row r="1782" spans="1:7" s="25" customFormat="1" ht="13.8" x14ac:dyDescent="0.3">
      <c r="A1782" s="208"/>
      <c r="B1782" s="208"/>
      <c r="C1782" s="209"/>
      <c r="D1782" s="209"/>
      <c r="E1782" s="209"/>
      <c r="F1782" s="209"/>
      <c r="G1782" s="210"/>
    </row>
    <row r="1783" spans="1:7" s="25" customFormat="1" ht="13.8" x14ac:dyDescent="0.3">
      <c r="A1783" s="208"/>
      <c r="B1783" s="208"/>
      <c r="C1783" s="209"/>
      <c r="D1783" s="209"/>
      <c r="E1783" s="209"/>
      <c r="F1783" s="209"/>
      <c r="G1783" s="210"/>
    </row>
    <row r="1784" spans="1:7" s="25" customFormat="1" ht="13.8" x14ac:dyDescent="0.3">
      <c r="A1784" s="208"/>
      <c r="B1784" s="208"/>
      <c r="C1784" s="209"/>
      <c r="D1784" s="209"/>
      <c r="E1784" s="209"/>
      <c r="F1784" s="209"/>
      <c r="G1784" s="210"/>
    </row>
    <row r="1785" spans="1:7" s="25" customFormat="1" ht="13.8" x14ac:dyDescent="0.3">
      <c r="A1785" s="208"/>
      <c r="B1785" s="208"/>
      <c r="C1785" s="209"/>
      <c r="D1785" s="209"/>
      <c r="E1785" s="209"/>
      <c r="F1785" s="209"/>
      <c r="G1785" s="210"/>
    </row>
    <row r="1786" spans="1:7" s="25" customFormat="1" ht="13.8" x14ac:dyDescent="0.3">
      <c r="A1786" s="208"/>
      <c r="B1786" s="208"/>
      <c r="C1786" s="209"/>
      <c r="D1786" s="209"/>
      <c r="E1786" s="209"/>
      <c r="F1786" s="209"/>
      <c r="G1786" s="210"/>
    </row>
    <row r="1787" spans="1:7" s="25" customFormat="1" ht="13.8" x14ac:dyDescent="0.3">
      <c r="A1787" s="208"/>
      <c r="B1787" s="208"/>
      <c r="C1787" s="209"/>
      <c r="D1787" s="209"/>
      <c r="E1787" s="209"/>
      <c r="F1787" s="209"/>
      <c r="G1787" s="210"/>
    </row>
    <row r="1788" spans="1:7" s="25" customFormat="1" ht="13.8" x14ac:dyDescent="0.3">
      <c r="A1788" s="208"/>
      <c r="B1788" s="208"/>
      <c r="C1788" s="209"/>
      <c r="D1788" s="209"/>
      <c r="E1788" s="209"/>
      <c r="F1788" s="209"/>
      <c r="G1788" s="210"/>
    </row>
    <row r="1789" spans="1:7" s="25" customFormat="1" ht="13.8" x14ac:dyDescent="0.3">
      <c r="A1789" s="208"/>
      <c r="B1789" s="208"/>
      <c r="C1789" s="209"/>
      <c r="D1789" s="209"/>
      <c r="E1789" s="209"/>
      <c r="F1789" s="209"/>
      <c r="G1789" s="210"/>
    </row>
    <row r="1790" spans="1:7" s="25" customFormat="1" ht="13.8" x14ac:dyDescent="0.3">
      <c r="A1790" s="208"/>
      <c r="B1790" s="208"/>
      <c r="C1790" s="209"/>
      <c r="D1790" s="209"/>
      <c r="E1790" s="209"/>
      <c r="F1790" s="209"/>
      <c r="G1790" s="210"/>
    </row>
    <row r="1791" spans="1:7" s="25" customFormat="1" ht="13.8" x14ac:dyDescent="0.3">
      <c r="A1791" s="208"/>
      <c r="B1791" s="208"/>
      <c r="C1791" s="209"/>
      <c r="D1791" s="209"/>
      <c r="E1791" s="209"/>
      <c r="F1791" s="209"/>
      <c r="G1791" s="210"/>
    </row>
    <row r="1792" spans="1:7" s="25" customFormat="1" ht="13.8" x14ac:dyDescent="0.3">
      <c r="A1792" s="208"/>
      <c r="B1792" s="208"/>
      <c r="C1792" s="209"/>
      <c r="D1792" s="209"/>
      <c r="E1792" s="209"/>
      <c r="F1792" s="209"/>
      <c r="G1792" s="210"/>
    </row>
    <row r="1793" spans="1:7" s="25" customFormat="1" ht="13.8" x14ac:dyDescent="0.3">
      <c r="A1793" s="208"/>
      <c r="B1793" s="208"/>
      <c r="C1793" s="209"/>
      <c r="D1793" s="209"/>
      <c r="E1793" s="209"/>
      <c r="F1793" s="209"/>
      <c r="G1793" s="210"/>
    </row>
    <row r="1794" spans="1:7" s="25" customFormat="1" ht="13.8" x14ac:dyDescent="0.3">
      <c r="A1794" s="208"/>
      <c r="B1794" s="208"/>
      <c r="C1794" s="209"/>
      <c r="D1794" s="209"/>
      <c r="E1794" s="209"/>
      <c r="F1794" s="209"/>
      <c r="G1794" s="210"/>
    </row>
    <row r="1795" spans="1:7" s="25" customFormat="1" ht="13.8" x14ac:dyDescent="0.3">
      <c r="A1795" s="208"/>
      <c r="B1795" s="208"/>
      <c r="C1795" s="209"/>
      <c r="D1795" s="209"/>
      <c r="E1795" s="209"/>
      <c r="F1795" s="209"/>
      <c r="G1795" s="210"/>
    </row>
    <row r="1796" spans="1:7" s="25" customFormat="1" ht="13.8" x14ac:dyDescent="0.3">
      <c r="A1796" s="208"/>
      <c r="B1796" s="208"/>
      <c r="C1796" s="209"/>
      <c r="D1796" s="209"/>
      <c r="E1796" s="209"/>
      <c r="F1796" s="209"/>
      <c r="G1796" s="210"/>
    </row>
    <row r="1797" spans="1:7" s="25" customFormat="1" ht="13.8" x14ac:dyDescent="0.3">
      <c r="A1797" s="208"/>
      <c r="B1797" s="208"/>
      <c r="C1797" s="209"/>
      <c r="D1797" s="209"/>
      <c r="E1797" s="209"/>
      <c r="F1797" s="209"/>
      <c r="G1797" s="210"/>
    </row>
    <row r="1798" spans="1:7" s="25" customFormat="1" ht="13.8" x14ac:dyDescent="0.3">
      <c r="A1798" s="208"/>
      <c r="B1798" s="208"/>
      <c r="C1798" s="209"/>
      <c r="D1798" s="209"/>
      <c r="E1798" s="209"/>
      <c r="F1798" s="209"/>
      <c r="G1798" s="210"/>
    </row>
    <row r="1799" spans="1:7" s="25" customFormat="1" ht="13.8" x14ac:dyDescent="0.3">
      <c r="A1799" s="208"/>
      <c r="B1799" s="208"/>
      <c r="C1799" s="209"/>
      <c r="D1799" s="209"/>
      <c r="E1799" s="209"/>
      <c r="F1799" s="209"/>
      <c r="G1799" s="210"/>
    </row>
    <row r="1800" spans="1:7" s="25" customFormat="1" ht="13.8" x14ac:dyDescent="0.3">
      <c r="A1800" s="208"/>
      <c r="B1800" s="208"/>
      <c r="C1800" s="209"/>
      <c r="D1800" s="209"/>
      <c r="E1800" s="209"/>
      <c r="F1800" s="209"/>
      <c r="G1800" s="210"/>
    </row>
    <row r="1801" spans="1:7" s="25" customFormat="1" ht="13.8" x14ac:dyDescent="0.3">
      <c r="A1801" s="208"/>
      <c r="B1801" s="208"/>
      <c r="C1801" s="209"/>
      <c r="D1801" s="209"/>
      <c r="E1801" s="209"/>
      <c r="F1801" s="209"/>
      <c r="G1801" s="210"/>
    </row>
    <row r="1802" spans="1:7" s="25" customFormat="1" ht="13.8" x14ac:dyDescent="0.3">
      <c r="A1802" s="208"/>
      <c r="B1802" s="208"/>
      <c r="C1802" s="209"/>
      <c r="D1802" s="209"/>
      <c r="E1802" s="209"/>
      <c r="F1802" s="209"/>
      <c r="G1802" s="210"/>
    </row>
    <row r="1803" spans="1:7" s="25" customFormat="1" ht="13.8" x14ac:dyDescent="0.3">
      <c r="A1803" s="208"/>
      <c r="B1803" s="208"/>
      <c r="C1803" s="209"/>
      <c r="D1803" s="209"/>
      <c r="E1803" s="209"/>
      <c r="F1803" s="209"/>
      <c r="G1803" s="210"/>
    </row>
    <row r="1804" spans="1:7" s="25" customFormat="1" ht="13.8" x14ac:dyDescent="0.3">
      <c r="A1804" s="208"/>
      <c r="B1804" s="208"/>
      <c r="C1804" s="209"/>
      <c r="D1804" s="209"/>
      <c r="E1804" s="209"/>
      <c r="F1804" s="209"/>
      <c r="G1804" s="210"/>
    </row>
    <row r="1805" spans="1:7" s="25" customFormat="1" ht="13.8" x14ac:dyDescent="0.3">
      <c r="A1805" s="208"/>
      <c r="B1805" s="208"/>
      <c r="C1805" s="209"/>
      <c r="D1805" s="209"/>
      <c r="E1805" s="209"/>
      <c r="F1805" s="209"/>
      <c r="G1805" s="210"/>
    </row>
    <row r="1806" spans="1:7" s="25" customFormat="1" ht="13.8" x14ac:dyDescent="0.3">
      <c r="A1806" s="208"/>
      <c r="B1806" s="208"/>
      <c r="C1806" s="209"/>
      <c r="D1806" s="209"/>
      <c r="E1806" s="209"/>
      <c r="F1806" s="209"/>
      <c r="G1806" s="210"/>
    </row>
    <row r="1807" spans="1:7" s="25" customFormat="1" ht="13.8" x14ac:dyDescent="0.3">
      <c r="A1807" s="208"/>
      <c r="B1807" s="208"/>
      <c r="C1807" s="209"/>
      <c r="D1807" s="209"/>
      <c r="E1807" s="209"/>
      <c r="F1807" s="209"/>
      <c r="G1807" s="210"/>
    </row>
    <row r="1808" spans="1:7" s="25" customFormat="1" ht="13.8" x14ac:dyDescent="0.3">
      <c r="A1808" s="208"/>
      <c r="B1808" s="208"/>
      <c r="C1808" s="209"/>
      <c r="D1808" s="209"/>
      <c r="E1808" s="209"/>
      <c r="F1808" s="209"/>
      <c r="G1808" s="210"/>
    </row>
    <row r="1809" spans="1:7" s="25" customFormat="1" ht="13.8" x14ac:dyDescent="0.3">
      <c r="A1809" s="208"/>
      <c r="B1809" s="208"/>
      <c r="C1809" s="209"/>
      <c r="D1809" s="209"/>
      <c r="E1809" s="209"/>
      <c r="F1809" s="209"/>
      <c r="G1809" s="210"/>
    </row>
    <row r="1810" spans="1:7" s="25" customFormat="1" ht="13.8" x14ac:dyDescent="0.3">
      <c r="A1810" s="208"/>
      <c r="B1810" s="208"/>
      <c r="C1810" s="209"/>
      <c r="D1810" s="209"/>
      <c r="E1810" s="209"/>
      <c r="F1810" s="209"/>
      <c r="G1810" s="210"/>
    </row>
    <row r="1811" spans="1:7" s="25" customFormat="1" ht="13.8" x14ac:dyDescent="0.3">
      <c r="A1811" s="208"/>
      <c r="B1811" s="208"/>
      <c r="C1811" s="209"/>
      <c r="D1811" s="209"/>
      <c r="E1811" s="209"/>
      <c r="F1811" s="209"/>
      <c r="G1811" s="210"/>
    </row>
    <row r="1812" spans="1:7" s="25" customFormat="1" ht="13.8" x14ac:dyDescent="0.3">
      <c r="A1812" s="208"/>
      <c r="B1812" s="208"/>
      <c r="C1812" s="209"/>
      <c r="D1812" s="209"/>
      <c r="E1812" s="209"/>
      <c r="F1812" s="209"/>
      <c r="G1812" s="210"/>
    </row>
    <row r="1813" spans="1:7" s="25" customFormat="1" ht="13.8" x14ac:dyDescent="0.3">
      <c r="A1813" s="208"/>
      <c r="B1813" s="208"/>
      <c r="C1813" s="209"/>
      <c r="D1813" s="209"/>
      <c r="E1813" s="209"/>
      <c r="F1813" s="209"/>
      <c r="G1813" s="210"/>
    </row>
    <row r="1814" spans="1:7" s="25" customFormat="1" ht="13.8" x14ac:dyDescent="0.3">
      <c r="A1814" s="208"/>
      <c r="B1814" s="208"/>
      <c r="C1814" s="209"/>
      <c r="D1814" s="209"/>
      <c r="E1814" s="209"/>
      <c r="F1814" s="209"/>
      <c r="G1814" s="210"/>
    </row>
    <row r="1815" spans="1:7" s="25" customFormat="1" ht="13.8" x14ac:dyDescent="0.3">
      <c r="A1815" s="208"/>
      <c r="B1815" s="208"/>
      <c r="C1815" s="209"/>
      <c r="D1815" s="209"/>
      <c r="E1815" s="209"/>
      <c r="F1815" s="209"/>
      <c r="G1815" s="210"/>
    </row>
    <row r="1816" spans="1:7" s="25" customFormat="1" ht="13.8" x14ac:dyDescent="0.3">
      <c r="A1816" s="208"/>
      <c r="B1816" s="208"/>
      <c r="C1816" s="209"/>
      <c r="D1816" s="209"/>
      <c r="E1816" s="209"/>
      <c r="F1816" s="209"/>
      <c r="G1816" s="210"/>
    </row>
    <row r="1817" spans="1:7" s="25" customFormat="1" ht="13.8" x14ac:dyDescent="0.3">
      <c r="A1817" s="208"/>
      <c r="B1817" s="208"/>
      <c r="C1817" s="209"/>
      <c r="D1817" s="209"/>
      <c r="E1817" s="209"/>
      <c r="F1817" s="209"/>
      <c r="G1817" s="210"/>
    </row>
    <row r="1818" spans="1:7" s="25" customFormat="1" ht="13.8" x14ac:dyDescent="0.3">
      <c r="A1818" s="208"/>
      <c r="B1818" s="208"/>
      <c r="C1818" s="209"/>
      <c r="D1818" s="209"/>
      <c r="E1818" s="209"/>
      <c r="F1818" s="209"/>
      <c r="G1818" s="210"/>
    </row>
    <row r="1819" spans="1:7" s="25" customFormat="1" ht="13.8" x14ac:dyDescent="0.3">
      <c r="A1819" s="208"/>
      <c r="B1819" s="208"/>
      <c r="C1819" s="209"/>
      <c r="D1819" s="209"/>
      <c r="E1819" s="209"/>
      <c r="F1819" s="209"/>
      <c r="G1819" s="210"/>
    </row>
    <row r="1820" spans="1:7" s="25" customFormat="1" ht="13.8" x14ac:dyDescent="0.3">
      <c r="A1820" s="208"/>
      <c r="B1820" s="208"/>
      <c r="C1820" s="209"/>
      <c r="D1820" s="209"/>
      <c r="E1820" s="209"/>
      <c r="F1820" s="209"/>
      <c r="G1820" s="210"/>
    </row>
    <row r="1821" spans="1:7" s="25" customFormat="1" ht="13.8" x14ac:dyDescent="0.3">
      <c r="A1821" s="208"/>
      <c r="B1821" s="208"/>
      <c r="C1821" s="209"/>
      <c r="D1821" s="209"/>
      <c r="E1821" s="209"/>
      <c r="F1821" s="209"/>
      <c r="G1821" s="210"/>
    </row>
    <row r="1822" spans="1:7" s="25" customFormat="1" ht="13.8" x14ac:dyDescent="0.3">
      <c r="A1822" s="208"/>
      <c r="B1822" s="208"/>
      <c r="C1822" s="209"/>
      <c r="D1822" s="209"/>
      <c r="E1822" s="209"/>
      <c r="F1822" s="209"/>
      <c r="G1822" s="210"/>
    </row>
    <row r="1823" spans="1:7" s="25" customFormat="1" ht="13.8" x14ac:dyDescent="0.3">
      <c r="A1823" s="208"/>
      <c r="B1823" s="208"/>
      <c r="C1823" s="209"/>
      <c r="D1823" s="209"/>
      <c r="E1823" s="209"/>
      <c r="F1823" s="209"/>
      <c r="G1823" s="210"/>
    </row>
    <row r="1824" spans="1:7" s="25" customFormat="1" ht="13.8" x14ac:dyDescent="0.3">
      <c r="A1824" s="208"/>
      <c r="B1824" s="208"/>
      <c r="C1824" s="209"/>
      <c r="D1824" s="209"/>
      <c r="E1824" s="209"/>
      <c r="F1824" s="209"/>
      <c r="G1824" s="210"/>
    </row>
    <row r="1825" spans="1:7" s="25" customFormat="1" ht="13.8" x14ac:dyDescent="0.3">
      <c r="A1825" s="208"/>
      <c r="B1825" s="208"/>
      <c r="C1825" s="209"/>
      <c r="D1825" s="209"/>
      <c r="E1825" s="209"/>
      <c r="F1825" s="209"/>
      <c r="G1825" s="210"/>
    </row>
    <row r="1826" spans="1:7" s="25" customFormat="1" ht="13.8" x14ac:dyDescent="0.3">
      <c r="A1826" s="208"/>
      <c r="B1826" s="208"/>
      <c r="C1826" s="209"/>
      <c r="D1826" s="209"/>
      <c r="E1826" s="209"/>
      <c r="F1826" s="209"/>
      <c r="G1826" s="210"/>
    </row>
    <row r="1827" spans="1:7" s="25" customFormat="1" ht="13.8" x14ac:dyDescent="0.3">
      <c r="A1827" s="208"/>
      <c r="B1827" s="208"/>
      <c r="C1827" s="209"/>
      <c r="D1827" s="209"/>
      <c r="E1827" s="209"/>
      <c r="F1827" s="209"/>
      <c r="G1827" s="210"/>
    </row>
    <row r="1828" spans="1:7" s="25" customFormat="1" ht="13.8" x14ac:dyDescent="0.3">
      <c r="A1828" s="208"/>
      <c r="B1828" s="208"/>
      <c r="C1828" s="209"/>
      <c r="D1828" s="209"/>
      <c r="E1828" s="209"/>
      <c r="F1828" s="209"/>
      <c r="G1828" s="210"/>
    </row>
    <row r="1829" spans="1:7" s="25" customFormat="1" ht="13.8" x14ac:dyDescent="0.3">
      <c r="A1829" s="208"/>
      <c r="B1829" s="208"/>
      <c r="C1829" s="209"/>
      <c r="D1829" s="209"/>
      <c r="E1829" s="209"/>
      <c r="F1829" s="209"/>
      <c r="G1829" s="210"/>
    </row>
    <row r="1830" spans="1:7" s="25" customFormat="1" ht="13.8" x14ac:dyDescent="0.3">
      <c r="A1830" s="208"/>
      <c r="B1830" s="208"/>
      <c r="C1830" s="209"/>
      <c r="D1830" s="209"/>
      <c r="E1830" s="209"/>
      <c r="F1830" s="209"/>
      <c r="G1830" s="210"/>
    </row>
    <row r="1831" spans="1:7" s="25" customFormat="1" ht="13.8" x14ac:dyDescent="0.3">
      <c r="A1831" s="208"/>
      <c r="B1831" s="208"/>
      <c r="C1831" s="209"/>
      <c r="D1831" s="209"/>
      <c r="E1831" s="209"/>
      <c r="F1831" s="209"/>
      <c r="G1831" s="210"/>
    </row>
    <row r="1832" spans="1:7" s="25" customFormat="1" ht="13.8" x14ac:dyDescent="0.3">
      <c r="A1832" s="208"/>
      <c r="B1832" s="208"/>
      <c r="C1832" s="209"/>
      <c r="D1832" s="209"/>
      <c r="E1832" s="209"/>
      <c r="F1832" s="209"/>
      <c r="G1832" s="210"/>
    </row>
    <row r="1833" spans="1:7" s="25" customFormat="1" ht="13.8" x14ac:dyDescent="0.3">
      <c r="A1833" s="208"/>
      <c r="B1833" s="208"/>
      <c r="C1833" s="209"/>
      <c r="D1833" s="209"/>
      <c r="E1833" s="209"/>
      <c r="F1833" s="209"/>
      <c r="G1833" s="210"/>
    </row>
    <row r="1834" spans="1:7" s="25" customFormat="1" ht="13.8" x14ac:dyDescent="0.3">
      <c r="A1834" s="208"/>
      <c r="B1834" s="208"/>
      <c r="C1834" s="209"/>
      <c r="D1834" s="209"/>
      <c r="E1834" s="209"/>
      <c r="F1834" s="209"/>
      <c r="G1834" s="210"/>
    </row>
    <row r="1835" spans="1:7" s="25" customFormat="1" ht="13.8" x14ac:dyDescent="0.3">
      <c r="A1835" s="208"/>
      <c r="B1835" s="208"/>
      <c r="C1835" s="209"/>
      <c r="D1835" s="209"/>
      <c r="E1835" s="209"/>
      <c r="F1835" s="209"/>
      <c r="G1835" s="210"/>
    </row>
    <row r="1836" spans="1:7" s="25" customFormat="1" ht="13.8" x14ac:dyDescent="0.3">
      <c r="A1836" s="208"/>
      <c r="B1836" s="208"/>
      <c r="C1836" s="209"/>
      <c r="D1836" s="209"/>
      <c r="E1836" s="209"/>
      <c r="F1836" s="209"/>
      <c r="G1836" s="210"/>
    </row>
    <row r="1837" spans="1:7" s="25" customFormat="1" ht="13.8" x14ac:dyDescent="0.3">
      <c r="A1837" s="208"/>
      <c r="B1837" s="208"/>
      <c r="C1837" s="209"/>
      <c r="D1837" s="209"/>
      <c r="E1837" s="209"/>
      <c r="F1837" s="209"/>
      <c r="G1837" s="210"/>
    </row>
    <row r="1838" spans="1:7" s="25" customFormat="1" ht="13.8" x14ac:dyDescent="0.3">
      <c r="A1838" s="208"/>
      <c r="B1838" s="208"/>
      <c r="C1838" s="209"/>
      <c r="D1838" s="209"/>
      <c r="E1838" s="209"/>
      <c r="F1838" s="209"/>
      <c r="G1838" s="210"/>
    </row>
    <row r="1839" spans="1:7" s="25" customFormat="1" ht="13.8" x14ac:dyDescent="0.3">
      <c r="A1839" s="208"/>
      <c r="B1839" s="208"/>
      <c r="C1839" s="209"/>
      <c r="D1839" s="209"/>
      <c r="E1839" s="209"/>
      <c r="F1839" s="209"/>
      <c r="G1839" s="210"/>
    </row>
    <row r="1840" spans="1:7" s="25" customFormat="1" ht="13.8" x14ac:dyDescent="0.3">
      <c r="A1840" s="208"/>
      <c r="B1840" s="208"/>
      <c r="C1840" s="209"/>
      <c r="D1840" s="209"/>
      <c r="E1840" s="209"/>
      <c r="F1840" s="209"/>
      <c r="G1840" s="210"/>
    </row>
    <row r="1841" spans="1:7" s="25" customFormat="1" ht="13.8" x14ac:dyDescent="0.3">
      <c r="A1841" s="208"/>
      <c r="B1841" s="208"/>
      <c r="C1841" s="209"/>
      <c r="D1841" s="209"/>
      <c r="E1841" s="209"/>
      <c r="F1841" s="209"/>
      <c r="G1841" s="210"/>
    </row>
    <row r="1842" spans="1:7" s="25" customFormat="1" ht="13.8" x14ac:dyDescent="0.3">
      <c r="A1842" s="208"/>
      <c r="B1842" s="208"/>
      <c r="C1842" s="209"/>
      <c r="D1842" s="209"/>
      <c r="E1842" s="209"/>
      <c r="F1842" s="209"/>
      <c r="G1842" s="210"/>
    </row>
    <row r="1843" spans="1:7" s="25" customFormat="1" ht="13.8" x14ac:dyDescent="0.3">
      <c r="A1843" s="208"/>
      <c r="B1843" s="208"/>
      <c r="C1843" s="209"/>
      <c r="D1843" s="209"/>
      <c r="E1843" s="209"/>
      <c r="F1843" s="209"/>
      <c r="G1843" s="210"/>
    </row>
    <row r="1844" spans="1:7" s="25" customFormat="1" ht="13.8" x14ac:dyDescent="0.3">
      <c r="A1844" s="208"/>
      <c r="B1844" s="208"/>
      <c r="C1844" s="209"/>
      <c r="D1844" s="209"/>
      <c r="E1844" s="209"/>
      <c r="F1844" s="209"/>
      <c r="G1844" s="210"/>
    </row>
    <row r="1845" spans="1:7" s="25" customFormat="1" ht="13.8" x14ac:dyDescent="0.3">
      <c r="A1845" s="208"/>
      <c r="B1845" s="208"/>
      <c r="C1845" s="209"/>
      <c r="D1845" s="209"/>
      <c r="E1845" s="209"/>
      <c r="F1845" s="209"/>
      <c r="G1845" s="210"/>
    </row>
    <row r="1846" spans="1:7" s="25" customFormat="1" ht="13.8" x14ac:dyDescent="0.3">
      <c r="A1846" s="208"/>
      <c r="B1846" s="208"/>
      <c r="C1846" s="209"/>
      <c r="D1846" s="209"/>
      <c r="E1846" s="209"/>
      <c r="F1846" s="209"/>
      <c r="G1846" s="210"/>
    </row>
    <row r="1847" spans="1:7" s="25" customFormat="1" ht="13.8" x14ac:dyDescent="0.3">
      <c r="A1847" s="208"/>
      <c r="B1847" s="208"/>
      <c r="C1847" s="209"/>
      <c r="D1847" s="209"/>
      <c r="E1847" s="209"/>
      <c r="F1847" s="209"/>
      <c r="G1847" s="210"/>
    </row>
    <row r="1848" spans="1:7" s="25" customFormat="1" ht="13.8" x14ac:dyDescent="0.3">
      <c r="A1848" s="208"/>
      <c r="B1848" s="208"/>
      <c r="C1848" s="209"/>
      <c r="D1848" s="209"/>
      <c r="E1848" s="209"/>
      <c r="F1848" s="209"/>
      <c r="G1848" s="210"/>
    </row>
    <row r="1849" spans="1:7" s="25" customFormat="1" ht="13.8" x14ac:dyDescent="0.3">
      <c r="A1849" s="208"/>
      <c r="B1849" s="208"/>
      <c r="C1849" s="209"/>
      <c r="D1849" s="209"/>
      <c r="E1849" s="209"/>
      <c r="F1849" s="209"/>
      <c r="G1849" s="210"/>
    </row>
    <row r="1850" spans="1:7" s="25" customFormat="1" ht="13.8" x14ac:dyDescent="0.3">
      <c r="A1850" s="208"/>
      <c r="B1850" s="208"/>
      <c r="C1850" s="209"/>
      <c r="D1850" s="209"/>
      <c r="E1850" s="209"/>
      <c r="F1850" s="209"/>
      <c r="G1850" s="210"/>
    </row>
    <row r="1851" spans="1:7" s="25" customFormat="1" ht="13.8" x14ac:dyDescent="0.3">
      <c r="A1851" s="208"/>
      <c r="B1851" s="208"/>
      <c r="C1851" s="209"/>
      <c r="D1851" s="209"/>
      <c r="E1851" s="209"/>
      <c r="F1851" s="209"/>
      <c r="G1851" s="210"/>
    </row>
    <row r="1852" spans="1:7" s="25" customFormat="1" ht="13.8" x14ac:dyDescent="0.3">
      <c r="A1852" s="208"/>
      <c r="B1852" s="208"/>
      <c r="C1852" s="209"/>
      <c r="D1852" s="209"/>
      <c r="E1852" s="209"/>
      <c r="F1852" s="209"/>
      <c r="G1852" s="210"/>
    </row>
    <row r="1853" spans="1:7" s="25" customFormat="1" ht="13.8" x14ac:dyDescent="0.3">
      <c r="A1853" s="208"/>
      <c r="B1853" s="208"/>
      <c r="C1853" s="209"/>
      <c r="D1853" s="209"/>
      <c r="E1853" s="209"/>
      <c r="F1853" s="209"/>
      <c r="G1853" s="210"/>
    </row>
    <row r="1854" spans="1:7" s="25" customFormat="1" ht="13.8" x14ac:dyDescent="0.3">
      <c r="A1854" s="208"/>
      <c r="B1854" s="208"/>
      <c r="C1854" s="209"/>
      <c r="D1854" s="209"/>
      <c r="E1854" s="209"/>
      <c r="F1854" s="209"/>
      <c r="G1854" s="210"/>
    </row>
    <row r="1855" spans="1:7" s="25" customFormat="1" ht="13.8" x14ac:dyDescent="0.3">
      <c r="A1855" s="208"/>
      <c r="B1855" s="208"/>
      <c r="C1855" s="209"/>
      <c r="D1855" s="209"/>
      <c r="E1855" s="209"/>
      <c r="F1855" s="209"/>
      <c r="G1855" s="210"/>
    </row>
    <row r="1856" spans="1:7" s="25" customFormat="1" ht="13.8" x14ac:dyDescent="0.3">
      <c r="A1856" s="208"/>
      <c r="B1856" s="208"/>
      <c r="C1856" s="209"/>
      <c r="D1856" s="209"/>
      <c r="E1856" s="209"/>
      <c r="F1856" s="209"/>
      <c r="G1856" s="210"/>
    </row>
    <row r="1857" spans="1:7" s="25" customFormat="1" ht="13.8" x14ac:dyDescent="0.3">
      <c r="A1857" s="208"/>
      <c r="B1857" s="208"/>
      <c r="C1857" s="209"/>
      <c r="D1857" s="209"/>
      <c r="E1857" s="209"/>
      <c r="F1857" s="209"/>
      <c r="G1857" s="210"/>
    </row>
    <row r="1858" spans="1:7" s="25" customFormat="1" ht="13.8" x14ac:dyDescent="0.3">
      <c r="A1858" s="208"/>
      <c r="B1858" s="208"/>
      <c r="C1858" s="209"/>
      <c r="D1858" s="209"/>
      <c r="E1858" s="209"/>
      <c r="F1858" s="209"/>
      <c r="G1858" s="210"/>
    </row>
    <row r="1859" spans="1:7" s="25" customFormat="1" ht="13.8" x14ac:dyDescent="0.3">
      <c r="A1859" s="208"/>
      <c r="B1859" s="208"/>
      <c r="C1859" s="209"/>
      <c r="D1859" s="209"/>
      <c r="E1859" s="209"/>
      <c r="F1859" s="209"/>
      <c r="G1859" s="210"/>
    </row>
    <row r="1860" spans="1:7" s="25" customFormat="1" ht="13.8" x14ac:dyDescent="0.3">
      <c r="A1860" s="208"/>
      <c r="B1860" s="208"/>
      <c r="C1860" s="209"/>
      <c r="D1860" s="209"/>
      <c r="E1860" s="209"/>
      <c r="F1860" s="209"/>
      <c r="G1860" s="210"/>
    </row>
    <row r="1861" spans="1:7" s="25" customFormat="1" ht="13.8" x14ac:dyDescent="0.3">
      <c r="A1861" s="208"/>
      <c r="B1861" s="208"/>
      <c r="C1861" s="209"/>
      <c r="D1861" s="209"/>
      <c r="E1861" s="209"/>
      <c r="F1861" s="209"/>
      <c r="G1861" s="210"/>
    </row>
    <row r="1862" spans="1:7" s="25" customFormat="1" ht="13.8" x14ac:dyDescent="0.3">
      <c r="A1862" s="208"/>
      <c r="B1862" s="208"/>
      <c r="C1862" s="209"/>
      <c r="D1862" s="209"/>
      <c r="E1862" s="209"/>
      <c r="F1862" s="209"/>
      <c r="G1862" s="210"/>
    </row>
    <row r="1863" spans="1:7" s="25" customFormat="1" ht="13.8" x14ac:dyDescent="0.3">
      <c r="A1863" s="208"/>
      <c r="B1863" s="208"/>
      <c r="C1863" s="209"/>
      <c r="D1863" s="209"/>
      <c r="E1863" s="209"/>
      <c r="F1863" s="209"/>
      <c r="G1863" s="210"/>
    </row>
    <row r="1864" spans="1:7" s="25" customFormat="1" ht="13.8" x14ac:dyDescent="0.3">
      <c r="A1864" s="208"/>
      <c r="B1864" s="208"/>
      <c r="C1864" s="209"/>
      <c r="D1864" s="209"/>
      <c r="E1864" s="209"/>
      <c r="F1864" s="209"/>
      <c r="G1864" s="210"/>
    </row>
    <row r="1865" spans="1:7" s="25" customFormat="1" ht="13.8" x14ac:dyDescent="0.3">
      <c r="A1865" s="208"/>
      <c r="B1865" s="208"/>
      <c r="C1865" s="209"/>
      <c r="D1865" s="209"/>
      <c r="E1865" s="209"/>
      <c r="F1865" s="209"/>
      <c r="G1865" s="210"/>
    </row>
    <row r="1866" spans="1:7" s="25" customFormat="1" ht="13.8" x14ac:dyDescent="0.3">
      <c r="A1866" s="208"/>
      <c r="B1866" s="208"/>
      <c r="C1866" s="209"/>
      <c r="D1866" s="209"/>
      <c r="E1866" s="209"/>
      <c r="F1866" s="209"/>
      <c r="G1866" s="210"/>
    </row>
    <row r="1867" spans="1:7" s="25" customFormat="1" ht="13.8" x14ac:dyDescent="0.3">
      <c r="A1867" s="208"/>
      <c r="B1867" s="208"/>
      <c r="C1867" s="209"/>
      <c r="D1867" s="209"/>
      <c r="E1867" s="209"/>
      <c r="F1867" s="209"/>
      <c r="G1867" s="210"/>
    </row>
    <row r="1868" spans="1:7" s="25" customFormat="1" ht="13.8" x14ac:dyDescent="0.3">
      <c r="A1868" s="208"/>
      <c r="B1868" s="208"/>
      <c r="C1868" s="209"/>
      <c r="D1868" s="209"/>
      <c r="E1868" s="209"/>
      <c r="F1868" s="209"/>
      <c r="G1868" s="210"/>
    </row>
    <row r="1869" spans="1:7" s="25" customFormat="1" ht="13.8" x14ac:dyDescent="0.3">
      <c r="A1869" s="208"/>
      <c r="B1869" s="208"/>
      <c r="C1869" s="209"/>
      <c r="D1869" s="209"/>
      <c r="E1869" s="209"/>
      <c r="F1869" s="209"/>
      <c r="G1869" s="210"/>
    </row>
    <row r="1870" spans="1:7" s="25" customFormat="1" ht="13.8" x14ac:dyDescent="0.3">
      <c r="A1870" s="208"/>
      <c r="B1870" s="208"/>
      <c r="C1870" s="209"/>
      <c r="D1870" s="209"/>
      <c r="E1870" s="209"/>
      <c r="F1870" s="209"/>
      <c r="G1870" s="210"/>
    </row>
    <row r="1871" spans="1:7" s="25" customFormat="1" ht="13.8" x14ac:dyDescent="0.3">
      <c r="A1871" s="208"/>
      <c r="B1871" s="208"/>
      <c r="C1871" s="209"/>
      <c r="D1871" s="209"/>
      <c r="E1871" s="209"/>
      <c r="F1871" s="209"/>
      <c r="G1871" s="210"/>
    </row>
    <row r="1872" spans="1:7" s="25" customFormat="1" ht="13.8" x14ac:dyDescent="0.3">
      <c r="A1872" s="208"/>
      <c r="B1872" s="208"/>
      <c r="C1872" s="209"/>
      <c r="D1872" s="209"/>
      <c r="E1872" s="209"/>
      <c r="F1872" s="209"/>
      <c r="G1872" s="210"/>
    </row>
    <row r="1873" spans="1:7" s="25" customFormat="1" ht="13.8" x14ac:dyDescent="0.3">
      <c r="A1873" s="208"/>
      <c r="B1873" s="208"/>
      <c r="C1873" s="209"/>
      <c r="D1873" s="209"/>
      <c r="E1873" s="209"/>
      <c r="F1873" s="209"/>
      <c r="G1873" s="210"/>
    </row>
    <row r="1874" spans="1:7" s="25" customFormat="1" ht="13.8" x14ac:dyDescent="0.3">
      <c r="A1874" s="208"/>
      <c r="B1874" s="208"/>
      <c r="C1874" s="209"/>
      <c r="D1874" s="209"/>
      <c r="E1874" s="209"/>
      <c r="F1874" s="209"/>
      <c r="G1874" s="210"/>
    </row>
    <row r="1875" spans="1:7" s="25" customFormat="1" ht="13.8" x14ac:dyDescent="0.3">
      <c r="A1875" s="208"/>
      <c r="B1875" s="208"/>
      <c r="C1875" s="209"/>
      <c r="D1875" s="209"/>
      <c r="E1875" s="209"/>
      <c r="F1875" s="209"/>
      <c r="G1875" s="210"/>
    </row>
    <row r="1876" spans="1:7" s="25" customFormat="1" ht="13.8" x14ac:dyDescent="0.3">
      <c r="A1876" s="208"/>
      <c r="B1876" s="208"/>
      <c r="C1876" s="209"/>
      <c r="D1876" s="209"/>
      <c r="E1876" s="209"/>
      <c r="F1876" s="209"/>
      <c r="G1876" s="210"/>
    </row>
    <row r="1877" spans="1:7" s="25" customFormat="1" ht="13.8" x14ac:dyDescent="0.3">
      <c r="A1877" s="208"/>
      <c r="B1877" s="208"/>
      <c r="C1877" s="209"/>
      <c r="D1877" s="209"/>
      <c r="E1877" s="209"/>
      <c r="F1877" s="209"/>
      <c r="G1877" s="210"/>
    </row>
    <row r="1878" spans="1:7" s="25" customFormat="1" ht="13.8" x14ac:dyDescent="0.3">
      <c r="A1878" s="208"/>
      <c r="B1878" s="208"/>
      <c r="C1878" s="209"/>
      <c r="D1878" s="209"/>
      <c r="E1878" s="209"/>
      <c r="F1878" s="209"/>
      <c r="G1878" s="210"/>
    </row>
    <row r="1879" spans="1:7" s="25" customFormat="1" ht="13.8" x14ac:dyDescent="0.3">
      <c r="A1879" s="208"/>
      <c r="B1879" s="208"/>
      <c r="C1879" s="209"/>
      <c r="D1879" s="209"/>
      <c r="E1879" s="209"/>
      <c r="F1879" s="209"/>
      <c r="G1879" s="210"/>
    </row>
    <row r="1880" spans="1:7" s="25" customFormat="1" ht="13.8" x14ac:dyDescent="0.3">
      <c r="A1880" s="208"/>
      <c r="B1880" s="208"/>
      <c r="C1880" s="209"/>
      <c r="D1880" s="209"/>
      <c r="E1880" s="209"/>
      <c r="F1880" s="209"/>
      <c r="G1880" s="210"/>
    </row>
    <row r="1881" spans="1:7" s="25" customFormat="1" ht="13.8" x14ac:dyDescent="0.3">
      <c r="A1881" s="208"/>
      <c r="B1881" s="208"/>
      <c r="C1881" s="209"/>
      <c r="D1881" s="209"/>
      <c r="E1881" s="209"/>
      <c r="F1881" s="209"/>
      <c r="G1881" s="210"/>
    </row>
    <row r="1882" spans="1:7" s="25" customFormat="1" ht="13.8" x14ac:dyDescent="0.3">
      <c r="A1882" s="208"/>
      <c r="B1882" s="208"/>
      <c r="C1882" s="209"/>
      <c r="D1882" s="209"/>
      <c r="E1882" s="209"/>
      <c r="F1882" s="209"/>
      <c r="G1882" s="210"/>
    </row>
    <row r="1883" spans="1:7" s="25" customFormat="1" ht="13.8" x14ac:dyDescent="0.3">
      <c r="A1883" s="208"/>
      <c r="B1883" s="208"/>
      <c r="C1883" s="209"/>
      <c r="D1883" s="209"/>
      <c r="E1883" s="209"/>
      <c r="F1883" s="209"/>
      <c r="G1883" s="210"/>
    </row>
    <row r="1884" spans="1:7" s="25" customFormat="1" ht="13.8" x14ac:dyDescent="0.3">
      <c r="A1884" s="208"/>
      <c r="B1884" s="208"/>
      <c r="C1884" s="209"/>
      <c r="D1884" s="209"/>
      <c r="E1884" s="209"/>
      <c r="F1884" s="209"/>
      <c r="G1884" s="210"/>
    </row>
    <row r="1885" spans="1:7" s="25" customFormat="1" ht="13.8" x14ac:dyDescent="0.3">
      <c r="A1885" s="208"/>
      <c r="B1885" s="208"/>
      <c r="C1885" s="209"/>
      <c r="D1885" s="209"/>
      <c r="E1885" s="209"/>
      <c r="F1885" s="209"/>
      <c r="G1885" s="210"/>
    </row>
    <row r="1886" spans="1:7" s="25" customFormat="1" ht="13.8" x14ac:dyDescent="0.3">
      <c r="A1886" s="208"/>
      <c r="B1886" s="208"/>
      <c r="C1886" s="209"/>
      <c r="D1886" s="209"/>
      <c r="E1886" s="209"/>
      <c r="F1886" s="209"/>
      <c r="G1886" s="210"/>
    </row>
    <row r="1887" spans="1:7" s="25" customFormat="1" ht="13.8" x14ac:dyDescent="0.3">
      <c r="A1887" s="208"/>
      <c r="B1887" s="208"/>
      <c r="C1887" s="209"/>
      <c r="D1887" s="209"/>
      <c r="E1887" s="209"/>
      <c r="F1887" s="209"/>
      <c r="G1887" s="210"/>
    </row>
    <row r="1888" spans="1:7" s="25" customFormat="1" ht="13.8" x14ac:dyDescent="0.3">
      <c r="A1888" s="208"/>
      <c r="B1888" s="208"/>
      <c r="C1888" s="209"/>
      <c r="D1888" s="209"/>
      <c r="E1888" s="209"/>
      <c r="F1888" s="209"/>
      <c r="G1888" s="210"/>
    </row>
    <row r="1889" spans="1:7" s="25" customFormat="1" ht="13.8" x14ac:dyDescent="0.3">
      <c r="A1889" s="208"/>
      <c r="B1889" s="208"/>
      <c r="C1889" s="209"/>
      <c r="D1889" s="209"/>
      <c r="E1889" s="209"/>
      <c r="F1889" s="209"/>
      <c r="G1889" s="210"/>
    </row>
    <row r="1890" spans="1:7" s="25" customFormat="1" ht="13.8" x14ac:dyDescent="0.3">
      <c r="A1890" s="208"/>
      <c r="B1890" s="208"/>
      <c r="C1890" s="209"/>
      <c r="D1890" s="209"/>
      <c r="E1890" s="209"/>
      <c r="F1890" s="209"/>
      <c r="G1890" s="210"/>
    </row>
    <row r="1891" spans="1:7" s="25" customFormat="1" ht="13.8" x14ac:dyDescent="0.3">
      <c r="A1891" s="208"/>
      <c r="B1891" s="208"/>
      <c r="C1891" s="209"/>
      <c r="D1891" s="209"/>
      <c r="E1891" s="209"/>
      <c r="F1891" s="209"/>
      <c r="G1891" s="210"/>
    </row>
    <row r="1892" spans="1:7" s="25" customFormat="1" ht="13.8" x14ac:dyDescent="0.3">
      <c r="A1892" s="208"/>
      <c r="B1892" s="208"/>
      <c r="C1892" s="209"/>
      <c r="D1892" s="209"/>
      <c r="E1892" s="209"/>
      <c r="F1892" s="209"/>
      <c r="G1892" s="210"/>
    </row>
    <row r="1893" spans="1:7" s="25" customFormat="1" ht="13.8" x14ac:dyDescent="0.3">
      <c r="A1893" s="208"/>
      <c r="B1893" s="208"/>
      <c r="C1893" s="209"/>
      <c r="D1893" s="209"/>
      <c r="E1893" s="209"/>
      <c r="F1893" s="209"/>
      <c r="G1893" s="210"/>
    </row>
    <row r="1894" spans="1:7" s="25" customFormat="1" ht="13.8" x14ac:dyDescent="0.3">
      <c r="A1894" s="208"/>
      <c r="B1894" s="208"/>
      <c r="C1894" s="209"/>
      <c r="D1894" s="209"/>
      <c r="E1894" s="209"/>
      <c r="F1894" s="209"/>
      <c r="G1894" s="210"/>
    </row>
    <row r="1895" spans="1:7" s="25" customFormat="1" ht="13.8" x14ac:dyDescent="0.3">
      <c r="A1895" s="208"/>
      <c r="B1895" s="208"/>
      <c r="C1895" s="209"/>
      <c r="D1895" s="209"/>
      <c r="E1895" s="209"/>
      <c r="F1895" s="209"/>
      <c r="G1895" s="210"/>
    </row>
    <row r="1896" spans="1:7" s="25" customFormat="1" ht="13.8" x14ac:dyDescent="0.3">
      <c r="A1896" s="208"/>
      <c r="B1896" s="208"/>
      <c r="C1896" s="209"/>
      <c r="D1896" s="209"/>
      <c r="E1896" s="209"/>
      <c r="F1896" s="209"/>
      <c r="G1896" s="210"/>
    </row>
    <row r="1897" spans="1:7" s="25" customFormat="1" ht="13.8" x14ac:dyDescent="0.3">
      <c r="A1897" s="208"/>
      <c r="B1897" s="208"/>
      <c r="C1897" s="209"/>
      <c r="D1897" s="209"/>
      <c r="E1897" s="209"/>
      <c r="F1897" s="209"/>
      <c r="G1897" s="210"/>
    </row>
    <row r="1898" spans="1:7" s="25" customFormat="1" ht="13.8" x14ac:dyDescent="0.3">
      <c r="A1898" s="208"/>
      <c r="B1898" s="208"/>
      <c r="C1898" s="209"/>
      <c r="D1898" s="209"/>
      <c r="E1898" s="209"/>
      <c r="F1898" s="209"/>
      <c r="G1898" s="210"/>
    </row>
    <row r="1899" spans="1:7" s="25" customFormat="1" ht="13.8" x14ac:dyDescent="0.3">
      <c r="A1899" s="208"/>
      <c r="B1899" s="208"/>
      <c r="C1899" s="209"/>
      <c r="D1899" s="209"/>
      <c r="E1899" s="209"/>
      <c r="F1899" s="209"/>
      <c r="G1899" s="210"/>
    </row>
    <row r="1900" spans="1:7" s="25" customFormat="1" ht="13.8" x14ac:dyDescent="0.3">
      <c r="A1900" s="208"/>
      <c r="B1900" s="208"/>
      <c r="C1900" s="209"/>
      <c r="D1900" s="209"/>
      <c r="E1900" s="209"/>
      <c r="F1900" s="209"/>
      <c r="G1900" s="210"/>
    </row>
    <row r="1901" spans="1:7" s="25" customFormat="1" ht="13.8" x14ac:dyDescent="0.3">
      <c r="A1901" s="208"/>
      <c r="B1901" s="208"/>
      <c r="C1901" s="209"/>
      <c r="D1901" s="209"/>
      <c r="E1901" s="209"/>
      <c r="F1901" s="209"/>
      <c r="G1901" s="210"/>
    </row>
    <row r="1902" spans="1:7" s="25" customFormat="1" ht="13.8" x14ac:dyDescent="0.3">
      <c r="A1902" s="208"/>
      <c r="B1902" s="208"/>
      <c r="C1902" s="209"/>
      <c r="D1902" s="209"/>
      <c r="E1902" s="209"/>
      <c r="F1902" s="209"/>
      <c r="G1902" s="210"/>
    </row>
    <row r="1903" spans="1:7" s="25" customFormat="1" ht="13.8" x14ac:dyDescent="0.3">
      <c r="A1903" s="208"/>
      <c r="B1903" s="208"/>
      <c r="C1903" s="209"/>
      <c r="D1903" s="209"/>
      <c r="E1903" s="209"/>
      <c r="F1903" s="209"/>
      <c r="G1903" s="210"/>
    </row>
    <row r="1904" spans="1:7" s="25" customFormat="1" ht="13.8" x14ac:dyDescent="0.3">
      <c r="A1904" s="208"/>
      <c r="B1904" s="208"/>
      <c r="C1904" s="209"/>
      <c r="D1904" s="209"/>
      <c r="E1904" s="209"/>
      <c r="F1904" s="209"/>
      <c r="G1904" s="210"/>
    </row>
    <row r="1905" spans="1:7" s="25" customFormat="1" ht="13.8" x14ac:dyDescent="0.3">
      <c r="A1905" s="208"/>
      <c r="B1905" s="208"/>
      <c r="C1905" s="209"/>
      <c r="D1905" s="209"/>
      <c r="E1905" s="209"/>
      <c r="F1905" s="209"/>
      <c r="G1905" s="210"/>
    </row>
    <row r="1906" spans="1:7" s="25" customFormat="1" ht="13.8" x14ac:dyDescent="0.3">
      <c r="A1906" s="208"/>
      <c r="B1906" s="208"/>
      <c r="C1906" s="209"/>
      <c r="D1906" s="209"/>
      <c r="E1906" s="209"/>
      <c r="F1906" s="209"/>
      <c r="G1906" s="210"/>
    </row>
    <row r="1907" spans="1:7" s="25" customFormat="1" ht="13.8" x14ac:dyDescent="0.3">
      <c r="A1907" s="208"/>
      <c r="B1907" s="208"/>
      <c r="C1907" s="209"/>
      <c r="D1907" s="209"/>
      <c r="E1907" s="209"/>
      <c r="F1907" s="209"/>
      <c r="G1907" s="210"/>
    </row>
    <row r="1908" spans="1:7" s="25" customFormat="1" ht="13.8" x14ac:dyDescent="0.3">
      <c r="A1908" s="208"/>
      <c r="B1908" s="208"/>
      <c r="C1908" s="209"/>
      <c r="D1908" s="209"/>
      <c r="E1908" s="209"/>
      <c r="F1908" s="209"/>
      <c r="G1908" s="210"/>
    </row>
    <row r="1909" spans="1:7" s="25" customFormat="1" ht="13.8" x14ac:dyDescent="0.3">
      <c r="A1909" s="208"/>
      <c r="B1909" s="208"/>
      <c r="C1909" s="209"/>
      <c r="D1909" s="209"/>
      <c r="E1909" s="209"/>
      <c r="F1909" s="209"/>
      <c r="G1909" s="210"/>
    </row>
    <row r="1910" spans="1:7" s="25" customFormat="1" ht="13.8" x14ac:dyDescent="0.3">
      <c r="A1910" s="208"/>
      <c r="B1910" s="208"/>
      <c r="C1910" s="209"/>
      <c r="D1910" s="209"/>
      <c r="E1910" s="209"/>
      <c r="F1910" s="209"/>
      <c r="G1910" s="210"/>
    </row>
    <row r="1911" spans="1:7" s="25" customFormat="1" ht="13.8" x14ac:dyDescent="0.3">
      <c r="A1911" s="208"/>
      <c r="B1911" s="208"/>
      <c r="C1911" s="209"/>
      <c r="D1911" s="209"/>
      <c r="E1911" s="209"/>
      <c r="F1911" s="209"/>
      <c r="G1911" s="210"/>
    </row>
    <row r="1912" spans="1:7" s="25" customFormat="1" ht="13.8" x14ac:dyDescent="0.3">
      <c r="A1912" s="208"/>
      <c r="B1912" s="208"/>
      <c r="C1912" s="209"/>
      <c r="D1912" s="209"/>
      <c r="E1912" s="209"/>
      <c r="F1912" s="209"/>
      <c r="G1912" s="210"/>
    </row>
    <row r="1913" spans="1:7" s="25" customFormat="1" ht="13.8" x14ac:dyDescent="0.3">
      <c r="A1913" s="208"/>
      <c r="B1913" s="208"/>
      <c r="C1913" s="209"/>
      <c r="D1913" s="209"/>
      <c r="E1913" s="209"/>
      <c r="F1913" s="209"/>
      <c r="G1913" s="210"/>
    </row>
    <row r="1914" spans="1:7" s="25" customFormat="1" ht="13.8" x14ac:dyDescent="0.3">
      <c r="A1914" s="208"/>
      <c r="B1914" s="208"/>
      <c r="C1914" s="209"/>
      <c r="D1914" s="209"/>
      <c r="E1914" s="209"/>
      <c r="F1914" s="209"/>
      <c r="G1914" s="210"/>
    </row>
    <row r="1915" spans="1:7" s="25" customFormat="1" ht="13.8" x14ac:dyDescent="0.3">
      <c r="A1915" s="208"/>
      <c r="B1915" s="208"/>
      <c r="C1915" s="209"/>
      <c r="D1915" s="209"/>
      <c r="E1915" s="209"/>
      <c r="F1915" s="209"/>
      <c r="G1915" s="210"/>
    </row>
    <row r="1916" spans="1:7" s="25" customFormat="1" ht="13.8" x14ac:dyDescent="0.3">
      <c r="A1916" s="208"/>
      <c r="B1916" s="208"/>
      <c r="C1916" s="209"/>
      <c r="D1916" s="209"/>
      <c r="E1916" s="209"/>
      <c r="F1916" s="209"/>
      <c r="G1916" s="210"/>
    </row>
    <row r="1917" spans="1:7" s="25" customFormat="1" ht="13.8" x14ac:dyDescent="0.3">
      <c r="A1917" s="208"/>
      <c r="B1917" s="208"/>
      <c r="C1917" s="209"/>
      <c r="D1917" s="209"/>
      <c r="E1917" s="209"/>
      <c r="F1917" s="209"/>
      <c r="G1917" s="210"/>
    </row>
    <row r="1918" spans="1:7" s="25" customFormat="1" ht="13.8" x14ac:dyDescent="0.3">
      <c r="A1918" s="208"/>
      <c r="B1918" s="208"/>
      <c r="C1918" s="209"/>
      <c r="D1918" s="209"/>
      <c r="E1918" s="209"/>
      <c r="F1918" s="209"/>
      <c r="G1918" s="210"/>
    </row>
    <row r="1919" spans="1:7" s="25" customFormat="1" ht="13.8" x14ac:dyDescent="0.3">
      <c r="A1919" s="208"/>
      <c r="B1919" s="208"/>
      <c r="C1919" s="209"/>
      <c r="D1919" s="209"/>
      <c r="E1919" s="209"/>
      <c r="F1919" s="209"/>
      <c r="G1919" s="210"/>
    </row>
    <row r="1920" spans="1:7" s="25" customFormat="1" ht="13.8" x14ac:dyDescent="0.3">
      <c r="A1920" s="208"/>
      <c r="B1920" s="208"/>
      <c r="C1920" s="209"/>
      <c r="D1920" s="209"/>
      <c r="E1920" s="209"/>
      <c r="F1920" s="209"/>
      <c r="G1920" s="210"/>
    </row>
    <row r="1921" spans="1:7" s="25" customFormat="1" ht="13.8" x14ac:dyDescent="0.3">
      <c r="A1921" s="208"/>
      <c r="B1921" s="208"/>
      <c r="C1921" s="209"/>
      <c r="D1921" s="209"/>
      <c r="E1921" s="209"/>
      <c r="F1921" s="209"/>
      <c r="G1921" s="210"/>
    </row>
    <row r="1922" spans="1:7" s="25" customFormat="1" ht="13.8" x14ac:dyDescent="0.3">
      <c r="A1922" s="208"/>
      <c r="B1922" s="208"/>
      <c r="C1922" s="209"/>
      <c r="D1922" s="209"/>
      <c r="E1922" s="209"/>
      <c r="F1922" s="209"/>
      <c r="G1922" s="210"/>
    </row>
    <row r="1923" spans="1:7" s="25" customFormat="1" ht="13.8" x14ac:dyDescent="0.3">
      <c r="A1923" s="208"/>
      <c r="B1923" s="208"/>
      <c r="C1923" s="209"/>
      <c r="D1923" s="209"/>
      <c r="E1923" s="209"/>
      <c r="F1923" s="209"/>
      <c r="G1923" s="210"/>
    </row>
    <row r="1924" spans="1:7" s="25" customFormat="1" ht="13.8" x14ac:dyDescent="0.3">
      <c r="A1924" s="208"/>
      <c r="B1924" s="208"/>
      <c r="C1924" s="209"/>
      <c r="D1924" s="209"/>
      <c r="E1924" s="209"/>
      <c r="F1924" s="209"/>
      <c r="G1924" s="210"/>
    </row>
    <row r="1925" spans="1:7" s="25" customFormat="1" ht="13.8" x14ac:dyDescent="0.3">
      <c r="A1925" s="208"/>
      <c r="B1925" s="208"/>
      <c r="C1925" s="209"/>
      <c r="D1925" s="209"/>
      <c r="E1925" s="209"/>
      <c r="F1925" s="209"/>
      <c r="G1925" s="210"/>
    </row>
    <row r="1926" spans="1:7" s="25" customFormat="1" ht="13.8" x14ac:dyDescent="0.3">
      <c r="A1926" s="208"/>
      <c r="B1926" s="208"/>
      <c r="C1926" s="209"/>
      <c r="D1926" s="209"/>
      <c r="E1926" s="209"/>
      <c r="F1926" s="209"/>
      <c r="G1926" s="210"/>
    </row>
    <row r="1927" spans="1:7" s="25" customFormat="1" ht="13.8" x14ac:dyDescent="0.3">
      <c r="A1927" s="208"/>
      <c r="B1927" s="208"/>
      <c r="C1927" s="209"/>
      <c r="D1927" s="209"/>
      <c r="E1927" s="209"/>
      <c r="F1927" s="209"/>
      <c r="G1927" s="210"/>
    </row>
    <row r="1928" spans="1:7" s="25" customFormat="1" ht="13.8" x14ac:dyDescent="0.3">
      <c r="A1928" s="208"/>
      <c r="B1928" s="208"/>
      <c r="C1928" s="209"/>
      <c r="D1928" s="209"/>
      <c r="E1928" s="209"/>
      <c r="F1928" s="209"/>
      <c r="G1928" s="210"/>
    </row>
    <row r="1929" spans="1:7" s="25" customFormat="1" ht="13.8" x14ac:dyDescent="0.3">
      <c r="A1929" s="208"/>
      <c r="B1929" s="208"/>
      <c r="C1929" s="209"/>
      <c r="D1929" s="209"/>
      <c r="E1929" s="209"/>
      <c r="F1929" s="209"/>
      <c r="G1929" s="210"/>
    </row>
    <row r="1930" spans="1:7" s="25" customFormat="1" ht="13.8" x14ac:dyDescent="0.3">
      <c r="A1930" s="208"/>
      <c r="B1930" s="208"/>
      <c r="C1930" s="209"/>
      <c r="D1930" s="209"/>
      <c r="E1930" s="209"/>
      <c r="F1930" s="209"/>
      <c r="G1930" s="210"/>
    </row>
    <row r="1931" spans="1:7" s="25" customFormat="1" ht="13.8" x14ac:dyDescent="0.3">
      <c r="A1931" s="208"/>
      <c r="B1931" s="208"/>
      <c r="C1931" s="209"/>
      <c r="D1931" s="209"/>
      <c r="E1931" s="209"/>
      <c r="F1931" s="209"/>
      <c r="G1931" s="210"/>
    </row>
    <row r="1932" spans="1:7" s="25" customFormat="1" ht="13.8" x14ac:dyDescent="0.3">
      <c r="A1932" s="208"/>
      <c r="B1932" s="208"/>
      <c r="C1932" s="209"/>
      <c r="D1932" s="209"/>
      <c r="E1932" s="209"/>
      <c r="F1932" s="209"/>
      <c r="G1932" s="210"/>
    </row>
    <row r="1933" spans="1:7" s="25" customFormat="1" ht="13.8" x14ac:dyDescent="0.3">
      <c r="A1933" s="208"/>
      <c r="B1933" s="208"/>
      <c r="C1933" s="209"/>
      <c r="D1933" s="209"/>
      <c r="E1933" s="209"/>
      <c r="F1933" s="209"/>
      <c r="G1933" s="210"/>
    </row>
    <row r="1934" spans="1:7" s="25" customFormat="1" ht="13.8" x14ac:dyDescent="0.3">
      <c r="A1934" s="208"/>
      <c r="B1934" s="208"/>
      <c r="C1934" s="209"/>
      <c r="D1934" s="209"/>
      <c r="E1934" s="209"/>
      <c r="F1934" s="209"/>
      <c r="G1934" s="210"/>
    </row>
    <row r="1935" spans="1:7" s="25" customFormat="1" ht="13.8" x14ac:dyDescent="0.3">
      <c r="A1935" s="208"/>
      <c r="B1935" s="208"/>
      <c r="C1935" s="209"/>
      <c r="D1935" s="209"/>
      <c r="E1935" s="209"/>
      <c r="F1935" s="209"/>
      <c r="G1935" s="210"/>
    </row>
    <row r="1936" spans="1:7" s="25" customFormat="1" ht="13.8" x14ac:dyDescent="0.3">
      <c r="A1936" s="208"/>
      <c r="B1936" s="208"/>
      <c r="C1936" s="209"/>
      <c r="D1936" s="209"/>
      <c r="E1936" s="209"/>
      <c r="F1936" s="209"/>
      <c r="G1936" s="210"/>
    </row>
    <row r="1937" spans="1:7" s="25" customFormat="1" ht="13.8" x14ac:dyDescent="0.3">
      <c r="A1937" s="208"/>
      <c r="B1937" s="208"/>
      <c r="C1937" s="209"/>
      <c r="D1937" s="209"/>
      <c r="E1937" s="209"/>
      <c r="F1937" s="209"/>
      <c r="G1937" s="210"/>
    </row>
    <row r="1938" spans="1:7" s="25" customFormat="1" ht="13.8" x14ac:dyDescent="0.3">
      <c r="A1938" s="208"/>
      <c r="B1938" s="208"/>
      <c r="C1938" s="209"/>
      <c r="D1938" s="209"/>
      <c r="E1938" s="209"/>
      <c r="F1938" s="209"/>
      <c r="G1938" s="210"/>
    </row>
    <row r="1939" spans="1:7" s="25" customFormat="1" ht="13.8" x14ac:dyDescent="0.3">
      <c r="A1939" s="208"/>
      <c r="B1939" s="208"/>
      <c r="C1939" s="209"/>
      <c r="D1939" s="209"/>
      <c r="E1939" s="209"/>
      <c r="F1939" s="209"/>
      <c r="G1939" s="210"/>
    </row>
    <row r="1940" spans="1:7" s="25" customFormat="1" ht="13.8" x14ac:dyDescent="0.3">
      <c r="A1940" s="208"/>
      <c r="B1940" s="208"/>
      <c r="C1940" s="209"/>
      <c r="D1940" s="209"/>
      <c r="E1940" s="209"/>
      <c r="F1940" s="209"/>
      <c r="G1940" s="210"/>
    </row>
    <row r="1941" spans="1:7" s="25" customFormat="1" ht="13.8" x14ac:dyDescent="0.3">
      <c r="A1941" s="208"/>
      <c r="B1941" s="208"/>
      <c r="C1941" s="209"/>
      <c r="D1941" s="209"/>
      <c r="E1941" s="209"/>
      <c r="F1941" s="209"/>
      <c r="G1941" s="210"/>
    </row>
    <row r="1942" spans="1:7" s="25" customFormat="1" ht="13.8" x14ac:dyDescent="0.3">
      <c r="A1942" s="208"/>
      <c r="B1942" s="208"/>
      <c r="C1942" s="209"/>
      <c r="D1942" s="209"/>
      <c r="E1942" s="209"/>
      <c r="F1942" s="209"/>
      <c r="G1942" s="210"/>
    </row>
    <row r="1943" spans="1:7" s="25" customFormat="1" ht="13.8" x14ac:dyDescent="0.3">
      <c r="A1943" s="208"/>
      <c r="B1943" s="208"/>
      <c r="C1943" s="209"/>
      <c r="D1943" s="209"/>
      <c r="E1943" s="209"/>
      <c r="F1943" s="209"/>
      <c r="G1943" s="210"/>
    </row>
    <row r="1944" spans="1:7" s="25" customFormat="1" ht="13.8" x14ac:dyDescent="0.3">
      <c r="A1944" s="208"/>
      <c r="B1944" s="208"/>
      <c r="C1944" s="209"/>
      <c r="D1944" s="209"/>
      <c r="E1944" s="209"/>
      <c r="F1944" s="209"/>
      <c r="G1944" s="210"/>
    </row>
    <row r="1945" spans="1:7" s="25" customFormat="1" ht="13.8" x14ac:dyDescent="0.3">
      <c r="A1945" s="208"/>
      <c r="B1945" s="208"/>
      <c r="C1945" s="209"/>
      <c r="D1945" s="209"/>
      <c r="E1945" s="209"/>
      <c r="F1945" s="209"/>
      <c r="G1945" s="210"/>
    </row>
    <row r="1946" spans="1:7" s="25" customFormat="1" ht="13.8" x14ac:dyDescent="0.3">
      <c r="A1946" s="208"/>
      <c r="B1946" s="208"/>
      <c r="C1946" s="209"/>
      <c r="D1946" s="209"/>
      <c r="E1946" s="209"/>
      <c r="F1946" s="209"/>
      <c r="G1946" s="210"/>
    </row>
    <row r="1947" spans="1:7" s="25" customFormat="1" ht="13.8" x14ac:dyDescent="0.3">
      <c r="A1947" s="208"/>
      <c r="B1947" s="208"/>
      <c r="C1947" s="209"/>
      <c r="D1947" s="209"/>
      <c r="E1947" s="209"/>
      <c r="F1947" s="209"/>
      <c r="G1947" s="210"/>
    </row>
    <row r="1948" spans="1:7" s="25" customFormat="1" ht="13.8" x14ac:dyDescent="0.3">
      <c r="A1948" s="208"/>
      <c r="B1948" s="208"/>
      <c r="C1948" s="209"/>
      <c r="D1948" s="209"/>
      <c r="E1948" s="209"/>
      <c r="F1948" s="209"/>
      <c r="G1948" s="210"/>
    </row>
    <row r="1949" spans="1:7" s="25" customFormat="1" ht="13.8" x14ac:dyDescent="0.3">
      <c r="A1949" s="208"/>
      <c r="B1949" s="208"/>
      <c r="C1949" s="209"/>
      <c r="D1949" s="209"/>
      <c r="E1949" s="209"/>
      <c r="F1949" s="209"/>
      <c r="G1949" s="210"/>
    </row>
    <row r="1950" spans="1:7" s="25" customFormat="1" ht="13.8" x14ac:dyDescent="0.3">
      <c r="A1950" s="208"/>
      <c r="B1950" s="208"/>
      <c r="C1950" s="209"/>
      <c r="D1950" s="209"/>
      <c r="E1950" s="209"/>
      <c r="F1950" s="209"/>
      <c r="G1950" s="210"/>
    </row>
    <row r="1951" spans="1:7" s="25" customFormat="1" ht="13.8" x14ac:dyDescent="0.3">
      <c r="A1951" s="208"/>
      <c r="B1951" s="208"/>
      <c r="C1951" s="209"/>
      <c r="D1951" s="209"/>
      <c r="E1951" s="209"/>
      <c r="F1951" s="209"/>
      <c r="G1951" s="210"/>
    </row>
    <row r="1952" spans="1:7" s="25" customFormat="1" ht="13.8" x14ac:dyDescent="0.3">
      <c r="A1952" s="208"/>
      <c r="B1952" s="208"/>
      <c r="C1952" s="209"/>
      <c r="D1952" s="209"/>
      <c r="E1952" s="209"/>
      <c r="F1952" s="209"/>
      <c r="G1952" s="210"/>
    </row>
    <row r="1953" spans="1:7" s="25" customFormat="1" ht="13.8" x14ac:dyDescent="0.3">
      <c r="A1953" s="208"/>
      <c r="B1953" s="208"/>
      <c r="C1953" s="209"/>
      <c r="D1953" s="209"/>
      <c r="E1953" s="209"/>
      <c r="F1953" s="209"/>
      <c r="G1953" s="210"/>
    </row>
    <row r="1954" spans="1:7" s="25" customFormat="1" ht="13.8" x14ac:dyDescent="0.3">
      <c r="A1954" s="208"/>
      <c r="B1954" s="208"/>
      <c r="C1954" s="209"/>
      <c r="D1954" s="209"/>
      <c r="E1954" s="209"/>
      <c r="F1954" s="209"/>
      <c r="G1954" s="210"/>
    </row>
    <row r="1955" spans="1:7" s="25" customFormat="1" ht="13.8" x14ac:dyDescent="0.3">
      <c r="A1955" s="208"/>
      <c r="B1955" s="208"/>
      <c r="C1955" s="209"/>
      <c r="D1955" s="209"/>
      <c r="E1955" s="209"/>
      <c r="F1955" s="209"/>
      <c r="G1955" s="210"/>
    </row>
    <row r="1956" spans="1:7" s="25" customFormat="1" ht="13.8" x14ac:dyDescent="0.3">
      <c r="A1956" s="208"/>
      <c r="B1956" s="208"/>
      <c r="C1956" s="209"/>
      <c r="D1956" s="209"/>
      <c r="E1956" s="209"/>
      <c r="F1956" s="209"/>
      <c r="G1956" s="210"/>
    </row>
    <row r="1957" spans="1:7" s="25" customFormat="1" ht="13.8" x14ac:dyDescent="0.3">
      <c r="A1957" s="208"/>
      <c r="B1957" s="208"/>
      <c r="C1957" s="209"/>
      <c r="D1957" s="209"/>
      <c r="E1957" s="209"/>
      <c r="F1957" s="209"/>
      <c r="G1957" s="210"/>
    </row>
    <row r="1958" spans="1:7" s="25" customFormat="1" ht="13.8" x14ac:dyDescent="0.3">
      <c r="A1958" s="208"/>
      <c r="B1958" s="208"/>
      <c r="C1958" s="209"/>
      <c r="D1958" s="209"/>
      <c r="E1958" s="209"/>
      <c r="F1958" s="209"/>
      <c r="G1958" s="210"/>
    </row>
    <row r="1959" spans="1:7" s="25" customFormat="1" ht="13.8" x14ac:dyDescent="0.3">
      <c r="A1959" s="208"/>
      <c r="B1959" s="208"/>
      <c r="C1959" s="209"/>
      <c r="D1959" s="209"/>
      <c r="E1959" s="209"/>
      <c r="F1959" s="209"/>
      <c r="G1959" s="210"/>
    </row>
    <row r="1960" spans="1:7" s="25" customFormat="1" ht="13.8" x14ac:dyDescent="0.3">
      <c r="A1960" s="208"/>
      <c r="B1960" s="208"/>
      <c r="C1960" s="209"/>
      <c r="D1960" s="209"/>
      <c r="E1960" s="209"/>
      <c r="F1960" s="209"/>
      <c r="G1960" s="210"/>
    </row>
    <row r="1961" spans="1:7" s="25" customFormat="1" ht="13.8" x14ac:dyDescent="0.3">
      <c r="A1961" s="208"/>
      <c r="B1961" s="208"/>
      <c r="C1961" s="209"/>
      <c r="D1961" s="209"/>
      <c r="E1961" s="209"/>
      <c r="F1961" s="209"/>
      <c r="G1961" s="210"/>
    </row>
    <row r="1962" spans="1:7" s="25" customFormat="1" ht="13.8" x14ac:dyDescent="0.3">
      <c r="A1962" s="208"/>
      <c r="B1962" s="208"/>
      <c r="C1962" s="209"/>
      <c r="D1962" s="209"/>
      <c r="E1962" s="209"/>
      <c r="F1962" s="209"/>
      <c r="G1962" s="210"/>
    </row>
    <row r="1963" spans="1:7" s="25" customFormat="1" ht="13.8" x14ac:dyDescent="0.3">
      <c r="A1963" s="208"/>
      <c r="B1963" s="208"/>
      <c r="C1963" s="209"/>
      <c r="D1963" s="209"/>
      <c r="E1963" s="209"/>
      <c r="F1963" s="209"/>
      <c r="G1963" s="210"/>
    </row>
    <row r="1964" spans="1:7" s="25" customFormat="1" ht="13.8" x14ac:dyDescent="0.3">
      <c r="A1964" s="208"/>
      <c r="B1964" s="208"/>
      <c r="C1964" s="209"/>
      <c r="D1964" s="209"/>
      <c r="E1964" s="209"/>
      <c r="F1964" s="209"/>
      <c r="G1964" s="210"/>
    </row>
    <row r="1965" spans="1:7" s="25" customFormat="1" ht="13.8" x14ac:dyDescent="0.3">
      <c r="A1965" s="208"/>
      <c r="B1965" s="208"/>
      <c r="C1965" s="209"/>
      <c r="D1965" s="209"/>
      <c r="E1965" s="209"/>
      <c r="F1965" s="209"/>
      <c r="G1965" s="210"/>
    </row>
    <row r="1966" spans="1:7" s="25" customFormat="1" ht="13.8" x14ac:dyDescent="0.3">
      <c r="A1966" s="208"/>
      <c r="B1966" s="208"/>
      <c r="C1966" s="209"/>
      <c r="D1966" s="209"/>
      <c r="E1966" s="209"/>
      <c r="F1966" s="209"/>
      <c r="G1966" s="210"/>
    </row>
    <row r="1967" spans="1:7" s="25" customFormat="1" ht="13.8" x14ac:dyDescent="0.3">
      <c r="A1967" s="208"/>
      <c r="B1967" s="208"/>
      <c r="C1967" s="209"/>
      <c r="D1967" s="209"/>
      <c r="E1967" s="209"/>
      <c r="F1967" s="209"/>
      <c r="G1967" s="210"/>
    </row>
    <row r="1968" spans="1:7" s="25" customFormat="1" ht="13.8" x14ac:dyDescent="0.3">
      <c r="A1968" s="208"/>
      <c r="B1968" s="208"/>
      <c r="C1968" s="209"/>
      <c r="D1968" s="209"/>
      <c r="E1968" s="209"/>
      <c r="F1968" s="209"/>
      <c r="G1968" s="210"/>
    </row>
    <row r="1969" spans="1:7" s="25" customFormat="1" ht="13.8" x14ac:dyDescent="0.3">
      <c r="A1969" s="208"/>
      <c r="B1969" s="208"/>
      <c r="C1969" s="209"/>
      <c r="D1969" s="209"/>
      <c r="E1969" s="209"/>
      <c r="F1969" s="209"/>
      <c r="G1969" s="210"/>
    </row>
    <row r="1970" spans="1:7" s="25" customFormat="1" ht="13.8" x14ac:dyDescent="0.3">
      <c r="A1970" s="208"/>
      <c r="B1970" s="208"/>
      <c r="C1970" s="209"/>
      <c r="D1970" s="209"/>
      <c r="E1970" s="209"/>
      <c r="F1970" s="209"/>
      <c r="G1970" s="210"/>
    </row>
    <row r="1971" spans="1:7" s="25" customFormat="1" ht="13.8" x14ac:dyDescent="0.3">
      <c r="A1971" s="208"/>
      <c r="B1971" s="208"/>
      <c r="C1971" s="209"/>
      <c r="D1971" s="209"/>
      <c r="E1971" s="209"/>
      <c r="F1971" s="209"/>
      <c r="G1971" s="210"/>
    </row>
    <row r="1972" spans="1:7" s="25" customFormat="1" ht="13.8" x14ac:dyDescent="0.3">
      <c r="A1972" s="208"/>
      <c r="B1972" s="208"/>
      <c r="C1972" s="209"/>
      <c r="D1972" s="209"/>
      <c r="E1972" s="209"/>
      <c r="F1972" s="209"/>
      <c r="G1972" s="210"/>
    </row>
    <row r="1973" spans="1:7" s="25" customFormat="1" ht="13.8" x14ac:dyDescent="0.3">
      <c r="A1973" s="208"/>
      <c r="B1973" s="208"/>
      <c r="C1973" s="209"/>
      <c r="D1973" s="209"/>
      <c r="E1973" s="209"/>
      <c r="F1973" s="209"/>
      <c r="G1973" s="210"/>
    </row>
    <row r="1974" spans="1:7" s="25" customFormat="1" ht="13.8" x14ac:dyDescent="0.3">
      <c r="A1974" s="208"/>
      <c r="B1974" s="208"/>
      <c r="C1974" s="209"/>
      <c r="D1974" s="209"/>
      <c r="E1974" s="209"/>
      <c r="F1974" s="209"/>
      <c r="G1974" s="210"/>
    </row>
    <row r="1975" spans="1:7" s="25" customFormat="1" ht="13.8" x14ac:dyDescent="0.3">
      <c r="A1975" s="208"/>
      <c r="B1975" s="208"/>
      <c r="C1975" s="209"/>
      <c r="D1975" s="209"/>
      <c r="E1975" s="209"/>
      <c r="F1975" s="209"/>
      <c r="G1975" s="210"/>
    </row>
    <row r="1976" spans="1:7" s="25" customFormat="1" ht="13.8" x14ac:dyDescent="0.3">
      <c r="A1976" s="208"/>
      <c r="B1976" s="208"/>
      <c r="C1976" s="209"/>
      <c r="D1976" s="209"/>
      <c r="E1976" s="209"/>
      <c r="F1976" s="209"/>
      <c r="G1976" s="210"/>
    </row>
    <row r="1977" spans="1:7" s="25" customFormat="1" ht="13.8" x14ac:dyDescent="0.3">
      <c r="A1977" s="208"/>
      <c r="B1977" s="208"/>
      <c r="C1977" s="209"/>
      <c r="D1977" s="209"/>
      <c r="E1977" s="209"/>
      <c r="F1977" s="209"/>
      <c r="G1977" s="210"/>
    </row>
    <row r="1978" spans="1:7" s="25" customFormat="1" ht="13.8" x14ac:dyDescent="0.3">
      <c r="A1978" s="208"/>
      <c r="B1978" s="208"/>
      <c r="C1978" s="209"/>
      <c r="D1978" s="209"/>
      <c r="E1978" s="209"/>
      <c r="F1978" s="209"/>
      <c r="G1978" s="210"/>
    </row>
    <row r="1979" spans="1:7" s="25" customFormat="1" ht="13.8" x14ac:dyDescent="0.3">
      <c r="A1979" s="208"/>
      <c r="B1979" s="208"/>
      <c r="C1979" s="209"/>
      <c r="D1979" s="209"/>
      <c r="E1979" s="209"/>
      <c r="F1979" s="209"/>
      <c r="G1979" s="210"/>
    </row>
    <row r="1980" spans="1:7" s="25" customFormat="1" ht="13.8" x14ac:dyDescent="0.3">
      <c r="A1980" s="208"/>
      <c r="B1980" s="208"/>
      <c r="C1980" s="209"/>
      <c r="D1980" s="209"/>
      <c r="E1980" s="209"/>
      <c r="F1980" s="209"/>
      <c r="G1980" s="210"/>
    </row>
    <row r="1981" spans="1:7" s="25" customFormat="1" ht="13.8" x14ac:dyDescent="0.3">
      <c r="A1981" s="208"/>
      <c r="B1981" s="208"/>
      <c r="C1981" s="209"/>
      <c r="D1981" s="209"/>
      <c r="E1981" s="209"/>
      <c r="F1981" s="209"/>
      <c r="G1981" s="210"/>
    </row>
    <row r="1982" spans="1:7" s="25" customFormat="1" ht="13.8" x14ac:dyDescent="0.3">
      <c r="A1982" s="208"/>
      <c r="B1982" s="208"/>
      <c r="C1982" s="209"/>
      <c r="D1982" s="209"/>
      <c r="E1982" s="209"/>
      <c r="F1982" s="209"/>
      <c r="G1982" s="210"/>
    </row>
    <row r="1983" spans="1:7" s="25" customFormat="1" ht="13.8" x14ac:dyDescent="0.3">
      <c r="A1983" s="208"/>
      <c r="B1983" s="208"/>
      <c r="C1983" s="209"/>
      <c r="D1983" s="209"/>
      <c r="E1983" s="209"/>
      <c r="F1983" s="209"/>
      <c r="G1983" s="210"/>
    </row>
    <row r="1984" spans="1:7" s="25" customFormat="1" ht="13.8" x14ac:dyDescent="0.3">
      <c r="A1984" s="208"/>
      <c r="B1984" s="208"/>
      <c r="C1984" s="209"/>
      <c r="D1984" s="209"/>
      <c r="E1984" s="209"/>
      <c r="F1984" s="209"/>
      <c r="G1984" s="210"/>
    </row>
    <row r="1985" spans="1:7" s="25" customFormat="1" ht="13.8" x14ac:dyDescent="0.3">
      <c r="A1985" s="208"/>
      <c r="B1985" s="208"/>
      <c r="C1985" s="209"/>
      <c r="D1985" s="209"/>
      <c r="E1985" s="209"/>
      <c r="F1985" s="209"/>
      <c r="G1985" s="210"/>
    </row>
    <row r="1986" spans="1:7" s="25" customFormat="1" ht="13.8" x14ac:dyDescent="0.3">
      <c r="A1986" s="208"/>
      <c r="B1986" s="208"/>
      <c r="C1986" s="209"/>
      <c r="D1986" s="209"/>
      <c r="E1986" s="209"/>
      <c r="F1986" s="209"/>
      <c r="G1986" s="210"/>
    </row>
    <row r="1987" spans="1:7" s="25" customFormat="1" ht="13.8" x14ac:dyDescent="0.3">
      <c r="A1987" s="208"/>
      <c r="B1987" s="208"/>
      <c r="C1987" s="209"/>
      <c r="D1987" s="209"/>
      <c r="E1987" s="209"/>
      <c r="F1987" s="209"/>
      <c r="G1987" s="210"/>
    </row>
    <row r="1988" spans="1:7" s="25" customFormat="1" ht="13.8" x14ac:dyDescent="0.3">
      <c r="A1988" s="208"/>
      <c r="B1988" s="208"/>
      <c r="C1988" s="209"/>
      <c r="D1988" s="209"/>
      <c r="E1988" s="209"/>
      <c r="F1988" s="209"/>
      <c r="G1988" s="210"/>
    </row>
    <row r="1989" spans="1:7" s="25" customFormat="1" ht="13.8" x14ac:dyDescent="0.3">
      <c r="A1989" s="208"/>
      <c r="B1989" s="208"/>
      <c r="C1989" s="209"/>
      <c r="D1989" s="209"/>
      <c r="E1989" s="209"/>
      <c r="F1989" s="209"/>
      <c r="G1989" s="210"/>
    </row>
    <row r="1990" spans="1:7" s="25" customFormat="1" ht="13.8" x14ac:dyDescent="0.3">
      <c r="A1990" s="208"/>
      <c r="B1990" s="208"/>
      <c r="C1990" s="209"/>
      <c r="D1990" s="209"/>
      <c r="E1990" s="209"/>
      <c r="F1990" s="209"/>
      <c r="G1990" s="210"/>
    </row>
    <row r="1991" spans="1:7" s="25" customFormat="1" ht="13.8" x14ac:dyDescent="0.3">
      <c r="A1991" s="208"/>
      <c r="B1991" s="208"/>
      <c r="C1991" s="209"/>
      <c r="D1991" s="209"/>
      <c r="E1991" s="209"/>
      <c r="F1991" s="209"/>
      <c r="G1991" s="210"/>
    </row>
    <row r="1992" spans="1:7" s="25" customFormat="1" ht="13.8" x14ac:dyDescent="0.3">
      <c r="A1992" s="208"/>
      <c r="B1992" s="208"/>
      <c r="C1992" s="209"/>
      <c r="D1992" s="209"/>
      <c r="E1992" s="209"/>
      <c r="F1992" s="209"/>
      <c r="G1992" s="210"/>
    </row>
    <row r="1993" spans="1:7" s="25" customFormat="1" ht="13.8" x14ac:dyDescent="0.3">
      <c r="A1993" s="208"/>
      <c r="B1993" s="208"/>
      <c r="C1993" s="209"/>
      <c r="D1993" s="209"/>
      <c r="E1993" s="209"/>
      <c r="F1993" s="209"/>
      <c r="G1993" s="210"/>
    </row>
    <row r="1994" spans="1:7" s="25" customFormat="1" ht="13.8" x14ac:dyDescent="0.3">
      <c r="A1994" s="208"/>
      <c r="B1994" s="208"/>
      <c r="C1994" s="209"/>
      <c r="D1994" s="209"/>
      <c r="E1994" s="209"/>
      <c r="F1994" s="209"/>
      <c r="G1994" s="210"/>
    </row>
    <row r="1995" spans="1:7" s="25" customFormat="1" ht="13.8" x14ac:dyDescent="0.3">
      <c r="A1995" s="208"/>
      <c r="B1995" s="208"/>
      <c r="C1995" s="209"/>
      <c r="D1995" s="209"/>
      <c r="E1995" s="209"/>
      <c r="F1995" s="209"/>
      <c r="G1995" s="210"/>
    </row>
    <row r="1996" spans="1:7" s="25" customFormat="1" ht="13.8" x14ac:dyDescent="0.3">
      <c r="A1996" s="208"/>
      <c r="B1996" s="208"/>
      <c r="C1996" s="209"/>
      <c r="D1996" s="209"/>
      <c r="E1996" s="209"/>
      <c r="F1996" s="209"/>
      <c r="G1996" s="210"/>
    </row>
    <row r="1997" spans="1:7" s="25" customFormat="1" ht="13.8" x14ac:dyDescent="0.3">
      <c r="A1997" s="208"/>
      <c r="B1997" s="208"/>
      <c r="C1997" s="209"/>
      <c r="D1997" s="209"/>
      <c r="E1997" s="209"/>
      <c r="F1997" s="209"/>
      <c r="G1997" s="210"/>
    </row>
    <row r="1998" spans="1:7" s="25" customFormat="1" ht="13.8" x14ac:dyDescent="0.3">
      <c r="A1998" s="208"/>
      <c r="B1998" s="208"/>
      <c r="C1998" s="209"/>
      <c r="D1998" s="209"/>
      <c r="E1998" s="209"/>
      <c r="F1998" s="209"/>
      <c r="G1998" s="210"/>
    </row>
    <row r="1999" spans="1:7" s="25" customFormat="1" ht="13.8" x14ac:dyDescent="0.3">
      <c r="A1999" s="208"/>
      <c r="B1999" s="208"/>
      <c r="C1999" s="209"/>
      <c r="D1999" s="209"/>
      <c r="E1999" s="209"/>
      <c r="F1999" s="209"/>
      <c r="G1999" s="210"/>
    </row>
    <row r="2000" spans="1:7" s="25" customFormat="1" ht="13.8" x14ac:dyDescent="0.3">
      <c r="A2000" s="208"/>
      <c r="B2000" s="208"/>
      <c r="C2000" s="209"/>
      <c r="D2000" s="209"/>
      <c r="E2000" s="209"/>
      <c r="F2000" s="209"/>
      <c r="G2000" s="210"/>
    </row>
    <row r="2001" spans="1:7" s="25" customFormat="1" ht="13.8" x14ac:dyDescent="0.3">
      <c r="A2001" s="208"/>
      <c r="B2001" s="208"/>
      <c r="C2001" s="209"/>
      <c r="D2001" s="209"/>
      <c r="E2001" s="209"/>
      <c r="F2001" s="209"/>
      <c r="G2001" s="210"/>
    </row>
    <row r="2002" spans="1:7" s="25" customFormat="1" ht="13.8" x14ac:dyDescent="0.3">
      <c r="A2002" s="208"/>
      <c r="B2002" s="208"/>
      <c r="C2002" s="209"/>
      <c r="D2002" s="209"/>
      <c r="E2002" s="209"/>
      <c r="F2002" s="209"/>
      <c r="G2002" s="210"/>
    </row>
    <row r="2003" spans="1:7" s="25" customFormat="1" ht="13.8" x14ac:dyDescent="0.3">
      <c r="A2003" s="208"/>
      <c r="B2003" s="208"/>
      <c r="C2003" s="209"/>
      <c r="D2003" s="209"/>
      <c r="E2003" s="209"/>
      <c r="F2003" s="209"/>
      <c r="G2003" s="210"/>
    </row>
    <row r="2004" spans="1:7" s="25" customFormat="1" ht="13.8" x14ac:dyDescent="0.3">
      <c r="A2004" s="208"/>
      <c r="B2004" s="208"/>
      <c r="C2004" s="209"/>
      <c r="D2004" s="209"/>
      <c r="E2004" s="209"/>
      <c r="F2004" s="209"/>
      <c r="G2004" s="210"/>
    </row>
    <row r="2005" spans="1:7" s="25" customFormat="1" ht="13.8" x14ac:dyDescent="0.3">
      <c r="A2005" s="208"/>
      <c r="B2005" s="208"/>
      <c r="C2005" s="209"/>
      <c r="D2005" s="209"/>
      <c r="E2005" s="209"/>
      <c r="F2005" s="209"/>
      <c r="G2005" s="210"/>
    </row>
    <row r="2006" spans="1:7" s="25" customFormat="1" ht="13.8" x14ac:dyDescent="0.3">
      <c r="A2006" s="208"/>
      <c r="B2006" s="208"/>
      <c r="C2006" s="209"/>
      <c r="D2006" s="209"/>
      <c r="E2006" s="209"/>
      <c r="F2006" s="209"/>
      <c r="G2006" s="210"/>
    </row>
    <row r="2007" spans="1:7" s="25" customFormat="1" ht="13.8" x14ac:dyDescent="0.3">
      <c r="A2007" s="208"/>
      <c r="B2007" s="208"/>
      <c r="C2007" s="209"/>
      <c r="D2007" s="209"/>
      <c r="E2007" s="209"/>
      <c r="F2007" s="209"/>
      <c r="G2007" s="210"/>
    </row>
    <row r="2008" spans="1:7" s="25" customFormat="1" ht="13.8" x14ac:dyDescent="0.3">
      <c r="A2008" s="208"/>
      <c r="B2008" s="208"/>
      <c r="C2008" s="209"/>
      <c r="D2008" s="209"/>
      <c r="E2008" s="209"/>
      <c r="F2008" s="209"/>
      <c r="G2008" s="210"/>
    </row>
    <row r="2009" spans="1:7" s="25" customFormat="1" ht="13.8" x14ac:dyDescent="0.3">
      <c r="A2009" s="208"/>
      <c r="B2009" s="208"/>
      <c r="C2009" s="209"/>
      <c r="D2009" s="209"/>
      <c r="E2009" s="209"/>
      <c r="F2009" s="209"/>
      <c r="G2009" s="210"/>
    </row>
    <row r="2010" spans="1:7" s="25" customFormat="1" ht="13.8" x14ac:dyDescent="0.3">
      <c r="A2010" s="208"/>
      <c r="B2010" s="208"/>
      <c r="C2010" s="209"/>
      <c r="D2010" s="209"/>
      <c r="E2010" s="209"/>
      <c r="F2010" s="209"/>
      <c r="G2010" s="210"/>
    </row>
    <row r="2011" spans="1:7" s="25" customFormat="1" ht="13.8" x14ac:dyDescent="0.3">
      <c r="A2011" s="208"/>
      <c r="B2011" s="208"/>
      <c r="C2011" s="209"/>
      <c r="D2011" s="209"/>
      <c r="E2011" s="209"/>
      <c r="F2011" s="209"/>
      <c r="G2011" s="210"/>
    </row>
    <row r="2012" spans="1:7" s="25" customFormat="1" ht="13.8" x14ac:dyDescent="0.3">
      <c r="A2012" s="208"/>
      <c r="B2012" s="208"/>
      <c r="C2012" s="209"/>
      <c r="D2012" s="209"/>
      <c r="E2012" s="209"/>
      <c r="F2012" s="209"/>
      <c r="G2012" s="210"/>
    </row>
    <row r="2013" spans="1:7" s="25" customFormat="1" ht="13.8" x14ac:dyDescent="0.3">
      <c r="A2013" s="208"/>
      <c r="B2013" s="208"/>
      <c r="C2013" s="209"/>
      <c r="D2013" s="209"/>
      <c r="E2013" s="209"/>
      <c r="F2013" s="209"/>
      <c r="G2013" s="210"/>
    </row>
    <row r="2014" spans="1:7" s="25" customFormat="1" ht="13.8" x14ac:dyDescent="0.3">
      <c r="A2014" s="208"/>
      <c r="B2014" s="208"/>
      <c r="C2014" s="209"/>
      <c r="D2014" s="209"/>
      <c r="E2014" s="209"/>
      <c r="F2014" s="209"/>
      <c r="G2014" s="210"/>
    </row>
    <row r="2015" spans="1:7" s="25" customFormat="1" ht="13.8" x14ac:dyDescent="0.3">
      <c r="A2015" s="208"/>
      <c r="B2015" s="208"/>
      <c r="C2015" s="209"/>
      <c r="D2015" s="209"/>
      <c r="E2015" s="209"/>
      <c r="F2015" s="209"/>
      <c r="G2015" s="210"/>
    </row>
    <row r="2016" spans="1:7" s="25" customFormat="1" ht="13.8" x14ac:dyDescent="0.3">
      <c r="A2016" s="208"/>
      <c r="B2016" s="208"/>
      <c r="C2016" s="209"/>
      <c r="D2016" s="209"/>
      <c r="E2016" s="209"/>
      <c r="F2016" s="209"/>
      <c r="G2016" s="210"/>
    </row>
    <row r="2017" spans="1:7" s="25" customFormat="1" ht="13.8" x14ac:dyDescent="0.3">
      <c r="A2017" s="208"/>
      <c r="B2017" s="208"/>
      <c r="C2017" s="209"/>
      <c r="D2017" s="209"/>
      <c r="E2017" s="209"/>
      <c r="F2017" s="209"/>
      <c r="G2017" s="210"/>
    </row>
    <row r="2018" spans="1:7" s="25" customFormat="1" ht="13.8" x14ac:dyDescent="0.3">
      <c r="A2018" s="208"/>
      <c r="B2018" s="208"/>
      <c r="C2018" s="209"/>
      <c r="D2018" s="209"/>
      <c r="E2018" s="209"/>
      <c r="F2018" s="209"/>
      <c r="G2018" s="210"/>
    </row>
    <row r="2019" spans="1:7" s="25" customFormat="1" ht="13.8" x14ac:dyDescent="0.3">
      <c r="A2019" s="208"/>
      <c r="B2019" s="208"/>
      <c r="C2019" s="209"/>
      <c r="D2019" s="209"/>
      <c r="E2019" s="209"/>
      <c r="F2019" s="209"/>
      <c r="G2019" s="210"/>
    </row>
    <row r="2020" spans="1:7" s="25" customFormat="1" ht="13.8" x14ac:dyDescent="0.3">
      <c r="A2020" s="208"/>
      <c r="B2020" s="208"/>
      <c r="C2020" s="209"/>
      <c r="D2020" s="209"/>
      <c r="E2020" s="209"/>
      <c r="F2020" s="209"/>
      <c r="G2020" s="210"/>
    </row>
    <row r="2021" spans="1:7" s="25" customFormat="1" ht="13.8" x14ac:dyDescent="0.3">
      <c r="A2021" s="208"/>
      <c r="B2021" s="208"/>
      <c r="C2021" s="209"/>
      <c r="D2021" s="209"/>
      <c r="E2021" s="209"/>
      <c r="F2021" s="209"/>
      <c r="G2021" s="210"/>
    </row>
    <row r="2022" spans="1:7" s="25" customFormat="1" ht="13.8" x14ac:dyDescent="0.3">
      <c r="A2022" s="208"/>
      <c r="B2022" s="208"/>
      <c r="C2022" s="209"/>
      <c r="D2022" s="209"/>
      <c r="E2022" s="209"/>
      <c r="F2022" s="209"/>
      <c r="G2022" s="210"/>
    </row>
    <row r="2023" spans="1:7" s="25" customFormat="1" ht="13.8" x14ac:dyDescent="0.3">
      <c r="A2023" s="208"/>
      <c r="B2023" s="208"/>
      <c r="C2023" s="209"/>
      <c r="D2023" s="209"/>
      <c r="E2023" s="209"/>
      <c r="F2023" s="209"/>
      <c r="G2023" s="210"/>
    </row>
    <row r="2024" spans="1:7" s="25" customFormat="1" ht="13.8" x14ac:dyDescent="0.3">
      <c r="A2024" s="208"/>
      <c r="B2024" s="208"/>
      <c r="C2024" s="209"/>
      <c r="D2024" s="209"/>
      <c r="E2024" s="209"/>
      <c r="F2024" s="209"/>
      <c r="G2024" s="210"/>
    </row>
    <row r="2025" spans="1:7" s="25" customFormat="1" ht="13.8" x14ac:dyDescent="0.3">
      <c r="A2025" s="208"/>
      <c r="B2025" s="208"/>
      <c r="C2025" s="209"/>
      <c r="D2025" s="209"/>
      <c r="E2025" s="209"/>
      <c r="F2025" s="209"/>
      <c r="G2025" s="210"/>
    </row>
    <row r="2026" spans="1:7" s="25" customFormat="1" ht="13.8" x14ac:dyDescent="0.3">
      <c r="A2026" s="208"/>
      <c r="B2026" s="208"/>
      <c r="C2026" s="209"/>
      <c r="D2026" s="209"/>
      <c r="E2026" s="209"/>
      <c r="F2026" s="209"/>
      <c r="G2026" s="210"/>
    </row>
    <row r="2027" spans="1:7" s="25" customFormat="1" ht="13.8" x14ac:dyDescent="0.3">
      <c r="A2027" s="208"/>
      <c r="B2027" s="208"/>
      <c r="C2027" s="209"/>
      <c r="D2027" s="209"/>
      <c r="E2027" s="209"/>
      <c r="F2027" s="209"/>
      <c r="G2027" s="210"/>
    </row>
    <row r="2028" spans="1:7" s="25" customFormat="1" ht="13.8" x14ac:dyDescent="0.3">
      <c r="A2028" s="208"/>
      <c r="B2028" s="208"/>
      <c r="C2028" s="209"/>
      <c r="D2028" s="209"/>
      <c r="E2028" s="209"/>
      <c r="F2028" s="209"/>
      <c r="G2028" s="210"/>
    </row>
    <row r="2029" spans="1:7" s="25" customFormat="1" ht="13.8" x14ac:dyDescent="0.3">
      <c r="A2029" s="208"/>
      <c r="B2029" s="208"/>
      <c r="C2029" s="209"/>
      <c r="D2029" s="209"/>
      <c r="E2029" s="209"/>
      <c r="F2029" s="209"/>
      <c r="G2029" s="210"/>
    </row>
    <row r="2030" spans="1:7" s="25" customFormat="1" ht="13.8" x14ac:dyDescent="0.3">
      <c r="A2030" s="208"/>
      <c r="B2030" s="208"/>
      <c r="C2030" s="209"/>
      <c r="D2030" s="209"/>
      <c r="E2030" s="209"/>
      <c r="F2030" s="209"/>
      <c r="G2030" s="210"/>
    </row>
    <row r="2031" spans="1:7" s="25" customFormat="1" ht="13.8" x14ac:dyDescent="0.3">
      <c r="A2031" s="208"/>
      <c r="B2031" s="208"/>
      <c r="C2031" s="209"/>
      <c r="D2031" s="209"/>
      <c r="E2031" s="209"/>
      <c r="F2031" s="209"/>
      <c r="G2031" s="210"/>
    </row>
    <row r="2032" spans="1:7" s="25" customFormat="1" ht="13.8" x14ac:dyDescent="0.3">
      <c r="A2032" s="208"/>
      <c r="B2032" s="208"/>
      <c r="C2032" s="209"/>
      <c r="D2032" s="209"/>
      <c r="E2032" s="209"/>
      <c r="F2032" s="209"/>
      <c r="G2032" s="210"/>
    </row>
    <row r="2033" spans="1:7" s="25" customFormat="1" ht="13.8" x14ac:dyDescent="0.3">
      <c r="A2033" s="208"/>
      <c r="B2033" s="208"/>
      <c r="C2033" s="209"/>
      <c r="D2033" s="209"/>
      <c r="E2033" s="209"/>
      <c r="F2033" s="209"/>
      <c r="G2033" s="210"/>
    </row>
    <row r="2034" spans="1:7" s="25" customFormat="1" ht="13.8" x14ac:dyDescent="0.3">
      <c r="A2034" s="208"/>
      <c r="B2034" s="208"/>
      <c r="C2034" s="209"/>
      <c r="D2034" s="209"/>
      <c r="E2034" s="209"/>
      <c r="F2034" s="209"/>
      <c r="G2034" s="210"/>
    </row>
    <row r="2035" spans="1:7" s="25" customFormat="1" ht="13.8" x14ac:dyDescent="0.3">
      <c r="A2035" s="208"/>
      <c r="B2035" s="208"/>
      <c r="C2035" s="209"/>
      <c r="D2035" s="209"/>
      <c r="E2035" s="209"/>
      <c r="F2035" s="209"/>
      <c r="G2035" s="210"/>
    </row>
    <row r="2036" spans="1:7" s="25" customFormat="1" ht="13.8" x14ac:dyDescent="0.3">
      <c r="A2036" s="208"/>
      <c r="B2036" s="208"/>
      <c r="C2036" s="209"/>
      <c r="D2036" s="209"/>
      <c r="E2036" s="209"/>
      <c r="F2036" s="209"/>
      <c r="G2036" s="210"/>
    </row>
    <row r="2037" spans="1:7" s="25" customFormat="1" ht="13.8" x14ac:dyDescent="0.3">
      <c r="A2037" s="208"/>
      <c r="B2037" s="208"/>
      <c r="C2037" s="209"/>
      <c r="D2037" s="209"/>
      <c r="E2037" s="209"/>
      <c r="F2037" s="209"/>
      <c r="G2037" s="210"/>
    </row>
    <row r="2038" spans="1:7" s="25" customFormat="1" ht="13.8" x14ac:dyDescent="0.3">
      <c r="A2038" s="208"/>
      <c r="B2038" s="208"/>
      <c r="C2038" s="209"/>
      <c r="D2038" s="209"/>
      <c r="E2038" s="209"/>
      <c r="F2038" s="209"/>
      <c r="G2038" s="210"/>
    </row>
    <row r="2039" spans="1:7" s="25" customFormat="1" ht="13.8" x14ac:dyDescent="0.3">
      <c r="A2039" s="208"/>
      <c r="B2039" s="208"/>
      <c r="C2039" s="209"/>
      <c r="D2039" s="209"/>
      <c r="E2039" s="209"/>
      <c r="F2039" s="209"/>
      <c r="G2039" s="210"/>
    </row>
    <row r="2040" spans="1:7" s="25" customFormat="1" ht="13.8" x14ac:dyDescent="0.3">
      <c r="A2040" s="208"/>
      <c r="B2040" s="208"/>
      <c r="C2040" s="209"/>
      <c r="D2040" s="209"/>
      <c r="E2040" s="209"/>
      <c r="F2040" s="209"/>
      <c r="G2040" s="210"/>
    </row>
    <row r="2041" spans="1:7" s="25" customFormat="1" ht="13.8" x14ac:dyDescent="0.3">
      <c r="A2041" s="208"/>
      <c r="B2041" s="208"/>
      <c r="C2041" s="209"/>
      <c r="D2041" s="209"/>
      <c r="E2041" s="209"/>
      <c r="F2041" s="209"/>
      <c r="G2041" s="210"/>
    </row>
    <row r="2042" spans="1:7" s="25" customFormat="1" ht="13.8" x14ac:dyDescent="0.3">
      <c r="A2042" s="208"/>
      <c r="B2042" s="208"/>
      <c r="C2042" s="209"/>
      <c r="D2042" s="209"/>
      <c r="E2042" s="209"/>
      <c r="F2042" s="209"/>
      <c r="G2042" s="210"/>
    </row>
    <row r="2043" spans="1:7" s="25" customFormat="1" ht="13.8" x14ac:dyDescent="0.3">
      <c r="A2043" s="208"/>
      <c r="B2043" s="208"/>
      <c r="C2043" s="209"/>
      <c r="D2043" s="209"/>
      <c r="E2043" s="209"/>
      <c r="F2043" s="209"/>
      <c r="G2043" s="210"/>
    </row>
    <row r="2044" spans="1:7" s="25" customFormat="1" ht="13.8" x14ac:dyDescent="0.3">
      <c r="A2044" s="208"/>
      <c r="B2044" s="208"/>
      <c r="C2044" s="209"/>
      <c r="D2044" s="209"/>
      <c r="E2044" s="209"/>
      <c r="F2044" s="209"/>
      <c r="G2044" s="210"/>
    </row>
    <row r="2045" spans="1:7" s="25" customFormat="1" ht="13.8" x14ac:dyDescent="0.3">
      <c r="A2045" s="208"/>
      <c r="B2045" s="208"/>
      <c r="C2045" s="209"/>
      <c r="D2045" s="209"/>
      <c r="E2045" s="209"/>
      <c r="F2045" s="209"/>
      <c r="G2045" s="210"/>
    </row>
    <row r="2046" spans="1:7" s="25" customFormat="1" ht="13.8" x14ac:dyDescent="0.3">
      <c r="A2046" s="208"/>
      <c r="B2046" s="208"/>
      <c r="C2046" s="209"/>
      <c r="D2046" s="209"/>
      <c r="E2046" s="209"/>
      <c r="F2046" s="209"/>
      <c r="G2046" s="210"/>
    </row>
    <row r="2047" spans="1:7" s="25" customFormat="1" ht="13.8" x14ac:dyDescent="0.3">
      <c r="A2047" s="208"/>
      <c r="B2047" s="208"/>
      <c r="C2047" s="209"/>
      <c r="D2047" s="209"/>
      <c r="E2047" s="209"/>
      <c r="F2047" s="209"/>
      <c r="G2047" s="210"/>
    </row>
    <row r="2048" spans="1:7" s="25" customFormat="1" ht="13.8" x14ac:dyDescent="0.3">
      <c r="A2048" s="208"/>
      <c r="B2048" s="208"/>
      <c r="C2048" s="209"/>
      <c r="D2048" s="209"/>
      <c r="E2048" s="209"/>
      <c r="F2048" s="209"/>
      <c r="G2048" s="210"/>
    </row>
    <row r="2049" spans="1:7" s="25" customFormat="1" ht="13.8" x14ac:dyDescent="0.3">
      <c r="A2049" s="208"/>
      <c r="B2049" s="208"/>
      <c r="C2049" s="209"/>
      <c r="D2049" s="209"/>
      <c r="E2049" s="209"/>
      <c r="F2049" s="209"/>
      <c r="G2049" s="210"/>
    </row>
    <row r="2050" spans="1:7" s="25" customFormat="1" ht="13.8" x14ac:dyDescent="0.3">
      <c r="A2050" s="208"/>
      <c r="B2050" s="208"/>
      <c r="C2050" s="209"/>
      <c r="D2050" s="209"/>
      <c r="E2050" s="209"/>
      <c r="F2050" s="209"/>
      <c r="G2050" s="210"/>
    </row>
    <row r="2051" spans="1:7" s="25" customFormat="1" ht="13.8" x14ac:dyDescent="0.3">
      <c r="A2051" s="208"/>
      <c r="B2051" s="208"/>
      <c r="C2051" s="209"/>
      <c r="D2051" s="209"/>
      <c r="E2051" s="209"/>
      <c r="F2051" s="209"/>
      <c r="G2051" s="210"/>
    </row>
    <row r="2052" spans="1:7" s="25" customFormat="1" ht="13.8" x14ac:dyDescent="0.3">
      <c r="A2052" s="208"/>
      <c r="B2052" s="208"/>
      <c r="C2052" s="209"/>
      <c r="D2052" s="209"/>
      <c r="E2052" s="209"/>
      <c r="F2052" s="209"/>
      <c r="G2052" s="210"/>
    </row>
    <row r="2053" spans="1:7" s="25" customFormat="1" ht="13.8" x14ac:dyDescent="0.3">
      <c r="A2053" s="208"/>
      <c r="B2053" s="208"/>
      <c r="C2053" s="209"/>
      <c r="D2053" s="209"/>
      <c r="E2053" s="209"/>
      <c r="F2053" s="209"/>
      <c r="G2053" s="210"/>
    </row>
    <row r="2054" spans="1:7" s="25" customFormat="1" ht="13.8" x14ac:dyDescent="0.3">
      <c r="A2054" s="208"/>
      <c r="B2054" s="208"/>
      <c r="C2054" s="209"/>
      <c r="D2054" s="209"/>
      <c r="E2054" s="209"/>
      <c r="F2054" s="209"/>
      <c r="G2054" s="210"/>
    </row>
    <row r="2055" spans="1:7" s="25" customFormat="1" ht="13.8" x14ac:dyDescent="0.3">
      <c r="A2055" s="208"/>
      <c r="B2055" s="208"/>
      <c r="C2055" s="209"/>
      <c r="D2055" s="209"/>
      <c r="E2055" s="209"/>
      <c r="F2055" s="209"/>
      <c r="G2055" s="210"/>
    </row>
    <row r="2056" spans="1:7" s="25" customFormat="1" ht="13.8" x14ac:dyDescent="0.3">
      <c r="A2056" s="208"/>
      <c r="B2056" s="208"/>
      <c r="C2056" s="209"/>
      <c r="D2056" s="209"/>
      <c r="E2056" s="209"/>
      <c r="F2056" s="209"/>
      <c r="G2056" s="210"/>
    </row>
    <row r="2057" spans="1:7" s="25" customFormat="1" ht="13.8" x14ac:dyDescent="0.3">
      <c r="A2057" s="208"/>
      <c r="B2057" s="208"/>
      <c r="C2057" s="209"/>
      <c r="D2057" s="209"/>
      <c r="E2057" s="209"/>
      <c r="F2057" s="209"/>
      <c r="G2057" s="210"/>
    </row>
    <row r="2058" spans="1:7" s="25" customFormat="1" ht="13.8" x14ac:dyDescent="0.3">
      <c r="A2058" s="208"/>
      <c r="B2058" s="208"/>
      <c r="C2058" s="209"/>
      <c r="D2058" s="209"/>
      <c r="E2058" s="209"/>
      <c r="F2058" s="209"/>
      <c r="G2058" s="210"/>
    </row>
    <row r="2059" spans="1:7" s="25" customFormat="1" ht="13.8" x14ac:dyDescent="0.3">
      <c r="A2059" s="208"/>
      <c r="B2059" s="208"/>
      <c r="C2059" s="209"/>
      <c r="D2059" s="209"/>
      <c r="E2059" s="209"/>
      <c r="F2059" s="209"/>
      <c r="G2059" s="210"/>
    </row>
    <row r="2060" spans="1:7" s="25" customFormat="1" ht="13.8" x14ac:dyDescent="0.3">
      <c r="A2060" s="208"/>
      <c r="B2060" s="208"/>
      <c r="C2060" s="209"/>
      <c r="D2060" s="209"/>
      <c r="E2060" s="209"/>
      <c r="F2060" s="209"/>
      <c r="G2060" s="210"/>
    </row>
    <row r="2061" spans="1:7" s="25" customFormat="1" ht="13.8" x14ac:dyDescent="0.3">
      <c r="A2061" s="208"/>
      <c r="B2061" s="208"/>
      <c r="C2061" s="209"/>
      <c r="D2061" s="209"/>
      <c r="E2061" s="209"/>
      <c r="F2061" s="209"/>
      <c r="G2061" s="210"/>
    </row>
    <row r="2062" spans="1:7" s="25" customFormat="1" ht="13.8" x14ac:dyDescent="0.3">
      <c r="A2062" s="208"/>
      <c r="B2062" s="208"/>
      <c r="C2062" s="209"/>
      <c r="D2062" s="209"/>
      <c r="E2062" s="209"/>
      <c r="F2062" s="209"/>
      <c r="G2062" s="210"/>
    </row>
    <row r="2063" spans="1:7" s="25" customFormat="1" ht="13.8" x14ac:dyDescent="0.3">
      <c r="A2063" s="208"/>
      <c r="B2063" s="208"/>
      <c r="C2063" s="209"/>
      <c r="D2063" s="209"/>
      <c r="E2063" s="209"/>
      <c r="F2063" s="209"/>
      <c r="G2063" s="210"/>
    </row>
    <row r="2064" spans="1:7" s="25" customFormat="1" ht="13.8" x14ac:dyDescent="0.3">
      <c r="A2064" s="208"/>
      <c r="B2064" s="208"/>
      <c r="C2064" s="209"/>
      <c r="D2064" s="209"/>
      <c r="E2064" s="209"/>
      <c r="F2064" s="209"/>
      <c r="G2064" s="210"/>
    </row>
    <row r="2065" spans="1:7" s="25" customFormat="1" ht="13.8" x14ac:dyDescent="0.3">
      <c r="A2065" s="208"/>
      <c r="B2065" s="208"/>
      <c r="C2065" s="209"/>
      <c r="D2065" s="209"/>
      <c r="E2065" s="209"/>
      <c r="F2065" s="209"/>
      <c r="G2065" s="210"/>
    </row>
    <row r="2066" spans="1:7" s="25" customFormat="1" ht="13.8" x14ac:dyDescent="0.3">
      <c r="A2066" s="208"/>
      <c r="B2066" s="208"/>
      <c r="C2066" s="209"/>
      <c r="D2066" s="209"/>
      <c r="E2066" s="209"/>
      <c r="F2066" s="209"/>
      <c r="G2066" s="210"/>
    </row>
    <row r="2067" spans="1:7" s="25" customFormat="1" ht="13.8" x14ac:dyDescent="0.3">
      <c r="A2067" s="208"/>
      <c r="B2067" s="208"/>
      <c r="C2067" s="209"/>
      <c r="D2067" s="209"/>
      <c r="E2067" s="209"/>
      <c r="F2067" s="209"/>
      <c r="G2067" s="210"/>
    </row>
    <row r="2068" spans="1:7" s="25" customFormat="1" ht="13.8" x14ac:dyDescent="0.3">
      <c r="A2068" s="208"/>
      <c r="B2068" s="208"/>
      <c r="C2068" s="209"/>
      <c r="D2068" s="209"/>
      <c r="E2068" s="209"/>
      <c r="F2068" s="209"/>
      <c r="G2068" s="210"/>
    </row>
    <row r="2069" spans="1:7" s="25" customFormat="1" ht="13.8" x14ac:dyDescent="0.3">
      <c r="A2069" s="208"/>
      <c r="B2069" s="208"/>
      <c r="C2069" s="209"/>
      <c r="D2069" s="209"/>
      <c r="E2069" s="209"/>
      <c r="F2069" s="209"/>
      <c r="G2069" s="210"/>
    </row>
    <row r="2070" spans="1:7" s="25" customFormat="1" ht="13.8" x14ac:dyDescent="0.3">
      <c r="A2070" s="208"/>
      <c r="B2070" s="208"/>
      <c r="C2070" s="209"/>
      <c r="D2070" s="209"/>
      <c r="E2070" s="209"/>
      <c r="F2070" s="209"/>
      <c r="G2070" s="210"/>
    </row>
    <row r="2071" spans="1:7" s="25" customFormat="1" ht="13.8" x14ac:dyDescent="0.3">
      <c r="A2071" s="208"/>
      <c r="B2071" s="208"/>
      <c r="C2071" s="209"/>
      <c r="D2071" s="209"/>
      <c r="E2071" s="209"/>
      <c r="F2071" s="209"/>
      <c r="G2071" s="210"/>
    </row>
    <row r="2072" spans="1:7" s="25" customFormat="1" ht="13.8" x14ac:dyDescent="0.3">
      <c r="A2072" s="208"/>
      <c r="B2072" s="208"/>
      <c r="C2072" s="209"/>
      <c r="D2072" s="209"/>
      <c r="E2072" s="209"/>
      <c r="F2072" s="209"/>
      <c r="G2072" s="210"/>
    </row>
    <row r="2073" spans="1:7" s="25" customFormat="1" ht="13.8" x14ac:dyDescent="0.3">
      <c r="A2073" s="208"/>
      <c r="B2073" s="208"/>
      <c r="C2073" s="209"/>
      <c r="D2073" s="209"/>
      <c r="E2073" s="209"/>
      <c r="F2073" s="209"/>
      <c r="G2073" s="210"/>
    </row>
    <row r="2074" spans="1:7" s="25" customFormat="1" ht="13.8" x14ac:dyDescent="0.3">
      <c r="A2074" s="208"/>
      <c r="B2074" s="208"/>
      <c r="C2074" s="209"/>
      <c r="D2074" s="209"/>
      <c r="E2074" s="209"/>
      <c r="F2074" s="209"/>
      <c r="G2074" s="210"/>
    </row>
    <row r="2075" spans="1:7" s="25" customFormat="1" ht="13.8" x14ac:dyDescent="0.3">
      <c r="A2075" s="208"/>
      <c r="B2075" s="208"/>
      <c r="C2075" s="209"/>
      <c r="D2075" s="209"/>
      <c r="E2075" s="209"/>
      <c r="F2075" s="209"/>
      <c r="G2075" s="210"/>
    </row>
    <row r="2076" spans="1:7" s="25" customFormat="1" ht="13.8" x14ac:dyDescent="0.3">
      <c r="A2076" s="208"/>
      <c r="B2076" s="208"/>
      <c r="C2076" s="209"/>
      <c r="D2076" s="209"/>
      <c r="E2076" s="209"/>
      <c r="F2076" s="209"/>
      <c r="G2076" s="210"/>
    </row>
    <row r="2077" spans="1:7" s="25" customFormat="1" ht="13.8" x14ac:dyDescent="0.3">
      <c r="A2077" s="208"/>
      <c r="B2077" s="208"/>
      <c r="C2077" s="209"/>
      <c r="D2077" s="209"/>
      <c r="E2077" s="209"/>
      <c r="F2077" s="209"/>
      <c r="G2077" s="210"/>
    </row>
    <row r="2078" spans="1:7" s="25" customFormat="1" ht="13.8" x14ac:dyDescent="0.3">
      <c r="A2078" s="208"/>
      <c r="B2078" s="208"/>
      <c r="C2078" s="209"/>
      <c r="D2078" s="209"/>
      <c r="E2078" s="209"/>
      <c r="F2078" s="209"/>
      <c r="G2078" s="210"/>
    </row>
    <row r="2079" spans="1:7" s="25" customFormat="1" ht="13.8" x14ac:dyDescent="0.3">
      <c r="A2079" s="208"/>
      <c r="B2079" s="208"/>
      <c r="C2079" s="209"/>
      <c r="D2079" s="209"/>
      <c r="E2079" s="209"/>
      <c r="F2079" s="209"/>
      <c r="G2079" s="210"/>
    </row>
    <row r="2080" spans="1:7" s="25" customFormat="1" ht="13.8" x14ac:dyDescent="0.3">
      <c r="A2080" s="208"/>
      <c r="B2080" s="208"/>
      <c r="C2080" s="209"/>
      <c r="D2080" s="209"/>
      <c r="E2080" s="209"/>
      <c r="F2080" s="209"/>
      <c r="G2080" s="210"/>
    </row>
    <row r="2081" spans="1:7" s="25" customFormat="1" ht="13.8" x14ac:dyDescent="0.3">
      <c r="A2081" s="208"/>
      <c r="B2081" s="208"/>
      <c r="C2081" s="209"/>
      <c r="D2081" s="209"/>
      <c r="E2081" s="209"/>
      <c r="F2081" s="209"/>
      <c r="G2081" s="210"/>
    </row>
    <row r="2082" spans="1:7" s="25" customFormat="1" ht="13.8" x14ac:dyDescent="0.3">
      <c r="A2082" s="208"/>
      <c r="B2082" s="208"/>
      <c r="C2082" s="209"/>
      <c r="D2082" s="209"/>
      <c r="E2082" s="209"/>
      <c r="F2082" s="209"/>
      <c r="G2082" s="210"/>
    </row>
    <row r="2083" spans="1:7" s="25" customFormat="1" ht="13.8" x14ac:dyDescent="0.3">
      <c r="A2083" s="208"/>
      <c r="B2083" s="208"/>
      <c r="C2083" s="209"/>
      <c r="D2083" s="209"/>
      <c r="E2083" s="209"/>
      <c r="F2083" s="209"/>
      <c r="G2083" s="210"/>
    </row>
    <row r="2084" spans="1:7" s="25" customFormat="1" ht="13.8" x14ac:dyDescent="0.3">
      <c r="A2084" s="208"/>
      <c r="B2084" s="208"/>
      <c r="C2084" s="209"/>
      <c r="D2084" s="209"/>
      <c r="E2084" s="209"/>
      <c r="F2084" s="209"/>
      <c r="G2084" s="210"/>
    </row>
    <row r="2085" spans="1:7" s="25" customFormat="1" ht="13.8" x14ac:dyDescent="0.3">
      <c r="A2085" s="208"/>
      <c r="B2085" s="208"/>
      <c r="C2085" s="209"/>
      <c r="D2085" s="209"/>
      <c r="E2085" s="209"/>
      <c r="F2085" s="209"/>
      <c r="G2085" s="210"/>
    </row>
    <row r="2086" spans="1:7" s="25" customFormat="1" ht="13.8" x14ac:dyDescent="0.3">
      <c r="A2086" s="208"/>
      <c r="B2086" s="208"/>
      <c r="C2086" s="209"/>
      <c r="D2086" s="209"/>
      <c r="E2086" s="209"/>
      <c r="F2086" s="209"/>
      <c r="G2086" s="210"/>
    </row>
    <row r="2087" spans="1:7" s="25" customFormat="1" ht="13.8" x14ac:dyDescent="0.3">
      <c r="A2087" s="208"/>
      <c r="B2087" s="208"/>
      <c r="C2087" s="209"/>
      <c r="D2087" s="209"/>
      <c r="E2087" s="209"/>
      <c r="F2087" s="209"/>
      <c r="G2087" s="210"/>
    </row>
    <row r="2088" spans="1:7" s="25" customFormat="1" ht="13.8" x14ac:dyDescent="0.3">
      <c r="A2088" s="208"/>
      <c r="B2088" s="208"/>
      <c r="C2088" s="209"/>
      <c r="D2088" s="209"/>
      <c r="E2088" s="209"/>
      <c r="F2088" s="209"/>
      <c r="G2088" s="210"/>
    </row>
    <row r="2089" spans="1:7" s="25" customFormat="1" ht="13.8" x14ac:dyDescent="0.3">
      <c r="A2089" s="208"/>
      <c r="B2089" s="208"/>
      <c r="C2089" s="209"/>
      <c r="D2089" s="209"/>
      <c r="E2089" s="209"/>
      <c r="F2089" s="209"/>
      <c r="G2089" s="210"/>
    </row>
    <row r="2090" spans="1:7" s="25" customFormat="1" ht="13.8" x14ac:dyDescent="0.3">
      <c r="A2090" s="208"/>
      <c r="B2090" s="208"/>
      <c r="C2090" s="209"/>
      <c r="D2090" s="209"/>
      <c r="E2090" s="209"/>
      <c r="F2090" s="209"/>
      <c r="G2090" s="210"/>
    </row>
    <row r="2091" spans="1:7" s="25" customFormat="1" ht="13.8" x14ac:dyDescent="0.3">
      <c r="A2091" s="208"/>
      <c r="B2091" s="208"/>
      <c r="C2091" s="209"/>
      <c r="D2091" s="209"/>
      <c r="E2091" s="209"/>
      <c r="F2091" s="209"/>
      <c r="G2091" s="210"/>
    </row>
    <row r="2092" spans="1:7" s="25" customFormat="1" ht="13.8" x14ac:dyDescent="0.3">
      <c r="A2092" s="208"/>
      <c r="B2092" s="208"/>
      <c r="C2092" s="209"/>
      <c r="D2092" s="209"/>
      <c r="E2092" s="209"/>
      <c r="F2092" s="209"/>
      <c r="G2092" s="210"/>
    </row>
    <row r="2093" spans="1:7" s="25" customFormat="1" ht="13.8" x14ac:dyDescent="0.3">
      <c r="A2093" s="208"/>
      <c r="B2093" s="208"/>
      <c r="C2093" s="209"/>
      <c r="D2093" s="209"/>
      <c r="E2093" s="209"/>
      <c r="F2093" s="209"/>
      <c r="G2093" s="210"/>
    </row>
    <row r="2094" spans="1:7" s="25" customFormat="1" ht="13.8" x14ac:dyDescent="0.3">
      <c r="A2094" s="208"/>
      <c r="B2094" s="208"/>
      <c r="C2094" s="209"/>
      <c r="D2094" s="209"/>
      <c r="E2094" s="209"/>
      <c r="F2094" s="209"/>
      <c r="G2094" s="210"/>
    </row>
    <row r="2095" spans="1:7" s="25" customFormat="1" ht="13.8" x14ac:dyDescent="0.3">
      <c r="A2095" s="208"/>
      <c r="B2095" s="208"/>
      <c r="C2095" s="209"/>
      <c r="D2095" s="209"/>
      <c r="E2095" s="209"/>
      <c r="F2095" s="209"/>
      <c r="G2095" s="210"/>
    </row>
    <row r="2096" spans="1:7" s="25" customFormat="1" ht="13.8" x14ac:dyDescent="0.3">
      <c r="A2096" s="208"/>
      <c r="B2096" s="208"/>
      <c r="C2096" s="209"/>
      <c r="D2096" s="209"/>
      <c r="E2096" s="209"/>
      <c r="F2096" s="209"/>
      <c r="G2096" s="210"/>
    </row>
    <row r="2097" spans="1:7" s="25" customFormat="1" ht="13.8" x14ac:dyDescent="0.3">
      <c r="A2097" s="208"/>
      <c r="B2097" s="208"/>
      <c r="C2097" s="209"/>
      <c r="D2097" s="209"/>
      <c r="E2097" s="209"/>
      <c r="F2097" s="209"/>
      <c r="G2097" s="210"/>
    </row>
    <row r="2098" spans="1:7" s="25" customFormat="1" ht="13.8" x14ac:dyDescent="0.3">
      <c r="A2098" s="208"/>
      <c r="B2098" s="208"/>
      <c r="C2098" s="209"/>
      <c r="D2098" s="209"/>
      <c r="E2098" s="209"/>
      <c r="F2098" s="209"/>
      <c r="G2098" s="210"/>
    </row>
    <row r="2099" spans="1:7" s="25" customFormat="1" ht="13.8" x14ac:dyDescent="0.3">
      <c r="A2099" s="208"/>
      <c r="B2099" s="208"/>
      <c r="C2099" s="209"/>
      <c r="D2099" s="209"/>
      <c r="E2099" s="209"/>
      <c r="F2099" s="209"/>
      <c r="G2099" s="210"/>
    </row>
    <row r="2100" spans="1:7" s="25" customFormat="1" ht="13.8" x14ac:dyDescent="0.3">
      <c r="A2100" s="208"/>
      <c r="B2100" s="208"/>
      <c r="C2100" s="209"/>
      <c r="D2100" s="209"/>
      <c r="E2100" s="209"/>
      <c r="F2100" s="209"/>
      <c r="G2100" s="210"/>
    </row>
    <row r="2101" spans="1:7" s="25" customFormat="1" ht="13.8" x14ac:dyDescent="0.3">
      <c r="A2101" s="208"/>
      <c r="B2101" s="208"/>
      <c r="C2101" s="209"/>
      <c r="D2101" s="209"/>
      <c r="E2101" s="209"/>
      <c r="F2101" s="209"/>
      <c r="G2101" s="210"/>
    </row>
    <row r="2102" spans="1:7" s="25" customFormat="1" ht="13.8" x14ac:dyDescent="0.3">
      <c r="A2102" s="208"/>
      <c r="B2102" s="208"/>
      <c r="C2102" s="209"/>
      <c r="D2102" s="209"/>
      <c r="E2102" s="209"/>
      <c r="F2102" s="209"/>
      <c r="G2102" s="210"/>
    </row>
    <row r="2103" spans="1:7" s="25" customFormat="1" ht="13.8" x14ac:dyDescent="0.3">
      <c r="A2103" s="208"/>
      <c r="B2103" s="208"/>
      <c r="C2103" s="209"/>
      <c r="D2103" s="209"/>
      <c r="E2103" s="209"/>
      <c r="F2103" s="209"/>
      <c r="G2103" s="210"/>
    </row>
    <row r="2104" spans="1:7" s="25" customFormat="1" ht="13.8" x14ac:dyDescent="0.3">
      <c r="A2104" s="208"/>
      <c r="B2104" s="208"/>
      <c r="C2104" s="209"/>
      <c r="D2104" s="209"/>
      <c r="E2104" s="209"/>
      <c r="F2104" s="209"/>
      <c r="G2104" s="210"/>
    </row>
    <row r="2105" spans="1:7" s="25" customFormat="1" ht="13.8" x14ac:dyDescent="0.3">
      <c r="A2105" s="208"/>
      <c r="B2105" s="208"/>
      <c r="C2105" s="209"/>
      <c r="D2105" s="209"/>
      <c r="E2105" s="209"/>
      <c r="F2105" s="209"/>
      <c r="G2105" s="210"/>
    </row>
    <row r="2106" spans="1:7" s="25" customFormat="1" ht="13.8" x14ac:dyDescent="0.3">
      <c r="A2106" s="208"/>
      <c r="B2106" s="208"/>
      <c r="C2106" s="209"/>
      <c r="D2106" s="209"/>
      <c r="E2106" s="209"/>
      <c r="F2106" s="209"/>
      <c r="G2106" s="210"/>
    </row>
    <row r="2107" spans="1:7" s="25" customFormat="1" ht="13.8" x14ac:dyDescent="0.3">
      <c r="A2107" s="208"/>
      <c r="B2107" s="208"/>
      <c r="C2107" s="209"/>
      <c r="D2107" s="209"/>
      <c r="E2107" s="209"/>
      <c r="F2107" s="209"/>
      <c r="G2107" s="210"/>
    </row>
    <row r="2108" spans="1:7" s="25" customFormat="1" ht="13.8" x14ac:dyDescent="0.3">
      <c r="A2108" s="208"/>
      <c r="B2108" s="208"/>
      <c r="C2108" s="209"/>
      <c r="D2108" s="209"/>
      <c r="E2108" s="209"/>
      <c r="F2108" s="209"/>
      <c r="G2108" s="210"/>
    </row>
    <row r="2109" spans="1:7" s="25" customFormat="1" ht="13.8" x14ac:dyDescent="0.3">
      <c r="A2109" s="208"/>
      <c r="B2109" s="208"/>
      <c r="C2109" s="209"/>
      <c r="D2109" s="209"/>
      <c r="E2109" s="209"/>
      <c r="F2109" s="209"/>
      <c r="G2109" s="210"/>
    </row>
    <row r="2110" spans="1:7" s="25" customFormat="1" ht="13.8" x14ac:dyDescent="0.3">
      <c r="A2110" s="208"/>
      <c r="B2110" s="208"/>
      <c r="C2110" s="209"/>
      <c r="D2110" s="209"/>
      <c r="E2110" s="209"/>
      <c r="F2110" s="209"/>
      <c r="G2110" s="210"/>
    </row>
    <row r="2111" spans="1:7" s="25" customFormat="1" ht="13.8" x14ac:dyDescent="0.3">
      <c r="A2111" s="208"/>
      <c r="B2111" s="208"/>
      <c r="C2111" s="209"/>
      <c r="D2111" s="209"/>
      <c r="E2111" s="209"/>
      <c r="F2111" s="209"/>
      <c r="G2111" s="210"/>
    </row>
    <row r="2112" spans="1:7" s="25" customFormat="1" ht="13.8" x14ac:dyDescent="0.3">
      <c r="A2112" s="208"/>
      <c r="B2112" s="208"/>
      <c r="C2112" s="209"/>
      <c r="D2112" s="209"/>
      <c r="E2112" s="209"/>
      <c r="F2112" s="209"/>
      <c r="G2112" s="210"/>
    </row>
    <row r="2113" spans="1:7" s="25" customFormat="1" ht="13.8" x14ac:dyDescent="0.3">
      <c r="A2113" s="208"/>
      <c r="B2113" s="208"/>
      <c r="C2113" s="209"/>
      <c r="D2113" s="209"/>
      <c r="E2113" s="209"/>
      <c r="F2113" s="209"/>
      <c r="G2113" s="210"/>
    </row>
    <row r="2114" spans="1:7" s="25" customFormat="1" ht="13.8" x14ac:dyDescent="0.3">
      <c r="A2114" s="208"/>
      <c r="B2114" s="208"/>
      <c r="C2114" s="209"/>
      <c r="D2114" s="209"/>
      <c r="E2114" s="209"/>
      <c r="F2114" s="209"/>
      <c r="G2114" s="210"/>
    </row>
    <row r="2115" spans="1:7" s="25" customFormat="1" ht="13.8" x14ac:dyDescent="0.3">
      <c r="A2115" s="208"/>
      <c r="B2115" s="208"/>
      <c r="C2115" s="209"/>
      <c r="D2115" s="209"/>
      <c r="E2115" s="209"/>
      <c r="F2115" s="209"/>
      <c r="G2115" s="210"/>
    </row>
    <row r="2116" spans="1:7" s="25" customFormat="1" ht="13.8" x14ac:dyDescent="0.3">
      <c r="A2116" s="208"/>
      <c r="B2116" s="208"/>
      <c r="C2116" s="209"/>
      <c r="D2116" s="209"/>
      <c r="E2116" s="209"/>
      <c r="F2116" s="209"/>
      <c r="G2116" s="210"/>
    </row>
    <row r="2117" spans="1:7" s="25" customFormat="1" ht="13.8" x14ac:dyDescent="0.3">
      <c r="A2117" s="208"/>
      <c r="B2117" s="208"/>
      <c r="C2117" s="209"/>
      <c r="D2117" s="209"/>
      <c r="E2117" s="209"/>
      <c r="F2117" s="209"/>
      <c r="G2117" s="210"/>
    </row>
    <row r="2118" spans="1:7" s="25" customFormat="1" ht="13.8" x14ac:dyDescent="0.3">
      <c r="A2118" s="208"/>
      <c r="B2118" s="208"/>
      <c r="C2118" s="209"/>
      <c r="D2118" s="209"/>
      <c r="E2118" s="209"/>
      <c r="F2118" s="209"/>
      <c r="G2118" s="210"/>
    </row>
    <row r="2119" spans="1:7" s="25" customFormat="1" ht="13.8" x14ac:dyDescent="0.3">
      <c r="A2119" s="208"/>
      <c r="B2119" s="208"/>
      <c r="C2119" s="209"/>
      <c r="D2119" s="209"/>
      <c r="E2119" s="209"/>
      <c r="F2119" s="209"/>
      <c r="G2119" s="210"/>
    </row>
    <row r="2120" spans="1:7" s="25" customFormat="1" ht="13.8" x14ac:dyDescent="0.3">
      <c r="A2120" s="208"/>
      <c r="B2120" s="208"/>
      <c r="C2120" s="209"/>
      <c r="D2120" s="209"/>
      <c r="E2120" s="209"/>
      <c r="F2120" s="209"/>
      <c r="G2120" s="210"/>
    </row>
    <row r="2121" spans="1:7" s="25" customFormat="1" ht="13.8" x14ac:dyDescent="0.3">
      <c r="A2121" s="208"/>
      <c r="B2121" s="208"/>
      <c r="C2121" s="209"/>
      <c r="D2121" s="209"/>
      <c r="E2121" s="209"/>
      <c r="F2121" s="209"/>
      <c r="G2121" s="210"/>
    </row>
    <row r="2122" spans="1:7" s="25" customFormat="1" ht="13.8" x14ac:dyDescent="0.3">
      <c r="A2122" s="208"/>
      <c r="B2122" s="208"/>
      <c r="C2122" s="209"/>
      <c r="D2122" s="209"/>
      <c r="E2122" s="209"/>
      <c r="F2122" s="209"/>
      <c r="G2122" s="210"/>
    </row>
    <row r="2123" spans="1:7" s="25" customFormat="1" ht="13.8" x14ac:dyDescent="0.3">
      <c r="A2123" s="208"/>
      <c r="B2123" s="208"/>
      <c r="C2123" s="209"/>
      <c r="D2123" s="209"/>
      <c r="E2123" s="209"/>
      <c r="F2123" s="209"/>
      <c r="G2123" s="210"/>
    </row>
    <row r="2124" spans="1:7" s="25" customFormat="1" ht="13.8" x14ac:dyDescent="0.3">
      <c r="A2124" s="208"/>
      <c r="B2124" s="208"/>
      <c r="C2124" s="209"/>
      <c r="D2124" s="209"/>
      <c r="E2124" s="209"/>
      <c r="F2124" s="209"/>
      <c r="G2124" s="210"/>
    </row>
    <row r="2125" spans="1:7" s="25" customFormat="1" ht="13.8" x14ac:dyDescent="0.3">
      <c r="A2125" s="208"/>
      <c r="B2125" s="208"/>
      <c r="C2125" s="209"/>
      <c r="D2125" s="209"/>
      <c r="E2125" s="209"/>
      <c r="F2125" s="209"/>
      <c r="G2125" s="210"/>
    </row>
    <row r="2126" spans="1:7" s="25" customFormat="1" ht="13.8" x14ac:dyDescent="0.3">
      <c r="A2126" s="208"/>
      <c r="B2126" s="208"/>
      <c r="C2126" s="209"/>
      <c r="D2126" s="209"/>
      <c r="E2126" s="209"/>
      <c r="F2126" s="209"/>
      <c r="G2126" s="210"/>
    </row>
    <row r="2127" spans="1:7" s="25" customFormat="1" ht="13.8" x14ac:dyDescent="0.3">
      <c r="A2127" s="208"/>
      <c r="B2127" s="208"/>
      <c r="C2127" s="209"/>
      <c r="D2127" s="209"/>
      <c r="E2127" s="209"/>
      <c r="F2127" s="209"/>
      <c r="G2127" s="210"/>
    </row>
    <row r="2128" spans="1:7" s="25" customFormat="1" ht="13.8" x14ac:dyDescent="0.3">
      <c r="A2128" s="208"/>
      <c r="B2128" s="208"/>
      <c r="C2128" s="209"/>
      <c r="D2128" s="209"/>
      <c r="E2128" s="209"/>
      <c r="F2128" s="209"/>
      <c r="G2128" s="210"/>
    </row>
    <row r="2129" spans="1:7" s="25" customFormat="1" ht="13.8" x14ac:dyDescent="0.3">
      <c r="A2129" s="208"/>
      <c r="B2129" s="208"/>
      <c r="C2129" s="209"/>
      <c r="D2129" s="209"/>
      <c r="E2129" s="209"/>
      <c r="F2129" s="209"/>
      <c r="G2129" s="210"/>
    </row>
    <row r="2130" spans="1:7" s="25" customFormat="1" ht="13.8" x14ac:dyDescent="0.3">
      <c r="A2130" s="208"/>
      <c r="B2130" s="208"/>
      <c r="C2130" s="209"/>
      <c r="D2130" s="209"/>
      <c r="E2130" s="209"/>
      <c r="F2130" s="209"/>
      <c r="G2130" s="210"/>
    </row>
    <row r="2131" spans="1:7" s="25" customFormat="1" ht="13.8" x14ac:dyDescent="0.3">
      <c r="A2131" s="208"/>
      <c r="B2131" s="208"/>
      <c r="C2131" s="209"/>
      <c r="D2131" s="209"/>
      <c r="E2131" s="209"/>
      <c r="F2131" s="209"/>
      <c r="G2131" s="210"/>
    </row>
    <row r="2132" spans="1:7" s="25" customFormat="1" ht="13.8" x14ac:dyDescent="0.3">
      <c r="A2132" s="208"/>
      <c r="B2132" s="208"/>
      <c r="C2132" s="209"/>
      <c r="D2132" s="209"/>
      <c r="E2132" s="209"/>
      <c r="F2132" s="209"/>
      <c r="G2132" s="210"/>
    </row>
    <row r="2133" spans="1:7" s="25" customFormat="1" ht="13.8" x14ac:dyDescent="0.3">
      <c r="A2133" s="208"/>
      <c r="B2133" s="208"/>
      <c r="C2133" s="209"/>
      <c r="D2133" s="209"/>
      <c r="E2133" s="209"/>
      <c r="F2133" s="209"/>
      <c r="G2133" s="210"/>
    </row>
    <row r="2134" spans="1:7" s="25" customFormat="1" ht="13.8" x14ac:dyDescent="0.3">
      <c r="A2134" s="208"/>
      <c r="B2134" s="208"/>
      <c r="C2134" s="209"/>
      <c r="D2134" s="209"/>
      <c r="E2134" s="209"/>
      <c r="F2134" s="209"/>
      <c r="G2134" s="210"/>
    </row>
    <row r="2135" spans="1:7" s="25" customFormat="1" ht="13.8" x14ac:dyDescent="0.3">
      <c r="A2135" s="208"/>
      <c r="B2135" s="208"/>
      <c r="C2135" s="209"/>
      <c r="D2135" s="209"/>
      <c r="E2135" s="209"/>
      <c r="F2135" s="209"/>
      <c r="G2135" s="210"/>
    </row>
    <row r="2136" spans="1:7" s="25" customFormat="1" ht="13.8" x14ac:dyDescent="0.3">
      <c r="A2136" s="208"/>
      <c r="B2136" s="208"/>
      <c r="C2136" s="209"/>
      <c r="D2136" s="209"/>
      <c r="E2136" s="209"/>
      <c r="F2136" s="209"/>
      <c r="G2136" s="210"/>
    </row>
    <row r="2137" spans="1:7" s="25" customFormat="1" ht="13.8" x14ac:dyDescent="0.3">
      <c r="A2137" s="208"/>
      <c r="B2137" s="208"/>
      <c r="C2137" s="209"/>
      <c r="D2137" s="209"/>
      <c r="E2137" s="209"/>
      <c r="F2137" s="209"/>
      <c r="G2137" s="210"/>
    </row>
    <row r="2138" spans="1:7" s="25" customFormat="1" ht="13.8" x14ac:dyDescent="0.3">
      <c r="A2138" s="208"/>
      <c r="B2138" s="208"/>
      <c r="C2138" s="209"/>
      <c r="D2138" s="209"/>
      <c r="E2138" s="209"/>
      <c r="F2138" s="209"/>
      <c r="G2138" s="210"/>
    </row>
    <row r="2139" spans="1:7" s="25" customFormat="1" ht="13.8" x14ac:dyDescent="0.3">
      <c r="A2139" s="208"/>
      <c r="B2139" s="208"/>
      <c r="C2139" s="209"/>
      <c r="D2139" s="209"/>
      <c r="E2139" s="209"/>
      <c r="F2139" s="209"/>
      <c r="G2139" s="210"/>
    </row>
    <row r="2140" spans="1:7" s="25" customFormat="1" ht="13.8" x14ac:dyDescent="0.3">
      <c r="A2140" s="208"/>
      <c r="B2140" s="208"/>
      <c r="C2140" s="209"/>
      <c r="D2140" s="209"/>
      <c r="E2140" s="209"/>
      <c r="F2140" s="209"/>
      <c r="G2140" s="210"/>
    </row>
    <row r="2141" spans="1:7" s="25" customFormat="1" ht="13.8" x14ac:dyDescent="0.3">
      <c r="A2141" s="208"/>
      <c r="B2141" s="208"/>
      <c r="C2141" s="209"/>
      <c r="D2141" s="209"/>
      <c r="E2141" s="209"/>
      <c r="F2141" s="209"/>
      <c r="G2141" s="210"/>
    </row>
    <row r="2142" spans="1:7" s="25" customFormat="1" ht="13.8" x14ac:dyDescent="0.3">
      <c r="A2142" s="208"/>
      <c r="B2142" s="208"/>
      <c r="C2142" s="209"/>
      <c r="D2142" s="209"/>
      <c r="E2142" s="209"/>
      <c r="F2142" s="209"/>
      <c r="G2142" s="210"/>
    </row>
    <row r="2143" spans="1:7" s="25" customFormat="1" ht="13.8" x14ac:dyDescent="0.3">
      <c r="A2143" s="208"/>
      <c r="B2143" s="208"/>
      <c r="C2143" s="209"/>
      <c r="D2143" s="209"/>
      <c r="E2143" s="209"/>
      <c r="F2143" s="209"/>
      <c r="G2143" s="210"/>
    </row>
    <row r="2144" spans="1:7" s="25" customFormat="1" ht="13.8" x14ac:dyDescent="0.3">
      <c r="A2144" s="208"/>
      <c r="B2144" s="208"/>
      <c r="C2144" s="209"/>
      <c r="D2144" s="209"/>
      <c r="E2144" s="209"/>
      <c r="F2144" s="209"/>
      <c r="G2144" s="210"/>
    </row>
    <row r="2145" spans="1:7" s="25" customFormat="1" ht="13.8" x14ac:dyDescent="0.3">
      <c r="A2145" s="208"/>
      <c r="B2145" s="208"/>
      <c r="C2145" s="209"/>
      <c r="D2145" s="209"/>
      <c r="E2145" s="209"/>
      <c r="F2145" s="209"/>
      <c r="G2145" s="210"/>
    </row>
    <row r="2146" spans="1:7" s="25" customFormat="1" ht="13.8" x14ac:dyDescent="0.3">
      <c r="A2146" s="208"/>
      <c r="B2146" s="208"/>
      <c r="C2146" s="209"/>
      <c r="D2146" s="209"/>
      <c r="E2146" s="209"/>
      <c r="F2146" s="209"/>
      <c r="G2146" s="210"/>
    </row>
    <row r="2147" spans="1:7" s="25" customFormat="1" ht="13.8" x14ac:dyDescent="0.3">
      <c r="A2147" s="208"/>
      <c r="B2147" s="208"/>
      <c r="C2147" s="209"/>
      <c r="D2147" s="209"/>
      <c r="E2147" s="209"/>
      <c r="F2147" s="209"/>
      <c r="G2147" s="210"/>
    </row>
    <row r="2148" spans="1:7" s="25" customFormat="1" ht="13.8" x14ac:dyDescent="0.3">
      <c r="A2148" s="208"/>
      <c r="B2148" s="208"/>
      <c r="C2148" s="209"/>
      <c r="D2148" s="209"/>
      <c r="E2148" s="209"/>
      <c r="F2148" s="209"/>
      <c r="G2148" s="210"/>
    </row>
    <row r="2149" spans="1:7" s="25" customFormat="1" ht="13.8" x14ac:dyDescent="0.3">
      <c r="A2149" s="208"/>
      <c r="B2149" s="208"/>
      <c r="C2149" s="209"/>
      <c r="D2149" s="209"/>
      <c r="E2149" s="209"/>
      <c r="F2149" s="209"/>
      <c r="G2149" s="210"/>
    </row>
    <row r="2150" spans="1:7" s="25" customFormat="1" ht="13.8" x14ac:dyDescent="0.3">
      <c r="A2150" s="208"/>
      <c r="B2150" s="208"/>
      <c r="C2150" s="209"/>
      <c r="D2150" s="209"/>
      <c r="E2150" s="209"/>
      <c r="F2150" s="209"/>
      <c r="G2150" s="210"/>
    </row>
    <row r="2151" spans="1:7" s="25" customFormat="1" ht="13.8" x14ac:dyDescent="0.3">
      <c r="A2151" s="208"/>
      <c r="B2151" s="208"/>
      <c r="C2151" s="209"/>
      <c r="D2151" s="209"/>
      <c r="E2151" s="209"/>
      <c r="F2151" s="209"/>
      <c r="G2151" s="210"/>
    </row>
    <row r="2152" spans="1:7" s="25" customFormat="1" ht="13.8" x14ac:dyDescent="0.3">
      <c r="A2152" s="208"/>
      <c r="B2152" s="208"/>
      <c r="C2152" s="209"/>
      <c r="D2152" s="209"/>
      <c r="E2152" s="209"/>
      <c r="F2152" s="209"/>
      <c r="G2152" s="210"/>
    </row>
    <row r="2153" spans="1:7" s="25" customFormat="1" ht="13.8" x14ac:dyDescent="0.3">
      <c r="A2153" s="208"/>
      <c r="B2153" s="208"/>
      <c r="C2153" s="209"/>
      <c r="D2153" s="209"/>
      <c r="E2153" s="209"/>
      <c r="F2153" s="209"/>
      <c r="G2153" s="210"/>
    </row>
    <row r="2154" spans="1:7" s="25" customFormat="1" ht="13.8" x14ac:dyDescent="0.3">
      <c r="A2154" s="208"/>
      <c r="B2154" s="208"/>
      <c r="C2154" s="209"/>
      <c r="D2154" s="209"/>
      <c r="E2154" s="209"/>
      <c r="F2154" s="209"/>
      <c r="G2154" s="210"/>
    </row>
    <row r="2155" spans="1:7" s="25" customFormat="1" ht="13.8" x14ac:dyDescent="0.3">
      <c r="A2155" s="208"/>
      <c r="B2155" s="208"/>
      <c r="C2155" s="209"/>
      <c r="D2155" s="209"/>
      <c r="E2155" s="209"/>
      <c r="F2155" s="209"/>
      <c r="G2155" s="210"/>
    </row>
    <row r="2156" spans="1:7" s="25" customFormat="1" ht="13.8" x14ac:dyDescent="0.3">
      <c r="A2156" s="208"/>
      <c r="B2156" s="208"/>
      <c r="C2156" s="209"/>
      <c r="D2156" s="209"/>
      <c r="E2156" s="209"/>
      <c r="F2156" s="209"/>
      <c r="G2156" s="210"/>
    </row>
    <row r="2157" spans="1:7" s="25" customFormat="1" ht="13.8" x14ac:dyDescent="0.3">
      <c r="A2157" s="208"/>
      <c r="B2157" s="208"/>
      <c r="C2157" s="209"/>
      <c r="D2157" s="209"/>
      <c r="E2157" s="209"/>
      <c r="F2157" s="209"/>
      <c r="G2157" s="210"/>
    </row>
    <row r="2158" spans="1:7" s="25" customFormat="1" ht="13.8" x14ac:dyDescent="0.3">
      <c r="A2158" s="208"/>
      <c r="B2158" s="208"/>
      <c r="C2158" s="209"/>
      <c r="D2158" s="209"/>
      <c r="E2158" s="209"/>
      <c r="F2158" s="209"/>
      <c r="G2158" s="210"/>
    </row>
    <row r="2159" spans="1:7" s="25" customFormat="1" ht="13.8" x14ac:dyDescent="0.3">
      <c r="A2159" s="208"/>
      <c r="B2159" s="208"/>
      <c r="C2159" s="209"/>
      <c r="D2159" s="209"/>
      <c r="E2159" s="209"/>
      <c r="F2159" s="209"/>
      <c r="G2159" s="210"/>
    </row>
    <row r="2160" spans="1:7" s="25" customFormat="1" ht="13.8" x14ac:dyDescent="0.3">
      <c r="A2160" s="208"/>
      <c r="B2160" s="208"/>
      <c r="C2160" s="209"/>
      <c r="D2160" s="209"/>
      <c r="E2160" s="209"/>
      <c r="F2160" s="209"/>
      <c r="G2160" s="210"/>
    </row>
    <row r="2161" spans="1:7" s="25" customFormat="1" ht="13.8" x14ac:dyDescent="0.3">
      <c r="A2161" s="208"/>
      <c r="B2161" s="208"/>
      <c r="C2161" s="209"/>
      <c r="D2161" s="209"/>
      <c r="E2161" s="209"/>
      <c r="F2161" s="209"/>
      <c r="G2161" s="210"/>
    </row>
    <row r="2162" spans="1:7" s="25" customFormat="1" ht="13.8" x14ac:dyDescent="0.3">
      <c r="A2162" s="208"/>
      <c r="B2162" s="208"/>
      <c r="C2162" s="209"/>
      <c r="D2162" s="209"/>
      <c r="E2162" s="209"/>
      <c r="F2162" s="209"/>
      <c r="G2162" s="210"/>
    </row>
    <row r="2163" spans="1:7" s="25" customFormat="1" ht="13.8" x14ac:dyDescent="0.3">
      <c r="A2163" s="208"/>
      <c r="B2163" s="208"/>
      <c r="C2163" s="209"/>
      <c r="D2163" s="209"/>
      <c r="E2163" s="209"/>
      <c r="F2163" s="209"/>
      <c r="G2163" s="210"/>
    </row>
    <row r="2164" spans="1:7" s="25" customFormat="1" ht="13.8" x14ac:dyDescent="0.3">
      <c r="A2164" s="208"/>
      <c r="B2164" s="208"/>
      <c r="C2164" s="209"/>
      <c r="D2164" s="209"/>
      <c r="E2164" s="209"/>
      <c r="F2164" s="209"/>
      <c r="G2164" s="210"/>
    </row>
    <row r="2165" spans="1:7" s="25" customFormat="1" ht="13.8" x14ac:dyDescent="0.3">
      <c r="A2165" s="208"/>
      <c r="B2165" s="208"/>
      <c r="C2165" s="209"/>
      <c r="D2165" s="209"/>
      <c r="E2165" s="209"/>
      <c r="F2165" s="209"/>
      <c r="G2165" s="210"/>
    </row>
    <row r="2166" spans="1:7" s="25" customFormat="1" ht="13.8" x14ac:dyDescent="0.3">
      <c r="A2166" s="208"/>
      <c r="B2166" s="208"/>
      <c r="C2166" s="209"/>
      <c r="D2166" s="209"/>
      <c r="E2166" s="209"/>
      <c r="F2166" s="209"/>
      <c r="G2166" s="210"/>
    </row>
    <row r="2167" spans="1:7" s="25" customFormat="1" ht="13.8" x14ac:dyDescent="0.3">
      <c r="A2167" s="208"/>
      <c r="B2167" s="208"/>
      <c r="C2167" s="209"/>
      <c r="D2167" s="209"/>
      <c r="E2167" s="209"/>
      <c r="F2167" s="209"/>
      <c r="G2167" s="210"/>
    </row>
    <row r="2168" spans="1:7" s="25" customFormat="1" ht="13.8" x14ac:dyDescent="0.3">
      <c r="A2168" s="208"/>
      <c r="B2168" s="208"/>
      <c r="C2168" s="209"/>
      <c r="D2168" s="209"/>
      <c r="E2168" s="209"/>
      <c r="F2168" s="209"/>
      <c r="G2168" s="210"/>
    </row>
    <row r="2169" spans="1:7" s="25" customFormat="1" ht="13.8" x14ac:dyDescent="0.3">
      <c r="A2169" s="208"/>
      <c r="B2169" s="208"/>
      <c r="C2169" s="209"/>
      <c r="D2169" s="209"/>
      <c r="E2169" s="209"/>
      <c r="F2169" s="209"/>
      <c r="G2169" s="210"/>
    </row>
    <row r="2170" spans="1:7" s="25" customFormat="1" ht="13.8" x14ac:dyDescent="0.3">
      <c r="A2170" s="208"/>
      <c r="B2170" s="208"/>
      <c r="C2170" s="209"/>
      <c r="D2170" s="209"/>
      <c r="E2170" s="209"/>
      <c r="F2170" s="209"/>
      <c r="G2170" s="210"/>
    </row>
    <row r="2171" spans="1:7" s="25" customFormat="1" ht="13.8" x14ac:dyDescent="0.3">
      <c r="A2171" s="208"/>
      <c r="B2171" s="208"/>
      <c r="C2171" s="209"/>
      <c r="D2171" s="209"/>
      <c r="E2171" s="209"/>
      <c r="F2171" s="209"/>
      <c r="G2171" s="210"/>
    </row>
    <row r="2172" spans="1:7" s="25" customFormat="1" ht="13.8" x14ac:dyDescent="0.3">
      <c r="A2172" s="208"/>
      <c r="B2172" s="208"/>
      <c r="C2172" s="209"/>
      <c r="D2172" s="209"/>
      <c r="E2172" s="209"/>
      <c r="F2172" s="209"/>
      <c r="G2172" s="210"/>
    </row>
    <row r="2173" spans="1:7" s="25" customFormat="1" ht="13.8" x14ac:dyDescent="0.3">
      <c r="A2173" s="208"/>
      <c r="B2173" s="208"/>
      <c r="C2173" s="209"/>
      <c r="D2173" s="209"/>
      <c r="E2173" s="209"/>
      <c r="F2173" s="209"/>
      <c r="G2173" s="210"/>
    </row>
    <row r="2174" spans="1:7" s="25" customFormat="1" ht="13.8" x14ac:dyDescent="0.3">
      <c r="A2174" s="208"/>
      <c r="B2174" s="208"/>
      <c r="C2174" s="209"/>
      <c r="D2174" s="209"/>
      <c r="E2174" s="209"/>
      <c r="F2174" s="209"/>
      <c r="G2174" s="210"/>
    </row>
    <row r="2175" spans="1:7" s="25" customFormat="1" ht="13.8" x14ac:dyDescent="0.3">
      <c r="A2175" s="208"/>
      <c r="B2175" s="208"/>
      <c r="C2175" s="209"/>
      <c r="D2175" s="209"/>
      <c r="E2175" s="209"/>
      <c r="F2175" s="209"/>
      <c r="G2175" s="210"/>
    </row>
    <row r="2176" spans="1:7" s="25" customFormat="1" ht="13.8" x14ac:dyDescent="0.3">
      <c r="A2176" s="208"/>
      <c r="B2176" s="208"/>
      <c r="C2176" s="209"/>
      <c r="D2176" s="209"/>
      <c r="E2176" s="209"/>
      <c r="F2176" s="209"/>
      <c r="G2176" s="210"/>
    </row>
    <row r="2177" spans="1:7" s="25" customFormat="1" ht="13.8" x14ac:dyDescent="0.3">
      <c r="A2177" s="208"/>
      <c r="B2177" s="208"/>
      <c r="C2177" s="209"/>
      <c r="D2177" s="209"/>
      <c r="E2177" s="209"/>
      <c r="F2177" s="209"/>
      <c r="G2177" s="210"/>
    </row>
    <row r="2178" spans="1:7" s="25" customFormat="1" ht="13.8" x14ac:dyDescent="0.3">
      <c r="A2178" s="208"/>
      <c r="B2178" s="208"/>
      <c r="C2178" s="209"/>
      <c r="D2178" s="209"/>
      <c r="E2178" s="209"/>
      <c r="F2178" s="209"/>
      <c r="G2178" s="210"/>
    </row>
    <row r="2179" spans="1:7" s="25" customFormat="1" ht="13.8" x14ac:dyDescent="0.3">
      <c r="A2179" s="208"/>
      <c r="B2179" s="208"/>
      <c r="C2179" s="209"/>
      <c r="D2179" s="209"/>
      <c r="E2179" s="209"/>
      <c r="F2179" s="209"/>
      <c r="G2179" s="210"/>
    </row>
    <row r="2180" spans="1:7" s="25" customFormat="1" ht="13.8" x14ac:dyDescent="0.3">
      <c r="A2180" s="208"/>
      <c r="B2180" s="208"/>
      <c r="C2180" s="209"/>
      <c r="D2180" s="209"/>
      <c r="E2180" s="209"/>
      <c r="F2180" s="209"/>
      <c r="G2180" s="210"/>
    </row>
    <row r="2181" spans="1:7" s="25" customFormat="1" ht="13.8" x14ac:dyDescent="0.3">
      <c r="A2181" s="208"/>
      <c r="B2181" s="208"/>
      <c r="C2181" s="209"/>
      <c r="D2181" s="209"/>
      <c r="E2181" s="209"/>
      <c r="F2181" s="209"/>
      <c r="G2181" s="210"/>
    </row>
    <row r="2182" spans="1:7" s="25" customFormat="1" ht="13.8" x14ac:dyDescent="0.3">
      <c r="A2182" s="208"/>
      <c r="B2182" s="208"/>
      <c r="C2182" s="209"/>
      <c r="D2182" s="209"/>
      <c r="E2182" s="209"/>
      <c r="F2182" s="209"/>
      <c r="G2182" s="210"/>
    </row>
    <row r="2183" spans="1:7" s="25" customFormat="1" ht="13.8" x14ac:dyDescent="0.3">
      <c r="A2183" s="208"/>
      <c r="B2183" s="208"/>
      <c r="C2183" s="209"/>
      <c r="D2183" s="209"/>
      <c r="E2183" s="209"/>
      <c r="F2183" s="209"/>
      <c r="G2183" s="210"/>
    </row>
    <row r="2184" spans="1:7" s="25" customFormat="1" ht="13.8" x14ac:dyDescent="0.3">
      <c r="A2184" s="208"/>
      <c r="B2184" s="208"/>
      <c r="C2184" s="209"/>
      <c r="D2184" s="209"/>
      <c r="E2184" s="209"/>
      <c r="F2184" s="209"/>
      <c r="G2184" s="210"/>
    </row>
    <row r="2185" spans="1:7" s="25" customFormat="1" ht="13.8" x14ac:dyDescent="0.3">
      <c r="A2185" s="208"/>
      <c r="B2185" s="208"/>
      <c r="C2185" s="209"/>
      <c r="D2185" s="209"/>
      <c r="E2185" s="209"/>
      <c r="F2185" s="209"/>
      <c r="G2185" s="210"/>
    </row>
    <row r="2186" spans="1:7" s="25" customFormat="1" ht="13.8" x14ac:dyDescent="0.3">
      <c r="A2186" s="208"/>
      <c r="B2186" s="208"/>
      <c r="C2186" s="209"/>
      <c r="D2186" s="209"/>
      <c r="E2186" s="209"/>
      <c r="F2186" s="209"/>
      <c r="G2186" s="210"/>
    </row>
    <row r="2187" spans="1:7" s="25" customFormat="1" ht="13.8" x14ac:dyDescent="0.3">
      <c r="A2187" s="208"/>
      <c r="B2187" s="208"/>
      <c r="C2187" s="209"/>
      <c r="D2187" s="209"/>
      <c r="E2187" s="209"/>
      <c r="F2187" s="209"/>
      <c r="G2187" s="210"/>
    </row>
    <row r="2188" spans="1:7" s="25" customFormat="1" ht="13.8" x14ac:dyDescent="0.3">
      <c r="A2188" s="208"/>
      <c r="B2188" s="208"/>
      <c r="C2188" s="209"/>
      <c r="D2188" s="209"/>
      <c r="E2188" s="209"/>
      <c r="F2188" s="209"/>
      <c r="G2188" s="210"/>
    </row>
    <row r="2189" spans="1:7" s="25" customFormat="1" ht="13.8" x14ac:dyDescent="0.3">
      <c r="A2189" s="208"/>
      <c r="B2189" s="208"/>
      <c r="C2189" s="209"/>
      <c r="D2189" s="209"/>
      <c r="E2189" s="209"/>
      <c r="F2189" s="209"/>
      <c r="G2189" s="210"/>
    </row>
    <row r="2190" spans="1:7" s="25" customFormat="1" ht="13.8" x14ac:dyDescent="0.3">
      <c r="A2190" s="208"/>
      <c r="B2190" s="208"/>
      <c r="C2190" s="209"/>
      <c r="D2190" s="209"/>
      <c r="E2190" s="209"/>
      <c r="F2190" s="209"/>
      <c r="G2190" s="210"/>
    </row>
    <row r="2191" spans="1:7" s="25" customFormat="1" ht="13.8" x14ac:dyDescent="0.3">
      <c r="A2191" s="208"/>
      <c r="B2191" s="208"/>
      <c r="C2191" s="209"/>
      <c r="D2191" s="209"/>
      <c r="E2191" s="209"/>
      <c r="F2191" s="209"/>
      <c r="G2191" s="210"/>
    </row>
    <row r="2192" spans="1:7" s="25" customFormat="1" ht="13.8" x14ac:dyDescent="0.3">
      <c r="A2192" s="208"/>
      <c r="B2192" s="208"/>
      <c r="C2192" s="209"/>
      <c r="D2192" s="209"/>
      <c r="E2192" s="209"/>
      <c r="F2192" s="209"/>
      <c r="G2192" s="210"/>
    </row>
    <row r="2193" spans="1:7" s="25" customFormat="1" ht="13.8" x14ac:dyDescent="0.3">
      <c r="A2193" s="208"/>
      <c r="B2193" s="208"/>
      <c r="C2193" s="209"/>
      <c r="D2193" s="209"/>
      <c r="E2193" s="209"/>
      <c r="F2193" s="209"/>
      <c r="G2193" s="210"/>
    </row>
    <row r="2194" spans="1:7" s="25" customFormat="1" ht="13.8" x14ac:dyDescent="0.3">
      <c r="A2194" s="208"/>
      <c r="B2194" s="208"/>
      <c r="C2194" s="209"/>
      <c r="D2194" s="209"/>
      <c r="E2194" s="209"/>
      <c r="F2194" s="209"/>
      <c r="G2194" s="210"/>
    </row>
    <row r="2195" spans="1:7" s="25" customFormat="1" ht="13.8" x14ac:dyDescent="0.3">
      <c r="A2195" s="208"/>
      <c r="B2195" s="208"/>
      <c r="C2195" s="209"/>
      <c r="D2195" s="209"/>
      <c r="E2195" s="209"/>
      <c r="F2195" s="209"/>
      <c r="G2195" s="210"/>
    </row>
    <row r="2196" spans="1:7" s="25" customFormat="1" ht="13.8" x14ac:dyDescent="0.3">
      <c r="A2196" s="208"/>
      <c r="B2196" s="208"/>
      <c r="C2196" s="209"/>
      <c r="D2196" s="209"/>
      <c r="E2196" s="209"/>
      <c r="F2196" s="209"/>
      <c r="G2196" s="210"/>
    </row>
    <row r="2197" spans="1:7" s="25" customFormat="1" ht="13.8" x14ac:dyDescent="0.3">
      <c r="A2197" s="208"/>
      <c r="B2197" s="208"/>
      <c r="C2197" s="209"/>
      <c r="D2197" s="209"/>
      <c r="E2197" s="209"/>
      <c r="F2197" s="209"/>
      <c r="G2197" s="210"/>
    </row>
    <row r="2198" spans="1:7" s="25" customFormat="1" ht="13.8" x14ac:dyDescent="0.3">
      <c r="A2198" s="208"/>
      <c r="B2198" s="208"/>
      <c r="C2198" s="209"/>
      <c r="D2198" s="209"/>
      <c r="E2198" s="209"/>
      <c r="F2198" s="209"/>
      <c r="G2198" s="210"/>
    </row>
    <row r="2199" spans="1:7" s="25" customFormat="1" ht="13.8" x14ac:dyDescent="0.3">
      <c r="A2199" s="208"/>
      <c r="B2199" s="208"/>
      <c r="C2199" s="209"/>
      <c r="D2199" s="209"/>
      <c r="E2199" s="209"/>
      <c r="F2199" s="209"/>
      <c r="G2199" s="210"/>
    </row>
    <row r="2200" spans="1:7" s="25" customFormat="1" ht="13.8" x14ac:dyDescent="0.3">
      <c r="A2200" s="208"/>
      <c r="B2200" s="208"/>
      <c r="C2200" s="209"/>
      <c r="D2200" s="209"/>
      <c r="E2200" s="209"/>
      <c r="F2200" s="209"/>
      <c r="G2200" s="210"/>
    </row>
    <row r="2201" spans="1:7" s="25" customFormat="1" ht="13.8" x14ac:dyDescent="0.3">
      <c r="A2201" s="208"/>
      <c r="B2201" s="208"/>
      <c r="C2201" s="209"/>
      <c r="D2201" s="209"/>
      <c r="E2201" s="209"/>
      <c r="F2201" s="209"/>
      <c r="G2201" s="210"/>
    </row>
    <row r="2202" spans="1:7" s="25" customFormat="1" ht="13.8" x14ac:dyDescent="0.3">
      <c r="A2202" s="208"/>
      <c r="B2202" s="208"/>
      <c r="C2202" s="209"/>
      <c r="D2202" s="209"/>
      <c r="E2202" s="209"/>
      <c r="F2202" s="209"/>
      <c r="G2202" s="210"/>
    </row>
    <row r="2203" spans="1:7" s="25" customFormat="1" ht="13.8" x14ac:dyDescent="0.3">
      <c r="A2203" s="208"/>
      <c r="B2203" s="208"/>
      <c r="C2203" s="209"/>
      <c r="D2203" s="209"/>
      <c r="E2203" s="209"/>
      <c r="F2203" s="209"/>
      <c r="G2203" s="210"/>
    </row>
    <row r="2204" spans="1:7" s="25" customFormat="1" ht="13.8" x14ac:dyDescent="0.3">
      <c r="A2204" s="208"/>
      <c r="B2204" s="208"/>
      <c r="C2204" s="209"/>
      <c r="D2204" s="209"/>
      <c r="E2204" s="209"/>
      <c r="F2204" s="209"/>
      <c r="G2204" s="210"/>
    </row>
    <row r="2205" spans="1:7" s="25" customFormat="1" ht="13.8" x14ac:dyDescent="0.3">
      <c r="A2205" s="208"/>
      <c r="B2205" s="208"/>
      <c r="C2205" s="209"/>
      <c r="D2205" s="209"/>
      <c r="E2205" s="209"/>
      <c r="F2205" s="209"/>
      <c r="G2205" s="210"/>
    </row>
    <row r="2206" spans="1:7" s="25" customFormat="1" ht="13.8" x14ac:dyDescent="0.3">
      <c r="A2206" s="208"/>
      <c r="B2206" s="208"/>
      <c r="C2206" s="209"/>
      <c r="D2206" s="209"/>
      <c r="E2206" s="209"/>
      <c r="F2206" s="209"/>
      <c r="G2206" s="210"/>
    </row>
    <row r="2207" spans="1:7" s="25" customFormat="1" ht="13.8" x14ac:dyDescent="0.3">
      <c r="A2207" s="208"/>
      <c r="B2207" s="208"/>
      <c r="C2207" s="209"/>
      <c r="D2207" s="209"/>
      <c r="E2207" s="209"/>
      <c r="F2207" s="209"/>
      <c r="G2207" s="210"/>
    </row>
    <row r="2208" spans="1:7" s="25" customFormat="1" ht="13.8" x14ac:dyDescent="0.3">
      <c r="A2208" s="208"/>
      <c r="B2208" s="208"/>
      <c r="C2208" s="209"/>
      <c r="D2208" s="209"/>
      <c r="E2208" s="209"/>
      <c r="F2208" s="209"/>
      <c r="G2208" s="210"/>
    </row>
    <row r="2209" spans="1:7" s="25" customFormat="1" ht="13.8" x14ac:dyDescent="0.3">
      <c r="A2209" s="208"/>
      <c r="B2209" s="208"/>
      <c r="C2209" s="209"/>
      <c r="D2209" s="209"/>
      <c r="E2209" s="209"/>
      <c r="F2209" s="209"/>
      <c r="G2209" s="210"/>
    </row>
    <row r="2210" spans="1:7" s="25" customFormat="1" ht="13.8" x14ac:dyDescent="0.3">
      <c r="A2210" s="208"/>
      <c r="B2210" s="208"/>
      <c r="C2210" s="209"/>
      <c r="D2210" s="209"/>
      <c r="E2210" s="209"/>
      <c r="F2210" s="209"/>
      <c r="G2210" s="210"/>
    </row>
    <row r="2211" spans="1:7" s="25" customFormat="1" ht="13.8" x14ac:dyDescent="0.3">
      <c r="A2211" s="208"/>
      <c r="B2211" s="208"/>
      <c r="C2211" s="209"/>
      <c r="D2211" s="209"/>
      <c r="E2211" s="209"/>
      <c r="F2211" s="209"/>
      <c r="G2211" s="210"/>
    </row>
    <row r="2212" spans="1:7" s="25" customFormat="1" ht="13.8" x14ac:dyDescent="0.3">
      <c r="A2212" s="208"/>
      <c r="B2212" s="208"/>
      <c r="C2212" s="209"/>
      <c r="D2212" s="209"/>
      <c r="E2212" s="209"/>
      <c r="F2212" s="209"/>
      <c r="G2212" s="210"/>
    </row>
    <row r="2213" spans="1:7" s="25" customFormat="1" ht="13.8" x14ac:dyDescent="0.3">
      <c r="A2213" s="208"/>
      <c r="B2213" s="208"/>
      <c r="C2213" s="209"/>
      <c r="D2213" s="209"/>
      <c r="E2213" s="209"/>
      <c r="F2213" s="209"/>
      <c r="G2213" s="210"/>
    </row>
    <row r="2214" spans="1:7" s="25" customFormat="1" ht="13.8" x14ac:dyDescent="0.3">
      <c r="A2214" s="208"/>
      <c r="B2214" s="208"/>
      <c r="C2214" s="209"/>
      <c r="D2214" s="209"/>
      <c r="E2214" s="209"/>
      <c r="F2214" s="209"/>
      <c r="G2214" s="210"/>
    </row>
    <row r="2215" spans="1:7" s="25" customFormat="1" ht="13.8" x14ac:dyDescent="0.3">
      <c r="A2215" s="208"/>
      <c r="B2215" s="208"/>
      <c r="C2215" s="209"/>
      <c r="D2215" s="209"/>
      <c r="E2215" s="209"/>
      <c r="F2215" s="209"/>
      <c r="G2215" s="210"/>
    </row>
    <row r="2216" spans="1:7" s="25" customFormat="1" ht="13.8" x14ac:dyDescent="0.3">
      <c r="A2216" s="208"/>
      <c r="B2216" s="208"/>
      <c r="C2216" s="209"/>
      <c r="D2216" s="209"/>
      <c r="E2216" s="209"/>
      <c r="F2216" s="209"/>
      <c r="G2216" s="210"/>
    </row>
    <row r="2217" spans="1:7" s="25" customFormat="1" ht="13.8" x14ac:dyDescent="0.3">
      <c r="A2217" s="208"/>
      <c r="B2217" s="208"/>
      <c r="C2217" s="209"/>
      <c r="D2217" s="209"/>
      <c r="E2217" s="209"/>
      <c r="F2217" s="209"/>
      <c r="G2217" s="210"/>
    </row>
    <row r="2218" spans="1:7" s="25" customFormat="1" ht="13.8" x14ac:dyDescent="0.3">
      <c r="A2218" s="208"/>
      <c r="B2218" s="208"/>
      <c r="C2218" s="209"/>
      <c r="D2218" s="209"/>
      <c r="E2218" s="209"/>
      <c r="F2218" s="209"/>
      <c r="G2218" s="210"/>
    </row>
    <row r="2219" spans="1:7" s="25" customFormat="1" ht="13.8" x14ac:dyDescent="0.3">
      <c r="A2219" s="208"/>
      <c r="B2219" s="208"/>
      <c r="C2219" s="209"/>
      <c r="D2219" s="209"/>
      <c r="E2219" s="209"/>
      <c r="F2219" s="209"/>
      <c r="G2219" s="210"/>
    </row>
    <row r="2220" spans="1:7" s="25" customFormat="1" ht="13.8" x14ac:dyDescent="0.3">
      <c r="A2220" s="208"/>
      <c r="B2220" s="208"/>
      <c r="C2220" s="209"/>
      <c r="D2220" s="209"/>
      <c r="E2220" s="209"/>
      <c r="F2220" s="209"/>
      <c r="G2220" s="210"/>
    </row>
    <row r="2221" spans="1:7" s="25" customFormat="1" ht="13.8" x14ac:dyDescent="0.3">
      <c r="A2221" s="208"/>
      <c r="B2221" s="208"/>
      <c r="C2221" s="209"/>
      <c r="D2221" s="209"/>
      <c r="E2221" s="209"/>
      <c r="F2221" s="209"/>
      <c r="G2221" s="210"/>
    </row>
    <row r="2222" spans="1:7" s="25" customFormat="1" ht="13.8" x14ac:dyDescent="0.3">
      <c r="A2222" s="208"/>
      <c r="B2222" s="208"/>
      <c r="C2222" s="209"/>
      <c r="D2222" s="209"/>
      <c r="E2222" s="209"/>
      <c r="F2222" s="209"/>
      <c r="G2222" s="210"/>
    </row>
    <row r="2223" spans="1:7" s="25" customFormat="1" ht="13.8" x14ac:dyDescent="0.3">
      <c r="A2223" s="208"/>
      <c r="B2223" s="208"/>
      <c r="C2223" s="209"/>
      <c r="D2223" s="209"/>
      <c r="E2223" s="209"/>
      <c r="F2223" s="209"/>
      <c r="G2223" s="210"/>
    </row>
    <row r="2224" spans="1:7" s="25" customFormat="1" ht="13.8" x14ac:dyDescent="0.3">
      <c r="A2224" s="208"/>
      <c r="B2224" s="208"/>
      <c r="C2224" s="209"/>
      <c r="D2224" s="209"/>
      <c r="E2224" s="209"/>
      <c r="F2224" s="209"/>
      <c r="G2224" s="210"/>
    </row>
    <row r="2225" spans="1:7" s="25" customFormat="1" ht="13.8" x14ac:dyDescent="0.3">
      <c r="A2225" s="208"/>
      <c r="B2225" s="208"/>
      <c r="C2225" s="209"/>
      <c r="D2225" s="209"/>
      <c r="E2225" s="209"/>
      <c r="F2225" s="209"/>
      <c r="G2225" s="210"/>
    </row>
    <row r="2226" spans="1:7" s="25" customFormat="1" ht="13.8" x14ac:dyDescent="0.3">
      <c r="A2226" s="208"/>
      <c r="B2226" s="208"/>
      <c r="C2226" s="209"/>
      <c r="D2226" s="209"/>
      <c r="E2226" s="209"/>
      <c r="F2226" s="209"/>
      <c r="G2226" s="210"/>
    </row>
    <row r="2227" spans="1:7" s="25" customFormat="1" ht="13.8" x14ac:dyDescent="0.3">
      <c r="A2227" s="208"/>
      <c r="B2227" s="208"/>
      <c r="C2227" s="209"/>
      <c r="D2227" s="209"/>
      <c r="E2227" s="209"/>
      <c r="F2227" s="209"/>
      <c r="G2227" s="210"/>
    </row>
    <row r="2228" spans="1:7" s="25" customFormat="1" ht="13.8" x14ac:dyDescent="0.3">
      <c r="A2228" s="208"/>
      <c r="B2228" s="208"/>
      <c r="C2228" s="209"/>
      <c r="D2228" s="209"/>
      <c r="E2228" s="209"/>
      <c r="F2228" s="209"/>
      <c r="G2228" s="210"/>
    </row>
    <row r="2229" spans="1:7" s="25" customFormat="1" ht="13.8" x14ac:dyDescent="0.3">
      <c r="A2229" s="208"/>
      <c r="B2229" s="208"/>
      <c r="C2229" s="209"/>
      <c r="D2229" s="209"/>
      <c r="E2229" s="209"/>
      <c r="F2229" s="209"/>
      <c r="G2229" s="210"/>
    </row>
    <row r="2230" spans="1:7" s="25" customFormat="1" ht="13.8" x14ac:dyDescent="0.3">
      <c r="A2230" s="208"/>
      <c r="B2230" s="208"/>
      <c r="C2230" s="209"/>
      <c r="D2230" s="209"/>
      <c r="E2230" s="209"/>
      <c r="F2230" s="209"/>
      <c r="G2230" s="210"/>
    </row>
    <row r="2231" spans="1:7" s="25" customFormat="1" ht="13.8" x14ac:dyDescent="0.3">
      <c r="A2231" s="208"/>
      <c r="B2231" s="208"/>
      <c r="C2231" s="209"/>
      <c r="D2231" s="209"/>
      <c r="E2231" s="209"/>
      <c r="F2231" s="209"/>
      <c r="G2231" s="210"/>
    </row>
    <row r="2232" spans="1:7" s="25" customFormat="1" ht="13.8" x14ac:dyDescent="0.3">
      <c r="A2232" s="208"/>
      <c r="B2232" s="208"/>
      <c r="C2232" s="209"/>
      <c r="D2232" s="209"/>
      <c r="E2232" s="209"/>
      <c r="F2232" s="209"/>
      <c r="G2232" s="210"/>
    </row>
    <row r="2233" spans="1:7" s="25" customFormat="1" ht="13.8" x14ac:dyDescent="0.3">
      <c r="A2233" s="208"/>
      <c r="B2233" s="208"/>
      <c r="C2233" s="209"/>
      <c r="D2233" s="209"/>
      <c r="E2233" s="209"/>
      <c r="F2233" s="209"/>
      <c r="G2233" s="210"/>
    </row>
    <row r="2234" spans="1:7" s="25" customFormat="1" ht="13.8" x14ac:dyDescent="0.3">
      <c r="A2234" s="208"/>
      <c r="B2234" s="208"/>
      <c r="C2234" s="209"/>
      <c r="D2234" s="209"/>
      <c r="E2234" s="209"/>
      <c r="F2234" s="209"/>
      <c r="G2234" s="210"/>
    </row>
    <row r="2235" spans="1:7" s="25" customFormat="1" ht="13.8" x14ac:dyDescent="0.3">
      <c r="A2235" s="208"/>
      <c r="B2235" s="208"/>
      <c r="C2235" s="209"/>
      <c r="D2235" s="209"/>
      <c r="E2235" s="209"/>
      <c r="F2235" s="209"/>
      <c r="G2235" s="210"/>
    </row>
    <row r="2236" spans="1:7" s="25" customFormat="1" ht="13.8" x14ac:dyDescent="0.3">
      <c r="A2236" s="208"/>
      <c r="B2236" s="208"/>
      <c r="C2236" s="209"/>
      <c r="D2236" s="209"/>
      <c r="E2236" s="209"/>
      <c r="F2236" s="209"/>
      <c r="G2236" s="210"/>
    </row>
    <row r="2237" spans="1:7" s="25" customFormat="1" ht="13.8" x14ac:dyDescent="0.3">
      <c r="A2237" s="208"/>
      <c r="B2237" s="208"/>
      <c r="C2237" s="209"/>
      <c r="D2237" s="209"/>
      <c r="E2237" s="209"/>
      <c r="F2237" s="209"/>
      <c r="G2237" s="210"/>
    </row>
    <row r="2238" spans="1:7" s="25" customFormat="1" ht="13.8" x14ac:dyDescent="0.3">
      <c r="A2238" s="208"/>
      <c r="B2238" s="208"/>
      <c r="C2238" s="209"/>
      <c r="D2238" s="209"/>
      <c r="E2238" s="209"/>
      <c r="F2238" s="209"/>
      <c r="G2238" s="210"/>
    </row>
    <row r="2239" spans="1:7" s="25" customFormat="1" ht="13.8" x14ac:dyDescent="0.3">
      <c r="A2239" s="208"/>
      <c r="B2239" s="208"/>
      <c r="C2239" s="209"/>
      <c r="D2239" s="209"/>
      <c r="E2239" s="209"/>
      <c r="F2239" s="209"/>
      <c r="G2239" s="210"/>
    </row>
    <row r="2240" spans="1:7" s="25" customFormat="1" ht="13.8" x14ac:dyDescent="0.3">
      <c r="A2240" s="208"/>
      <c r="B2240" s="208"/>
      <c r="C2240" s="209"/>
      <c r="D2240" s="209"/>
      <c r="E2240" s="209"/>
      <c r="F2240" s="209"/>
      <c r="G2240" s="210"/>
    </row>
    <row r="2241" spans="1:7" s="25" customFormat="1" ht="13.8" x14ac:dyDescent="0.3">
      <c r="A2241" s="208"/>
      <c r="B2241" s="208"/>
      <c r="C2241" s="209"/>
      <c r="D2241" s="209"/>
      <c r="E2241" s="209"/>
      <c r="F2241" s="209"/>
      <c r="G2241" s="210"/>
    </row>
    <row r="2242" spans="1:7" s="25" customFormat="1" ht="13.8" x14ac:dyDescent="0.3">
      <c r="A2242" s="208"/>
      <c r="B2242" s="208"/>
      <c r="C2242" s="209"/>
      <c r="D2242" s="209"/>
      <c r="E2242" s="209"/>
      <c r="F2242" s="209"/>
      <c r="G2242" s="210"/>
    </row>
    <row r="2243" spans="1:7" s="25" customFormat="1" ht="13.8" x14ac:dyDescent="0.3">
      <c r="A2243" s="208"/>
      <c r="B2243" s="208"/>
      <c r="C2243" s="209"/>
      <c r="D2243" s="209"/>
      <c r="E2243" s="209"/>
      <c r="F2243" s="209"/>
      <c r="G2243" s="210"/>
    </row>
    <row r="2244" spans="1:7" s="25" customFormat="1" ht="13.8" x14ac:dyDescent="0.3">
      <c r="A2244" s="208"/>
      <c r="B2244" s="208"/>
      <c r="C2244" s="209"/>
      <c r="D2244" s="209"/>
      <c r="E2244" s="209"/>
      <c r="F2244" s="209"/>
      <c r="G2244" s="210"/>
    </row>
    <row r="2245" spans="1:7" s="25" customFormat="1" ht="13.8" x14ac:dyDescent="0.3">
      <c r="A2245" s="208"/>
      <c r="B2245" s="208"/>
      <c r="C2245" s="209"/>
      <c r="D2245" s="209"/>
      <c r="E2245" s="209"/>
      <c r="F2245" s="209"/>
      <c r="G2245" s="210"/>
    </row>
    <row r="2246" spans="1:7" s="25" customFormat="1" ht="13.8" x14ac:dyDescent="0.3">
      <c r="A2246" s="208"/>
      <c r="B2246" s="208"/>
      <c r="C2246" s="209"/>
      <c r="D2246" s="209"/>
      <c r="E2246" s="209"/>
      <c r="F2246" s="209"/>
      <c r="G2246" s="210"/>
    </row>
    <row r="2247" spans="1:7" s="25" customFormat="1" ht="13.8" x14ac:dyDescent="0.3">
      <c r="A2247" s="208"/>
      <c r="B2247" s="208"/>
      <c r="C2247" s="209"/>
      <c r="D2247" s="209"/>
      <c r="E2247" s="209"/>
      <c r="F2247" s="209"/>
      <c r="G2247" s="210"/>
    </row>
    <row r="2248" spans="1:7" s="25" customFormat="1" ht="13.8" x14ac:dyDescent="0.3">
      <c r="A2248" s="208"/>
      <c r="B2248" s="208"/>
      <c r="C2248" s="209"/>
      <c r="D2248" s="209"/>
      <c r="E2248" s="209"/>
      <c r="F2248" s="209"/>
      <c r="G2248" s="210"/>
    </row>
    <row r="2249" spans="1:7" s="25" customFormat="1" ht="13.8" x14ac:dyDescent="0.3">
      <c r="A2249" s="208"/>
      <c r="B2249" s="208"/>
      <c r="C2249" s="209"/>
      <c r="D2249" s="209"/>
      <c r="E2249" s="209"/>
      <c r="F2249" s="209"/>
      <c r="G2249" s="210"/>
    </row>
    <row r="2250" spans="1:7" s="25" customFormat="1" ht="13.8" x14ac:dyDescent="0.3">
      <c r="A2250" s="208"/>
      <c r="B2250" s="208"/>
      <c r="C2250" s="209"/>
      <c r="D2250" s="209"/>
      <c r="E2250" s="209"/>
      <c r="F2250" s="209"/>
      <c r="G2250" s="210"/>
    </row>
    <row r="2251" spans="1:7" s="25" customFormat="1" ht="13.8" x14ac:dyDescent="0.3">
      <c r="A2251" s="208"/>
      <c r="B2251" s="208"/>
      <c r="C2251" s="209"/>
      <c r="D2251" s="209"/>
      <c r="E2251" s="209"/>
      <c r="F2251" s="209"/>
      <c r="G2251" s="210"/>
    </row>
    <row r="2252" spans="1:7" s="25" customFormat="1" ht="13.8" x14ac:dyDescent="0.3">
      <c r="A2252" s="208"/>
      <c r="B2252" s="208"/>
      <c r="C2252" s="209"/>
      <c r="D2252" s="209"/>
      <c r="E2252" s="209"/>
      <c r="F2252" s="209"/>
      <c r="G2252" s="210"/>
    </row>
    <row r="2253" spans="1:7" s="25" customFormat="1" ht="13.8" x14ac:dyDescent="0.3">
      <c r="A2253" s="208"/>
      <c r="B2253" s="208"/>
      <c r="C2253" s="209"/>
      <c r="D2253" s="209"/>
      <c r="E2253" s="209"/>
      <c r="F2253" s="209"/>
      <c r="G2253" s="210"/>
    </row>
    <row r="2254" spans="1:7" s="25" customFormat="1" ht="13.8" x14ac:dyDescent="0.3">
      <c r="A2254" s="208"/>
      <c r="B2254" s="208"/>
      <c r="C2254" s="209"/>
      <c r="D2254" s="209"/>
      <c r="E2254" s="209"/>
      <c r="F2254" s="209"/>
      <c r="G2254" s="210"/>
    </row>
    <row r="2255" spans="1:7" s="25" customFormat="1" ht="13.8" x14ac:dyDescent="0.3">
      <c r="A2255" s="208"/>
      <c r="B2255" s="208"/>
      <c r="C2255" s="209"/>
      <c r="D2255" s="209"/>
      <c r="E2255" s="209"/>
      <c r="F2255" s="209"/>
      <c r="G2255" s="210"/>
    </row>
    <row r="2256" spans="1:7" s="25" customFormat="1" ht="13.8" x14ac:dyDescent="0.3">
      <c r="A2256" s="208"/>
      <c r="B2256" s="208"/>
      <c r="C2256" s="209"/>
      <c r="D2256" s="209"/>
      <c r="E2256" s="209"/>
      <c r="F2256" s="209"/>
      <c r="G2256" s="210"/>
    </row>
    <row r="2257" spans="1:7" s="25" customFormat="1" ht="13.8" x14ac:dyDescent="0.3">
      <c r="A2257" s="208"/>
      <c r="B2257" s="208"/>
      <c r="C2257" s="209"/>
      <c r="D2257" s="209"/>
      <c r="E2257" s="209"/>
      <c r="F2257" s="209"/>
      <c r="G2257" s="210"/>
    </row>
    <row r="2258" spans="1:7" s="25" customFormat="1" ht="13.8" x14ac:dyDescent="0.3">
      <c r="A2258" s="208"/>
      <c r="B2258" s="208"/>
      <c r="C2258" s="209"/>
      <c r="D2258" s="209"/>
      <c r="E2258" s="209"/>
      <c r="F2258" s="209"/>
      <c r="G2258" s="210"/>
    </row>
    <row r="2259" spans="1:7" s="25" customFormat="1" ht="13.8" x14ac:dyDescent="0.3">
      <c r="A2259" s="208"/>
      <c r="B2259" s="208"/>
      <c r="C2259" s="209"/>
      <c r="D2259" s="209"/>
      <c r="E2259" s="209"/>
      <c r="F2259" s="209"/>
      <c r="G2259" s="210"/>
    </row>
    <row r="2260" spans="1:7" s="25" customFormat="1" ht="13.8" x14ac:dyDescent="0.3">
      <c r="A2260" s="208"/>
      <c r="B2260" s="208"/>
      <c r="C2260" s="209"/>
      <c r="D2260" s="209"/>
      <c r="E2260" s="209"/>
      <c r="F2260" s="209"/>
      <c r="G2260" s="210"/>
    </row>
    <row r="2261" spans="1:7" s="25" customFormat="1" ht="13.8" x14ac:dyDescent="0.3">
      <c r="A2261" s="208"/>
      <c r="B2261" s="208"/>
      <c r="C2261" s="209"/>
      <c r="D2261" s="209"/>
      <c r="E2261" s="209"/>
      <c r="F2261" s="209"/>
      <c r="G2261" s="210"/>
    </row>
    <row r="2262" spans="1:7" s="25" customFormat="1" ht="13.8" x14ac:dyDescent="0.3">
      <c r="A2262" s="208"/>
      <c r="B2262" s="208"/>
      <c r="C2262" s="209"/>
      <c r="D2262" s="209"/>
      <c r="E2262" s="209"/>
      <c r="F2262" s="209"/>
      <c r="G2262" s="210"/>
    </row>
    <row r="2263" spans="1:7" s="25" customFormat="1" ht="13.8" x14ac:dyDescent="0.3">
      <c r="A2263" s="208"/>
      <c r="B2263" s="208"/>
      <c r="C2263" s="209"/>
      <c r="D2263" s="209"/>
      <c r="E2263" s="209"/>
      <c r="F2263" s="209"/>
      <c r="G2263" s="210"/>
    </row>
    <row r="2264" spans="1:7" s="25" customFormat="1" ht="13.8" x14ac:dyDescent="0.3">
      <c r="A2264" s="208"/>
      <c r="B2264" s="208"/>
      <c r="C2264" s="209"/>
      <c r="D2264" s="209"/>
      <c r="E2264" s="209"/>
      <c r="F2264" s="209"/>
      <c r="G2264" s="210"/>
    </row>
    <row r="2265" spans="1:7" s="25" customFormat="1" ht="13.8" x14ac:dyDescent="0.3">
      <c r="A2265" s="208"/>
      <c r="B2265" s="208"/>
      <c r="C2265" s="209"/>
      <c r="D2265" s="209"/>
      <c r="E2265" s="209"/>
      <c r="F2265" s="209"/>
      <c r="G2265" s="210"/>
    </row>
    <row r="2266" spans="1:7" s="25" customFormat="1" ht="13.8" x14ac:dyDescent="0.3">
      <c r="A2266" s="208"/>
      <c r="B2266" s="208"/>
      <c r="C2266" s="209"/>
      <c r="D2266" s="209"/>
      <c r="E2266" s="209"/>
      <c r="F2266" s="209"/>
      <c r="G2266" s="210"/>
    </row>
    <row r="2267" spans="1:7" s="25" customFormat="1" ht="13.8" x14ac:dyDescent="0.3">
      <c r="A2267" s="208"/>
      <c r="B2267" s="208"/>
      <c r="C2267" s="209"/>
      <c r="D2267" s="209"/>
      <c r="E2267" s="209"/>
      <c r="F2267" s="209"/>
      <c r="G2267" s="210"/>
    </row>
    <row r="2268" spans="1:7" s="25" customFormat="1" ht="13.8" x14ac:dyDescent="0.3">
      <c r="A2268" s="208"/>
      <c r="B2268" s="208"/>
      <c r="C2268" s="209"/>
      <c r="D2268" s="209"/>
      <c r="E2268" s="209"/>
      <c r="F2268" s="209"/>
      <c r="G2268" s="210"/>
    </row>
    <row r="2269" spans="1:7" s="25" customFormat="1" ht="13.8" x14ac:dyDescent="0.3">
      <c r="A2269" s="208"/>
      <c r="B2269" s="208"/>
      <c r="C2269" s="209"/>
      <c r="D2269" s="209"/>
      <c r="E2269" s="209"/>
      <c r="F2269" s="209"/>
      <c r="G2269" s="210"/>
    </row>
    <row r="2270" spans="1:7" s="25" customFormat="1" ht="13.8" x14ac:dyDescent="0.3">
      <c r="A2270" s="208"/>
      <c r="B2270" s="208"/>
      <c r="C2270" s="209"/>
      <c r="D2270" s="209"/>
      <c r="E2270" s="209"/>
      <c r="F2270" s="209"/>
      <c r="G2270" s="210"/>
    </row>
    <row r="2271" spans="1:7" s="25" customFormat="1" ht="13.8" x14ac:dyDescent="0.3">
      <c r="A2271" s="208"/>
      <c r="B2271" s="208"/>
      <c r="C2271" s="209"/>
      <c r="D2271" s="209"/>
      <c r="E2271" s="209"/>
      <c r="F2271" s="209"/>
      <c r="G2271" s="210"/>
    </row>
    <row r="2272" spans="1:7" s="25" customFormat="1" ht="13.8" x14ac:dyDescent="0.3">
      <c r="A2272" s="208"/>
      <c r="B2272" s="208"/>
      <c r="C2272" s="209"/>
      <c r="D2272" s="209"/>
      <c r="E2272" s="209"/>
      <c r="F2272" s="209"/>
      <c r="G2272" s="210"/>
    </row>
    <row r="2273" spans="1:7" s="25" customFormat="1" ht="13.8" x14ac:dyDescent="0.3">
      <c r="A2273" s="208"/>
      <c r="B2273" s="208"/>
      <c r="C2273" s="209"/>
      <c r="D2273" s="209"/>
      <c r="E2273" s="209"/>
      <c r="F2273" s="209"/>
      <c r="G2273" s="210"/>
    </row>
    <row r="2274" spans="1:7" s="25" customFormat="1" ht="13.8" x14ac:dyDescent="0.3">
      <c r="A2274" s="208"/>
      <c r="B2274" s="208"/>
      <c r="C2274" s="209"/>
      <c r="D2274" s="209"/>
      <c r="E2274" s="209"/>
      <c r="F2274" s="209"/>
      <c r="G2274" s="210"/>
    </row>
    <row r="2275" spans="1:7" s="25" customFormat="1" ht="13.8" x14ac:dyDescent="0.3">
      <c r="A2275" s="208"/>
      <c r="B2275" s="208"/>
      <c r="C2275" s="209"/>
      <c r="D2275" s="209"/>
      <c r="E2275" s="209"/>
      <c r="F2275" s="209"/>
      <c r="G2275" s="210"/>
    </row>
    <row r="2276" spans="1:7" s="25" customFormat="1" ht="13.8" x14ac:dyDescent="0.3">
      <c r="A2276" s="208"/>
      <c r="B2276" s="208"/>
      <c r="C2276" s="209"/>
      <c r="D2276" s="209"/>
      <c r="E2276" s="209"/>
      <c r="F2276" s="209"/>
      <c r="G2276" s="210"/>
    </row>
    <row r="2277" spans="1:7" s="25" customFormat="1" ht="13.8" x14ac:dyDescent="0.3">
      <c r="A2277" s="208"/>
      <c r="B2277" s="208"/>
      <c r="C2277" s="209"/>
      <c r="D2277" s="209"/>
      <c r="E2277" s="209"/>
      <c r="F2277" s="209"/>
      <c r="G2277" s="210"/>
    </row>
    <row r="2278" spans="1:7" s="25" customFormat="1" ht="13.8" x14ac:dyDescent="0.3">
      <c r="A2278" s="208"/>
      <c r="B2278" s="208"/>
      <c r="C2278" s="209"/>
      <c r="D2278" s="209"/>
      <c r="E2278" s="209"/>
      <c r="F2278" s="209"/>
      <c r="G2278" s="210"/>
    </row>
    <row r="2279" spans="1:7" s="25" customFormat="1" ht="13.8" x14ac:dyDescent="0.3">
      <c r="A2279" s="208"/>
      <c r="B2279" s="208"/>
      <c r="C2279" s="209"/>
      <c r="D2279" s="209"/>
      <c r="E2279" s="209"/>
      <c r="F2279" s="209"/>
      <c r="G2279" s="210"/>
    </row>
    <row r="2280" spans="1:7" s="25" customFormat="1" ht="13.8" x14ac:dyDescent="0.3">
      <c r="A2280" s="208"/>
      <c r="B2280" s="208"/>
      <c r="C2280" s="209"/>
      <c r="D2280" s="209"/>
      <c r="E2280" s="209"/>
      <c r="F2280" s="209"/>
      <c r="G2280" s="210"/>
    </row>
    <row r="2281" spans="1:7" s="25" customFormat="1" ht="13.8" x14ac:dyDescent="0.3">
      <c r="A2281" s="208"/>
      <c r="B2281" s="208"/>
      <c r="C2281" s="209"/>
      <c r="D2281" s="209"/>
      <c r="E2281" s="209"/>
      <c r="F2281" s="209"/>
      <c r="G2281" s="210"/>
    </row>
    <row r="2282" spans="1:7" s="25" customFormat="1" ht="13.8" x14ac:dyDescent="0.3">
      <c r="A2282" s="208"/>
      <c r="B2282" s="208"/>
      <c r="C2282" s="209"/>
      <c r="D2282" s="209"/>
      <c r="E2282" s="209"/>
      <c r="F2282" s="209"/>
      <c r="G2282" s="210"/>
    </row>
    <row r="2283" spans="1:7" s="25" customFormat="1" ht="13.8" x14ac:dyDescent="0.3">
      <c r="A2283" s="208"/>
      <c r="B2283" s="208"/>
      <c r="C2283" s="209"/>
      <c r="D2283" s="209"/>
      <c r="E2283" s="209"/>
      <c r="F2283" s="209"/>
      <c r="G2283" s="210"/>
    </row>
    <row r="2284" spans="1:7" s="25" customFormat="1" ht="13.8" x14ac:dyDescent="0.3">
      <c r="A2284" s="208"/>
      <c r="B2284" s="208"/>
      <c r="C2284" s="209"/>
      <c r="D2284" s="209"/>
      <c r="E2284" s="209"/>
      <c r="F2284" s="209"/>
      <c r="G2284" s="210"/>
    </row>
    <row r="2285" spans="1:7" s="25" customFormat="1" ht="13.8" x14ac:dyDescent="0.3">
      <c r="A2285" s="208"/>
      <c r="B2285" s="208"/>
      <c r="C2285" s="209"/>
      <c r="D2285" s="209"/>
      <c r="E2285" s="209"/>
      <c r="F2285" s="209"/>
      <c r="G2285" s="210"/>
    </row>
    <row r="2286" spans="1:7" s="25" customFormat="1" ht="13.8" x14ac:dyDescent="0.3">
      <c r="A2286" s="208"/>
      <c r="B2286" s="208"/>
      <c r="C2286" s="209"/>
      <c r="D2286" s="209"/>
      <c r="E2286" s="209"/>
      <c r="F2286" s="209"/>
      <c r="G2286" s="210"/>
    </row>
    <row r="2287" spans="1:7" s="25" customFormat="1" ht="13.8" x14ac:dyDescent="0.3">
      <c r="A2287" s="208"/>
      <c r="B2287" s="208"/>
      <c r="C2287" s="209"/>
      <c r="D2287" s="209"/>
      <c r="E2287" s="209"/>
      <c r="F2287" s="209"/>
      <c r="G2287" s="210"/>
    </row>
    <row r="2288" spans="1:7" s="25" customFormat="1" ht="13.8" x14ac:dyDescent="0.3">
      <c r="A2288" s="208"/>
      <c r="B2288" s="208"/>
      <c r="C2288" s="209"/>
      <c r="D2288" s="209"/>
      <c r="E2288" s="209"/>
      <c r="F2288" s="209"/>
      <c r="G2288" s="210"/>
    </row>
    <row r="2289" spans="1:7" s="25" customFormat="1" ht="13.8" x14ac:dyDescent="0.3">
      <c r="A2289" s="208"/>
      <c r="B2289" s="208"/>
      <c r="C2289" s="209"/>
      <c r="D2289" s="209"/>
      <c r="E2289" s="209"/>
      <c r="F2289" s="209"/>
      <c r="G2289" s="210"/>
    </row>
    <row r="2290" spans="1:7" s="25" customFormat="1" ht="13.8" x14ac:dyDescent="0.3">
      <c r="A2290" s="208"/>
      <c r="B2290" s="208"/>
      <c r="C2290" s="209"/>
      <c r="D2290" s="209"/>
      <c r="E2290" s="209"/>
      <c r="F2290" s="209"/>
      <c r="G2290" s="210"/>
    </row>
    <row r="2291" spans="1:7" s="25" customFormat="1" ht="13.8" x14ac:dyDescent="0.3">
      <c r="A2291" s="208"/>
      <c r="B2291" s="208"/>
      <c r="C2291" s="209"/>
      <c r="D2291" s="209"/>
      <c r="E2291" s="209"/>
      <c r="F2291" s="209"/>
      <c r="G2291" s="210"/>
    </row>
    <row r="2292" spans="1:7" s="25" customFormat="1" ht="13.8" x14ac:dyDescent="0.3">
      <c r="A2292" s="208"/>
      <c r="B2292" s="208"/>
      <c r="C2292" s="209"/>
      <c r="D2292" s="209"/>
      <c r="E2292" s="209"/>
      <c r="F2292" s="209"/>
      <c r="G2292" s="210"/>
    </row>
    <row r="2293" spans="1:7" s="25" customFormat="1" ht="13.8" x14ac:dyDescent="0.3">
      <c r="A2293" s="208"/>
      <c r="B2293" s="208"/>
      <c r="C2293" s="209"/>
      <c r="D2293" s="209"/>
      <c r="E2293" s="209"/>
      <c r="F2293" s="209"/>
      <c r="G2293" s="210"/>
    </row>
    <row r="2294" spans="1:7" s="25" customFormat="1" ht="13.8" x14ac:dyDescent="0.3">
      <c r="A2294" s="208"/>
      <c r="B2294" s="208"/>
      <c r="C2294" s="209"/>
      <c r="D2294" s="209"/>
      <c r="E2294" s="209"/>
      <c r="F2294" s="209"/>
      <c r="G2294" s="210"/>
    </row>
    <row r="2295" spans="1:7" s="25" customFormat="1" ht="13.8" x14ac:dyDescent="0.3">
      <c r="A2295" s="208"/>
      <c r="B2295" s="208"/>
      <c r="C2295" s="209"/>
      <c r="D2295" s="209"/>
      <c r="E2295" s="209"/>
      <c r="F2295" s="209"/>
      <c r="G2295" s="210"/>
    </row>
    <row r="2296" spans="1:7" s="25" customFormat="1" ht="13.8" x14ac:dyDescent="0.3">
      <c r="A2296" s="208"/>
      <c r="B2296" s="208"/>
      <c r="C2296" s="209"/>
      <c r="D2296" s="209"/>
      <c r="E2296" s="209"/>
      <c r="F2296" s="209"/>
      <c r="G2296" s="210"/>
    </row>
    <row r="2297" spans="1:7" s="25" customFormat="1" ht="13.8" x14ac:dyDescent="0.3">
      <c r="A2297" s="208"/>
      <c r="B2297" s="208"/>
      <c r="C2297" s="209"/>
      <c r="D2297" s="209"/>
      <c r="E2297" s="209"/>
      <c r="F2297" s="209"/>
      <c r="G2297" s="210"/>
    </row>
    <row r="2298" spans="1:7" s="25" customFormat="1" ht="13.8" x14ac:dyDescent="0.3">
      <c r="A2298" s="208"/>
      <c r="B2298" s="208"/>
      <c r="C2298" s="209"/>
      <c r="D2298" s="209"/>
      <c r="E2298" s="209"/>
      <c r="F2298" s="209"/>
      <c r="G2298" s="210"/>
    </row>
    <row r="2299" spans="1:7" s="25" customFormat="1" ht="13.8" x14ac:dyDescent="0.3">
      <c r="A2299" s="208"/>
      <c r="B2299" s="208"/>
      <c r="C2299" s="209"/>
      <c r="D2299" s="209"/>
      <c r="E2299" s="209"/>
      <c r="F2299" s="209"/>
      <c r="G2299" s="210"/>
    </row>
    <row r="2300" spans="1:7" s="25" customFormat="1" ht="13.8" x14ac:dyDescent="0.3">
      <c r="A2300" s="208"/>
      <c r="B2300" s="208"/>
      <c r="C2300" s="209"/>
      <c r="D2300" s="209"/>
      <c r="E2300" s="209"/>
      <c r="F2300" s="209"/>
      <c r="G2300" s="210"/>
    </row>
    <row r="2301" spans="1:7" s="25" customFormat="1" ht="13.8" x14ac:dyDescent="0.3">
      <c r="A2301" s="208"/>
      <c r="B2301" s="208"/>
      <c r="C2301" s="209"/>
      <c r="D2301" s="209"/>
      <c r="E2301" s="209"/>
      <c r="F2301" s="209"/>
      <c r="G2301" s="210"/>
    </row>
    <row r="2302" spans="1:7" s="25" customFormat="1" ht="13.8" x14ac:dyDescent="0.3">
      <c r="A2302" s="208"/>
      <c r="B2302" s="208"/>
      <c r="C2302" s="209"/>
      <c r="D2302" s="209"/>
      <c r="E2302" s="209"/>
      <c r="F2302" s="209"/>
      <c r="G2302" s="210"/>
    </row>
    <row r="2303" spans="1:7" s="25" customFormat="1" ht="13.8" x14ac:dyDescent="0.3">
      <c r="A2303" s="208"/>
      <c r="B2303" s="208"/>
      <c r="C2303" s="209"/>
      <c r="D2303" s="209"/>
      <c r="E2303" s="209"/>
      <c r="F2303" s="209"/>
      <c r="G2303" s="210"/>
    </row>
    <row r="2304" spans="1:7" s="25" customFormat="1" ht="13.8" x14ac:dyDescent="0.3">
      <c r="A2304" s="208"/>
      <c r="B2304" s="208"/>
      <c r="C2304" s="209"/>
      <c r="D2304" s="209"/>
      <c r="E2304" s="209"/>
      <c r="F2304" s="209"/>
      <c r="G2304" s="210"/>
    </row>
    <row r="2305" spans="1:7" s="25" customFormat="1" ht="13.8" x14ac:dyDescent="0.3">
      <c r="A2305" s="208"/>
      <c r="B2305" s="208"/>
      <c r="C2305" s="209"/>
      <c r="D2305" s="209"/>
      <c r="E2305" s="209"/>
      <c r="F2305" s="209"/>
      <c r="G2305" s="210"/>
    </row>
    <row r="2306" spans="1:7" s="25" customFormat="1" ht="13.8" x14ac:dyDescent="0.3">
      <c r="A2306" s="208"/>
      <c r="B2306" s="208"/>
      <c r="C2306" s="209"/>
      <c r="D2306" s="209"/>
      <c r="E2306" s="209"/>
      <c r="F2306" s="209"/>
      <c r="G2306" s="210"/>
    </row>
    <row r="2307" spans="1:7" s="25" customFormat="1" ht="13.8" x14ac:dyDescent="0.3">
      <c r="A2307" s="208"/>
      <c r="B2307" s="208"/>
      <c r="C2307" s="209"/>
      <c r="D2307" s="209"/>
      <c r="E2307" s="209"/>
      <c r="F2307" s="209"/>
      <c r="G2307" s="210"/>
    </row>
    <row r="2308" spans="1:7" s="25" customFormat="1" ht="13.8" x14ac:dyDescent="0.3">
      <c r="A2308" s="208"/>
      <c r="B2308" s="208"/>
      <c r="C2308" s="209"/>
      <c r="D2308" s="209"/>
      <c r="E2308" s="209"/>
      <c r="F2308" s="209"/>
      <c r="G2308" s="210"/>
    </row>
    <row r="2309" spans="1:7" s="25" customFormat="1" ht="13.8" x14ac:dyDescent="0.3">
      <c r="A2309" s="208"/>
      <c r="B2309" s="208"/>
      <c r="C2309" s="209"/>
      <c r="D2309" s="209"/>
      <c r="E2309" s="209"/>
      <c r="F2309" s="209"/>
      <c r="G2309" s="210"/>
    </row>
    <row r="2310" spans="1:7" s="25" customFormat="1" ht="13.8" x14ac:dyDescent="0.3">
      <c r="A2310" s="208"/>
      <c r="B2310" s="208"/>
      <c r="C2310" s="209"/>
      <c r="D2310" s="209"/>
      <c r="E2310" s="209"/>
      <c r="F2310" s="209"/>
      <c r="G2310" s="210"/>
    </row>
    <row r="2311" spans="1:7" s="25" customFormat="1" ht="13.8" x14ac:dyDescent="0.3">
      <c r="A2311" s="208"/>
      <c r="B2311" s="208"/>
      <c r="C2311" s="209"/>
      <c r="D2311" s="209"/>
      <c r="E2311" s="209"/>
      <c r="F2311" s="209"/>
      <c r="G2311" s="210"/>
    </row>
    <row r="2312" spans="1:7" s="25" customFormat="1" ht="13.8" x14ac:dyDescent="0.3">
      <c r="A2312" s="208"/>
      <c r="B2312" s="208"/>
      <c r="C2312" s="209"/>
      <c r="D2312" s="209"/>
      <c r="E2312" s="209"/>
      <c r="F2312" s="209"/>
      <c r="G2312" s="210"/>
    </row>
    <row r="2313" spans="1:7" s="25" customFormat="1" ht="13.8" x14ac:dyDescent="0.3">
      <c r="A2313" s="208"/>
      <c r="B2313" s="208"/>
      <c r="C2313" s="209"/>
      <c r="D2313" s="209"/>
      <c r="E2313" s="209"/>
      <c r="F2313" s="209"/>
      <c r="G2313" s="210"/>
    </row>
    <row r="2314" spans="1:7" s="25" customFormat="1" ht="13.8" x14ac:dyDescent="0.3">
      <c r="A2314" s="208"/>
      <c r="B2314" s="208"/>
      <c r="C2314" s="209"/>
      <c r="D2314" s="209"/>
      <c r="E2314" s="209"/>
      <c r="F2314" s="209"/>
      <c r="G2314" s="210"/>
    </row>
    <row r="2315" spans="1:7" s="25" customFormat="1" ht="13.8" x14ac:dyDescent="0.3">
      <c r="A2315" s="208"/>
      <c r="B2315" s="208"/>
      <c r="C2315" s="209"/>
      <c r="D2315" s="209"/>
      <c r="E2315" s="209"/>
      <c r="F2315" s="209"/>
      <c r="G2315" s="210"/>
    </row>
    <row r="2316" spans="1:7" s="25" customFormat="1" ht="13.8" x14ac:dyDescent="0.3">
      <c r="A2316" s="208"/>
      <c r="B2316" s="208"/>
      <c r="C2316" s="209"/>
      <c r="D2316" s="209"/>
      <c r="E2316" s="209"/>
      <c r="F2316" s="209"/>
      <c r="G2316" s="210"/>
    </row>
    <row r="2317" spans="1:7" s="25" customFormat="1" ht="13.8" x14ac:dyDescent="0.3">
      <c r="A2317" s="208"/>
      <c r="B2317" s="208"/>
      <c r="C2317" s="209"/>
      <c r="D2317" s="209"/>
      <c r="E2317" s="209"/>
      <c r="F2317" s="209"/>
      <c r="G2317" s="210"/>
    </row>
    <row r="2318" spans="1:7" s="25" customFormat="1" ht="13.8" x14ac:dyDescent="0.3">
      <c r="A2318" s="208"/>
      <c r="B2318" s="208"/>
      <c r="C2318" s="209"/>
      <c r="D2318" s="209"/>
      <c r="E2318" s="209"/>
      <c r="F2318" s="209"/>
      <c r="G2318" s="210"/>
    </row>
    <row r="2319" spans="1:7" s="25" customFormat="1" ht="13.8" x14ac:dyDescent="0.3">
      <c r="A2319" s="208"/>
      <c r="B2319" s="208"/>
      <c r="C2319" s="209"/>
      <c r="D2319" s="209"/>
      <c r="E2319" s="209"/>
      <c r="F2319" s="209"/>
      <c r="G2319" s="210"/>
    </row>
    <row r="2320" spans="1:7" s="25" customFormat="1" ht="13.8" x14ac:dyDescent="0.3">
      <c r="A2320" s="208"/>
      <c r="B2320" s="208"/>
      <c r="C2320" s="209"/>
      <c r="D2320" s="209"/>
      <c r="E2320" s="209"/>
      <c r="F2320" s="209"/>
      <c r="G2320" s="210"/>
    </row>
    <row r="2321" spans="1:7" s="25" customFormat="1" ht="13.8" x14ac:dyDescent="0.3">
      <c r="A2321" s="208"/>
      <c r="B2321" s="208"/>
      <c r="C2321" s="209"/>
      <c r="D2321" s="209"/>
      <c r="E2321" s="209"/>
      <c r="F2321" s="209"/>
      <c r="G2321" s="210"/>
    </row>
    <row r="2322" spans="1:7" s="25" customFormat="1" ht="13.8" x14ac:dyDescent="0.3">
      <c r="A2322" s="208"/>
      <c r="B2322" s="208"/>
      <c r="C2322" s="209"/>
      <c r="D2322" s="209"/>
      <c r="E2322" s="209"/>
      <c r="F2322" s="209"/>
      <c r="G2322" s="210"/>
    </row>
    <row r="2323" spans="1:7" s="25" customFormat="1" ht="13.8" x14ac:dyDescent="0.3">
      <c r="A2323" s="208"/>
      <c r="B2323" s="208"/>
      <c r="C2323" s="209"/>
      <c r="D2323" s="209"/>
      <c r="E2323" s="209"/>
      <c r="F2323" s="209"/>
      <c r="G2323" s="210"/>
    </row>
    <row r="2324" spans="1:7" s="25" customFormat="1" ht="13.8" x14ac:dyDescent="0.3">
      <c r="A2324" s="208"/>
      <c r="B2324" s="208"/>
      <c r="C2324" s="209"/>
      <c r="D2324" s="209"/>
      <c r="E2324" s="209"/>
      <c r="F2324" s="209"/>
      <c r="G2324" s="210"/>
    </row>
    <row r="2325" spans="1:7" s="25" customFormat="1" ht="13.8" x14ac:dyDescent="0.3">
      <c r="A2325" s="208"/>
      <c r="B2325" s="208"/>
      <c r="C2325" s="209"/>
      <c r="D2325" s="209"/>
      <c r="E2325" s="209"/>
      <c r="F2325" s="209"/>
      <c r="G2325" s="210"/>
    </row>
    <row r="2326" spans="1:7" s="25" customFormat="1" ht="13.8" x14ac:dyDescent="0.3">
      <c r="A2326" s="208"/>
      <c r="B2326" s="208"/>
      <c r="C2326" s="209"/>
      <c r="D2326" s="209"/>
      <c r="E2326" s="209"/>
      <c r="F2326" s="209"/>
      <c r="G2326" s="210"/>
    </row>
    <row r="2327" spans="1:7" s="25" customFormat="1" ht="13.8" x14ac:dyDescent="0.3">
      <c r="A2327" s="208"/>
      <c r="B2327" s="208"/>
      <c r="C2327" s="209"/>
      <c r="D2327" s="209"/>
      <c r="E2327" s="209"/>
      <c r="F2327" s="209"/>
      <c r="G2327" s="210"/>
    </row>
    <row r="2328" spans="1:7" s="25" customFormat="1" ht="13.8" x14ac:dyDescent="0.3">
      <c r="A2328" s="208"/>
      <c r="B2328" s="208"/>
      <c r="C2328" s="209"/>
      <c r="D2328" s="209"/>
      <c r="E2328" s="209"/>
      <c r="F2328" s="209"/>
      <c r="G2328" s="210"/>
    </row>
    <row r="2329" spans="1:7" s="25" customFormat="1" ht="13.8" x14ac:dyDescent="0.3">
      <c r="A2329" s="208"/>
      <c r="B2329" s="208"/>
      <c r="C2329" s="209"/>
      <c r="D2329" s="209"/>
      <c r="E2329" s="209"/>
      <c r="F2329" s="209"/>
      <c r="G2329" s="210"/>
    </row>
    <row r="2330" spans="1:7" s="25" customFormat="1" ht="13.8" x14ac:dyDescent="0.3">
      <c r="A2330" s="208"/>
      <c r="B2330" s="208"/>
      <c r="C2330" s="209"/>
      <c r="D2330" s="209"/>
      <c r="E2330" s="209"/>
      <c r="F2330" s="209"/>
      <c r="G2330" s="210"/>
    </row>
    <row r="2331" spans="1:7" s="25" customFormat="1" ht="13.8" x14ac:dyDescent="0.3">
      <c r="A2331" s="208"/>
      <c r="B2331" s="208"/>
      <c r="C2331" s="209"/>
      <c r="D2331" s="209"/>
      <c r="E2331" s="209"/>
      <c r="F2331" s="209"/>
      <c r="G2331" s="210"/>
    </row>
    <row r="2332" spans="1:7" s="25" customFormat="1" ht="13.8" x14ac:dyDescent="0.3">
      <c r="A2332" s="208"/>
      <c r="B2332" s="208"/>
      <c r="C2332" s="209"/>
      <c r="D2332" s="209"/>
      <c r="E2332" s="209"/>
      <c r="F2332" s="209"/>
      <c r="G2332" s="210"/>
    </row>
    <row r="2333" spans="1:7" s="25" customFormat="1" ht="13.8" x14ac:dyDescent="0.3">
      <c r="A2333" s="208"/>
      <c r="B2333" s="208"/>
      <c r="C2333" s="209"/>
      <c r="D2333" s="209"/>
      <c r="E2333" s="209"/>
      <c r="F2333" s="209"/>
      <c r="G2333" s="210"/>
    </row>
    <row r="2334" spans="1:7" s="25" customFormat="1" ht="13.8" x14ac:dyDescent="0.3">
      <c r="A2334" s="208"/>
      <c r="B2334" s="208"/>
      <c r="C2334" s="209"/>
      <c r="D2334" s="209"/>
      <c r="E2334" s="209"/>
      <c r="F2334" s="209"/>
      <c r="G2334" s="210"/>
    </row>
    <row r="2335" spans="1:7" s="25" customFormat="1" ht="13.8" x14ac:dyDescent="0.3">
      <c r="A2335" s="208"/>
      <c r="B2335" s="208"/>
      <c r="C2335" s="209"/>
      <c r="D2335" s="209"/>
      <c r="E2335" s="209"/>
      <c r="F2335" s="209"/>
      <c r="G2335" s="210"/>
    </row>
    <row r="2336" spans="1:7" s="25" customFormat="1" ht="13.8" x14ac:dyDescent="0.3">
      <c r="A2336" s="208"/>
      <c r="B2336" s="208"/>
      <c r="C2336" s="209"/>
      <c r="D2336" s="209"/>
      <c r="E2336" s="209"/>
      <c r="F2336" s="209"/>
      <c r="G2336" s="210"/>
    </row>
    <row r="2337" spans="1:7" s="25" customFormat="1" ht="13.8" x14ac:dyDescent="0.3">
      <c r="A2337" s="208"/>
      <c r="B2337" s="208"/>
      <c r="C2337" s="209"/>
      <c r="D2337" s="209"/>
      <c r="E2337" s="209"/>
      <c r="F2337" s="209"/>
      <c r="G2337" s="210"/>
    </row>
    <row r="2338" spans="1:7" s="25" customFormat="1" ht="13.8" x14ac:dyDescent="0.3">
      <c r="A2338" s="208"/>
      <c r="B2338" s="208"/>
      <c r="C2338" s="209"/>
      <c r="D2338" s="209"/>
      <c r="E2338" s="209"/>
      <c r="F2338" s="209"/>
      <c r="G2338" s="210"/>
    </row>
    <row r="2339" spans="1:7" s="25" customFormat="1" ht="13.8" x14ac:dyDescent="0.3">
      <c r="A2339" s="208"/>
      <c r="B2339" s="208"/>
      <c r="C2339" s="209"/>
      <c r="D2339" s="209"/>
      <c r="E2339" s="209"/>
      <c r="F2339" s="209"/>
      <c r="G2339" s="210"/>
    </row>
    <row r="2340" spans="1:7" s="25" customFormat="1" ht="13.8" x14ac:dyDescent="0.3">
      <c r="A2340" s="208"/>
      <c r="B2340" s="208"/>
      <c r="C2340" s="209"/>
      <c r="D2340" s="209"/>
      <c r="E2340" s="209"/>
      <c r="F2340" s="209"/>
      <c r="G2340" s="210"/>
    </row>
    <row r="2341" spans="1:7" s="25" customFormat="1" ht="13.8" x14ac:dyDescent="0.3">
      <c r="A2341" s="208"/>
      <c r="B2341" s="208"/>
      <c r="C2341" s="209"/>
      <c r="D2341" s="209"/>
      <c r="E2341" s="209"/>
      <c r="F2341" s="209"/>
      <c r="G2341" s="210"/>
    </row>
    <row r="2342" spans="1:7" s="25" customFormat="1" ht="13.8" x14ac:dyDescent="0.3">
      <c r="A2342" s="208"/>
      <c r="B2342" s="208"/>
      <c r="C2342" s="209"/>
      <c r="D2342" s="209"/>
      <c r="E2342" s="209"/>
      <c r="F2342" s="209"/>
      <c r="G2342" s="210"/>
    </row>
    <row r="2343" spans="1:7" s="25" customFormat="1" ht="13.8" x14ac:dyDescent="0.3">
      <c r="A2343" s="208"/>
      <c r="B2343" s="208"/>
      <c r="C2343" s="209"/>
      <c r="D2343" s="209"/>
      <c r="E2343" s="209"/>
      <c r="F2343" s="209"/>
      <c r="G2343" s="210"/>
    </row>
    <row r="2344" spans="1:7" s="25" customFormat="1" ht="13.8" x14ac:dyDescent="0.3">
      <c r="A2344" s="208"/>
      <c r="B2344" s="208"/>
      <c r="C2344" s="209"/>
      <c r="D2344" s="209"/>
      <c r="E2344" s="209"/>
      <c r="F2344" s="209"/>
      <c r="G2344" s="210"/>
    </row>
    <row r="2345" spans="1:7" s="25" customFormat="1" ht="13.8" x14ac:dyDescent="0.3">
      <c r="A2345" s="208"/>
      <c r="B2345" s="208"/>
      <c r="C2345" s="209"/>
      <c r="D2345" s="209"/>
      <c r="E2345" s="209"/>
      <c r="F2345" s="209"/>
      <c r="G2345" s="210"/>
    </row>
    <row r="2346" spans="1:7" s="25" customFormat="1" ht="13.8" x14ac:dyDescent="0.3">
      <c r="A2346" s="208"/>
      <c r="B2346" s="208"/>
      <c r="C2346" s="209"/>
      <c r="D2346" s="209"/>
      <c r="E2346" s="209"/>
      <c r="F2346" s="209"/>
      <c r="G2346" s="210"/>
    </row>
    <row r="2347" spans="1:7" s="25" customFormat="1" ht="13.8" x14ac:dyDescent="0.3">
      <c r="A2347" s="208"/>
      <c r="B2347" s="208"/>
      <c r="C2347" s="209"/>
      <c r="D2347" s="209"/>
      <c r="E2347" s="209"/>
      <c r="F2347" s="209"/>
      <c r="G2347" s="210"/>
    </row>
    <row r="2348" spans="1:7" s="25" customFormat="1" ht="13.8" x14ac:dyDescent="0.3">
      <c r="A2348" s="208"/>
      <c r="B2348" s="208"/>
      <c r="C2348" s="209"/>
      <c r="D2348" s="209"/>
      <c r="E2348" s="209"/>
      <c r="F2348" s="209"/>
      <c r="G2348" s="210"/>
    </row>
    <row r="2349" spans="1:7" s="25" customFormat="1" ht="13.8" x14ac:dyDescent="0.3">
      <c r="A2349" s="208"/>
      <c r="B2349" s="208"/>
      <c r="C2349" s="209"/>
      <c r="D2349" s="209"/>
      <c r="E2349" s="209"/>
      <c r="F2349" s="209"/>
      <c r="G2349" s="210"/>
    </row>
    <row r="2350" spans="1:7" s="25" customFormat="1" ht="13.8" x14ac:dyDescent="0.3">
      <c r="A2350" s="208"/>
      <c r="B2350" s="208"/>
      <c r="C2350" s="209"/>
      <c r="D2350" s="209"/>
      <c r="E2350" s="209"/>
      <c r="F2350" s="209"/>
      <c r="G2350" s="210"/>
    </row>
    <row r="2351" spans="1:7" s="25" customFormat="1" ht="13.8" x14ac:dyDescent="0.3">
      <c r="A2351" s="208"/>
      <c r="B2351" s="208"/>
      <c r="C2351" s="209"/>
      <c r="D2351" s="209"/>
      <c r="E2351" s="209"/>
      <c r="F2351" s="209"/>
      <c r="G2351" s="210"/>
    </row>
    <row r="2352" spans="1:7" s="25" customFormat="1" ht="13.8" x14ac:dyDescent="0.3">
      <c r="A2352" s="208"/>
      <c r="B2352" s="208"/>
      <c r="C2352" s="209"/>
      <c r="D2352" s="209"/>
      <c r="E2352" s="209"/>
      <c r="F2352" s="209"/>
      <c r="G2352" s="210"/>
    </row>
    <row r="2353" spans="1:7" s="25" customFormat="1" ht="13.8" x14ac:dyDescent="0.3">
      <c r="A2353" s="208"/>
      <c r="B2353" s="208"/>
      <c r="C2353" s="209"/>
      <c r="D2353" s="209"/>
      <c r="E2353" s="209"/>
      <c r="F2353" s="209"/>
      <c r="G2353" s="210"/>
    </row>
    <row r="2354" spans="1:7" s="25" customFormat="1" ht="13.8" x14ac:dyDescent="0.3">
      <c r="A2354" s="208"/>
      <c r="B2354" s="208"/>
      <c r="C2354" s="209"/>
      <c r="D2354" s="209"/>
      <c r="E2354" s="209"/>
      <c r="F2354" s="209"/>
      <c r="G2354" s="210"/>
    </row>
    <row r="2355" spans="1:7" s="25" customFormat="1" ht="13.8" x14ac:dyDescent="0.3">
      <c r="A2355" s="208"/>
      <c r="B2355" s="208"/>
      <c r="C2355" s="209"/>
      <c r="D2355" s="209"/>
      <c r="E2355" s="209"/>
      <c r="F2355" s="209"/>
      <c r="G2355" s="210"/>
    </row>
    <row r="2356" spans="1:7" s="25" customFormat="1" ht="13.8" x14ac:dyDescent="0.3">
      <c r="A2356" s="208"/>
      <c r="B2356" s="208"/>
      <c r="C2356" s="209"/>
      <c r="D2356" s="209"/>
      <c r="E2356" s="209"/>
      <c r="F2356" s="209"/>
      <c r="G2356" s="210"/>
    </row>
    <row r="2357" spans="1:7" s="25" customFormat="1" ht="13.8" x14ac:dyDescent="0.3">
      <c r="A2357" s="208"/>
      <c r="B2357" s="208"/>
      <c r="C2357" s="209"/>
      <c r="D2357" s="209"/>
      <c r="E2357" s="209"/>
      <c r="F2357" s="209"/>
      <c r="G2357" s="210"/>
    </row>
    <row r="2358" spans="1:7" s="25" customFormat="1" ht="13.8" x14ac:dyDescent="0.3">
      <c r="A2358" s="208"/>
      <c r="B2358" s="208"/>
      <c r="C2358" s="209"/>
      <c r="D2358" s="209"/>
      <c r="E2358" s="209"/>
      <c r="F2358" s="209"/>
      <c r="G2358" s="210"/>
    </row>
    <row r="2359" spans="1:7" s="25" customFormat="1" ht="13.8" x14ac:dyDescent="0.3">
      <c r="A2359" s="208"/>
      <c r="B2359" s="208"/>
      <c r="C2359" s="209"/>
      <c r="D2359" s="209"/>
      <c r="E2359" s="209"/>
      <c r="F2359" s="209"/>
      <c r="G2359" s="210"/>
    </row>
    <row r="2360" spans="1:7" s="25" customFormat="1" ht="13.8" x14ac:dyDescent="0.3">
      <c r="A2360" s="208"/>
      <c r="B2360" s="208"/>
      <c r="C2360" s="209"/>
      <c r="D2360" s="209"/>
      <c r="E2360" s="209"/>
      <c r="F2360" s="209"/>
      <c r="G2360" s="210"/>
    </row>
    <row r="2361" spans="1:7" s="25" customFormat="1" ht="13.8" x14ac:dyDescent="0.3">
      <c r="A2361" s="208"/>
      <c r="B2361" s="208"/>
      <c r="C2361" s="209"/>
      <c r="D2361" s="209"/>
      <c r="E2361" s="209"/>
      <c r="F2361" s="209"/>
      <c r="G2361" s="210"/>
    </row>
    <row r="2362" spans="1:7" s="25" customFormat="1" ht="13.8" x14ac:dyDescent="0.3">
      <c r="A2362" s="208"/>
      <c r="B2362" s="208"/>
      <c r="C2362" s="209"/>
      <c r="D2362" s="209"/>
      <c r="E2362" s="209"/>
      <c r="F2362" s="209"/>
      <c r="G2362" s="210"/>
    </row>
    <row r="2363" spans="1:7" s="25" customFormat="1" ht="13.8" x14ac:dyDescent="0.3">
      <c r="A2363" s="208"/>
      <c r="B2363" s="208"/>
      <c r="C2363" s="209"/>
      <c r="D2363" s="209"/>
      <c r="E2363" s="209"/>
      <c r="F2363" s="209"/>
      <c r="G2363" s="210"/>
    </row>
    <row r="2364" spans="1:7" s="25" customFormat="1" ht="13.8" x14ac:dyDescent="0.3">
      <c r="A2364" s="208"/>
      <c r="B2364" s="208"/>
      <c r="C2364" s="209"/>
      <c r="D2364" s="209"/>
      <c r="E2364" s="209"/>
      <c r="F2364" s="209"/>
      <c r="G2364" s="210"/>
    </row>
    <row r="2365" spans="1:7" s="25" customFormat="1" ht="13.8" x14ac:dyDescent="0.3">
      <c r="A2365" s="208"/>
      <c r="B2365" s="208"/>
      <c r="C2365" s="209"/>
      <c r="D2365" s="209"/>
      <c r="E2365" s="209"/>
      <c r="F2365" s="209"/>
      <c r="G2365" s="210"/>
    </row>
    <row r="2366" spans="1:7" s="25" customFormat="1" ht="13.8" x14ac:dyDescent="0.3">
      <c r="A2366" s="208"/>
      <c r="B2366" s="208"/>
      <c r="C2366" s="209"/>
      <c r="D2366" s="209"/>
      <c r="E2366" s="209"/>
      <c r="F2366" s="209"/>
      <c r="G2366" s="210"/>
    </row>
    <row r="2367" spans="1:7" s="25" customFormat="1" ht="13.8" x14ac:dyDescent="0.3">
      <c r="A2367" s="208"/>
      <c r="B2367" s="208"/>
      <c r="C2367" s="209"/>
      <c r="D2367" s="209"/>
      <c r="E2367" s="209"/>
      <c r="F2367" s="209"/>
      <c r="G2367" s="210"/>
    </row>
    <row r="2368" spans="1:7" s="25" customFormat="1" ht="13.8" x14ac:dyDescent="0.3">
      <c r="A2368" s="208"/>
      <c r="B2368" s="208"/>
      <c r="C2368" s="209"/>
      <c r="D2368" s="209"/>
      <c r="E2368" s="209"/>
      <c r="F2368" s="209"/>
      <c r="G2368" s="210"/>
    </row>
    <row r="2369" spans="1:7" s="25" customFormat="1" ht="13.8" x14ac:dyDescent="0.3">
      <c r="A2369" s="208"/>
      <c r="B2369" s="208"/>
      <c r="C2369" s="209"/>
      <c r="D2369" s="209"/>
      <c r="E2369" s="209"/>
      <c r="F2369" s="209"/>
      <c r="G2369" s="210"/>
    </row>
    <row r="2370" spans="1:7" s="25" customFormat="1" ht="13.8" x14ac:dyDescent="0.3">
      <c r="A2370" s="208"/>
      <c r="B2370" s="208"/>
      <c r="C2370" s="209"/>
      <c r="D2370" s="209"/>
      <c r="E2370" s="209"/>
      <c r="F2370" s="209"/>
      <c r="G2370" s="210"/>
    </row>
    <row r="2371" spans="1:7" s="25" customFormat="1" ht="13.8" x14ac:dyDescent="0.3">
      <c r="A2371" s="208"/>
      <c r="B2371" s="208"/>
      <c r="C2371" s="209"/>
      <c r="D2371" s="209"/>
      <c r="E2371" s="209"/>
      <c r="F2371" s="209"/>
      <c r="G2371" s="210"/>
    </row>
    <row r="2372" spans="1:7" s="25" customFormat="1" ht="13.8" x14ac:dyDescent="0.3">
      <c r="A2372" s="208"/>
      <c r="B2372" s="208"/>
      <c r="C2372" s="209"/>
      <c r="D2372" s="209"/>
      <c r="E2372" s="209"/>
      <c r="F2372" s="209"/>
      <c r="G2372" s="210"/>
    </row>
    <row r="2373" spans="1:7" s="25" customFormat="1" ht="13.8" x14ac:dyDescent="0.3">
      <c r="A2373" s="208"/>
      <c r="B2373" s="208"/>
      <c r="C2373" s="209"/>
      <c r="D2373" s="209"/>
      <c r="E2373" s="209"/>
      <c r="F2373" s="209"/>
      <c r="G2373" s="210"/>
    </row>
    <row r="2374" spans="1:7" s="25" customFormat="1" ht="13.8" x14ac:dyDescent="0.3">
      <c r="A2374" s="208"/>
      <c r="B2374" s="208"/>
      <c r="C2374" s="209"/>
      <c r="D2374" s="209"/>
      <c r="E2374" s="209"/>
      <c r="F2374" s="209"/>
      <c r="G2374" s="210"/>
    </row>
    <row r="2375" spans="1:7" s="25" customFormat="1" ht="13.8" x14ac:dyDescent="0.3">
      <c r="A2375" s="208"/>
      <c r="B2375" s="208"/>
      <c r="C2375" s="209"/>
      <c r="D2375" s="209"/>
      <c r="E2375" s="209"/>
      <c r="F2375" s="209"/>
      <c r="G2375" s="210"/>
    </row>
    <row r="2376" spans="1:7" s="25" customFormat="1" ht="13.8" x14ac:dyDescent="0.3">
      <c r="A2376" s="208"/>
      <c r="B2376" s="208"/>
      <c r="C2376" s="209"/>
      <c r="D2376" s="209"/>
      <c r="E2376" s="209"/>
      <c r="F2376" s="209"/>
      <c r="G2376" s="210"/>
    </row>
    <row r="2377" spans="1:7" s="25" customFormat="1" ht="13.8" x14ac:dyDescent="0.3">
      <c r="A2377" s="208"/>
      <c r="B2377" s="208"/>
      <c r="C2377" s="209"/>
      <c r="D2377" s="209"/>
      <c r="E2377" s="209"/>
      <c r="F2377" s="209"/>
      <c r="G2377" s="210"/>
    </row>
    <row r="2378" spans="1:7" s="25" customFormat="1" ht="13.8" x14ac:dyDescent="0.3">
      <c r="A2378" s="208"/>
      <c r="B2378" s="208"/>
      <c r="C2378" s="209"/>
      <c r="D2378" s="209"/>
      <c r="E2378" s="209"/>
      <c r="F2378" s="209"/>
      <c r="G2378" s="210"/>
    </row>
    <row r="2379" spans="1:7" s="25" customFormat="1" ht="13.8" x14ac:dyDescent="0.3">
      <c r="A2379" s="208"/>
      <c r="B2379" s="208"/>
      <c r="C2379" s="209"/>
      <c r="D2379" s="209"/>
      <c r="E2379" s="209"/>
      <c r="F2379" s="209"/>
      <c r="G2379" s="210"/>
    </row>
    <row r="2380" spans="1:7" s="25" customFormat="1" ht="13.8" x14ac:dyDescent="0.3">
      <c r="A2380" s="208"/>
      <c r="B2380" s="208"/>
      <c r="C2380" s="209"/>
      <c r="D2380" s="209"/>
      <c r="E2380" s="209"/>
      <c r="F2380" s="209"/>
      <c r="G2380" s="210"/>
    </row>
    <row r="2381" spans="1:7" s="25" customFormat="1" ht="13.8" x14ac:dyDescent="0.3">
      <c r="A2381" s="208"/>
      <c r="B2381" s="208"/>
      <c r="C2381" s="209"/>
      <c r="D2381" s="209"/>
      <c r="E2381" s="209"/>
      <c r="F2381" s="209"/>
      <c r="G2381" s="210"/>
    </row>
    <row r="2382" spans="1:7" s="25" customFormat="1" ht="13.8" x14ac:dyDescent="0.3">
      <c r="A2382" s="208"/>
      <c r="B2382" s="208"/>
      <c r="C2382" s="209"/>
      <c r="D2382" s="209"/>
      <c r="E2382" s="209"/>
      <c r="F2382" s="209"/>
      <c r="G2382" s="210"/>
    </row>
    <row r="2383" spans="1:7" s="25" customFormat="1" ht="13.8" x14ac:dyDescent="0.3">
      <c r="A2383" s="208"/>
      <c r="B2383" s="208"/>
      <c r="C2383" s="209"/>
      <c r="D2383" s="209"/>
      <c r="E2383" s="209"/>
      <c r="F2383" s="209"/>
      <c r="G2383" s="210"/>
    </row>
    <row r="2384" spans="1:7" s="25" customFormat="1" ht="13.8" x14ac:dyDescent="0.3">
      <c r="A2384" s="208"/>
      <c r="B2384" s="208"/>
      <c r="C2384" s="209"/>
      <c r="D2384" s="209"/>
      <c r="E2384" s="209"/>
      <c r="F2384" s="209"/>
      <c r="G2384" s="210"/>
    </row>
    <row r="2385" spans="1:7" s="25" customFormat="1" ht="13.8" x14ac:dyDescent="0.3">
      <c r="A2385" s="208"/>
      <c r="B2385" s="208"/>
      <c r="C2385" s="209"/>
      <c r="D2385" s="209"/>
      <c r="E2385" s="209"/>
      <c r="F2385" s="209"/>
      <c r="G2385" s="210"/>
    </row>
    <row r="2386" spans="1:7" s="25" customFormat="1" ht="13.8" x14ac:dyDescent="0.3">
      <c r="A2386" s="208"/>
      <c r="B2386" s="208"/>
      <c r="C2386" s="209"/>
      <c r="D2386" s="209"/>
      <c r="E2386" s="209"/>
      <c r="F2386" s="209"/>
      <c r="G2386" s="210"/>
    </row>
    <row r="2387" spans="1:7" s="25" customFormat="1" ht="13.8" x14ac:dyDescent="0.3">
      <c r="A2387" s="208"/>
      <c r="B2387" s="208"/>
      <c r="C2387" s="209"/>
      <c r="D2387" s="209"/>
      <c r="E2387" s="209"/>
      <c r="F2387" s="209"/>
      <c r="G2387" s="210"/>
    </row>
    <row r="2388" spans="1:7" s="25" customFormat="1" ht="13.8" x14ac:dyDescent="0.3">
      <c r="A2388" s="208"/>
      <c r="B2388" s="208"/>
      <c r="C2388" s="209"/>
      <c r="D2388" s="209"/>
      <c r="E2388" s="209"/>
      <c r="F2388" s="209"/>
      <c r="G2388" s="210"/>
    </row>
    <row r="2389" spans="1:7" s="25" customFormat="1" ht="13.8" x14ac:dyDescent="0.3">
      <c r="A2389" s="208"/>
      <c r="B2389" s="208"/>
      <c r="C2389" s="209"/>
      <c r="D2389" s="209"/>
      <c r="E2389" s="209"/>
      <c r="F2389" s="209"/>
      <c r="G2389" s="210"/>
    </row>
    <row r="2390" spans="1:7" s="25" customFormat="1" ht="13.8" x14ac:dyDescent="0.3">
      <c r="A2390" s="208"/>
      <c r="B2390" s="208"/>
      <c r="C2390" s="209"/>
      <c r="D2390" s="209"/>
      <c r="E2390" s="209"/>
      <c r="F2390" s="209"/>
      <c r="G2390" s="210"/>
    </row>
    <row r="2391" spans="1:7" s="25" customFormat="1" ht="13.8" x14ac:dyDescent="0.3">
      <c r="A2391" s="208"/>
      <c r="B2391" s="208"/>
      <c r="C2391" s="209"/>
      <c r="D2391" s="209"/>
      <c r="E2391" s="209"/>
      <c r="F2391" s="209"/>
      <c r="G2391" s="210"/>
    </row>
    <row r="2392" spans="1:7" s="25" customFormat="1" ht="13.8" x14ac:dyDescent="0.3">
      <c r="A2392" s="208"/>
      <c r="B2392" s="208"/>
      <c r="C2392" s="209"/>
      <c r="D2392" s="209"/>
      <c r="E2392" s="209"/>
      <c r="F2392" s="209"/>
      <c r="G2392" s="210"/>
    </row>
    <row r="2393" spans="1:7" s="25" customFormat="1" ht="13.8" x14ac:dyDescent="0.3">
      <c r="A2393" s="208"/>
      <c r="B2393" s="208"/>
      <c r="C2393" s="209"/>
      <c r="D2393" s="209"/>
      <c r="E2393" s="209"/>
      <c r="F2393" s="209"/>
      <c r="G2393" s="210"/>
    </row>
    <row r="2394" spans="1:7" s="25" customFormat="1" ht="13.8" x14ac:dyDescent="0.3">
      <c r="A2394" s="208"/>
      <c r="B2394" s="208"/>
      <c r="C2394" s="209"/>
      <c r="D2394" s="209"/>
      <c r="E2394" s="209"/>
      <c r="F2394" s="209"/>
      <c r="G2394" s="210"/>
    </row>
    <row r="2395" spans="1:7" s="25" customFormat="1" ht="13.8" x14ac:dyDescent="0.3">
      <c r="A2395" s="208"/>
      <c r="B2395" s="208"/>
      <c r="C2395" s="209"/>
      <c r="D2395" s="209"/>
      <c r="E2395" s="209"/>
      <c r="F2395" s="209"/>
      <c r="G2395" s="210"/>
    </row>
    <row r="2396" spans="1:7" s="25" customFormat="1" ht="13.8" x14ac:dyDescent="0.3">
      <c r="A2396" s="208"/>
      <c r="B2396" s="208"/>
      <c r="C2396" s="209"/>
      <c r="D2396" s="209"/>
      <c r="E2396" s="209"/>
      <c r="F2396" s="209"/>
      <c r="G2396" s="210"/>
    </row>
    <row r="2397" spans="1:7" s="25" customFormat="1" ht="13.8" x14ac:dyDescent="0.3">
      <c r="A2397" s="208"/>
      <c r="B2397" s="208"/>
      <c r="C2397" s="209"/>
      <c r="D2397" s="209"/>
      <c r="E2397" s="209"/>
      <c r="F2397" s="209"/>
      <c r="G2397" s="210"/>
    </row>
    <row r="2398" spans="1:7" s="25" customFormat="1" ht="13.8" x14ac:dyDescent="0.3">
      <c r="A2398" s="208"/>
      <c r="B2398" s="208"/>
      <c r="C2398" s="209"/>
      <c r="D2398" s="209"/>
      <c r="E2398" s="209"/>
      <c r="F2398" s="209"/>
      <c r="G2398" s="210"/>
    </row>
    <row r="2399" spans="1:7" s="25" customFormat="1" ht="13.8" x14ac:dyDescent="0.3">
      <c r="A2399" s="208"/>
      <c r="B2399" s="208"/>
      <c r="C2399" s="209"/>
      <c r="D2399" s="209"/>
      <c r="E2399" s="209"/>
      <c r="F2399" s="209"/>
      <c r="G2399" s="210"/>
    </row>
    <row r="2400" spans="1:7" s="25" customFormat="1" ht="13.8" x14ac:dyDescent="0.3">
      <c r="A2400" s="208"/>
      <c r="B2400" s="208"/>
      <c r="C2400" s="209"/>
      <c r="D2400" s="209"/>
      <c r="E2400" s="209"/>
      <c r="F2400" s="209"/>
      <c r="G2400" s="210"/>
    </row>
    <row r="2401" spans="1:7" s="25" customFormat="1" ht="13.8" x14ac:dyDescent="0.3">
      <c r="A2401" s="208"/>
      <c r="B2401" s="208"/>
      <c r="C2401" s="209"/>
      <c r="D2401" s="209"/>
      <c r="E2401" s="209"/>
      <c r="F2401" s="209"/>
      <c r="G2401" s="210"/>
    </row>
    <row r="2402" spans="1:7" s="25" customFormat="1" ht="13.8" x14ac:dyDescent="0.3">
      <c r="A2402" s="208"/>
      <c r="B2402" s="208"/>
      <c r="C2402" s="209"/>
      <c r="D2402" s="209"/>
      <c r="E2402" s="209"/>
      <c r="F2402" s="209"/>
      <c r="G2402" s="210"/>
    </row>
    <row r="2403" spans="1:7" s="25" customFormat="1" ht="13.8" x14ac:dyDescent="0.3">
      <c r="A2403" s="208"/>
      <c r="B2403" s="208"/>
      <c r="C2403" s="209"/>
      <c r="D2403" s="209"/>
      <c r="E2403" s="209"/>
      <c r="F2403" s="209"/>
      <c r="G2403" s="210"/>
    </row>
    <row r="2404" spans="1:7" s="25" customFormat="1" ht="13.8" x14ac:dyDescent="0.3">
      <c r="A2404" s="208"/>
      <c r="B2404" s="208"/>
      <c r="C2404" s="209"/>
      <c r="D2404" s="209"/>
      <c r="E2404" s="209"/>
      <c r="F2404" s="209"/>
      <c r="G2404" s="210"/>
    </row>
    <row r="2405" spans="1:7" s="25" customFormat="1" ht="13.8" x14ac:dyDescent="0.3">
      <c r="A2405" s="208"/>
      <c r="B2405" s="208"/>
      <c r="C2405" s="209"/>
      <c r="D2405" s="209"/>
      <c r="E2405" s="209"/>
      <c r="F2405" s="209"/>
      <c r="G2405" s="210"/>
    </row>
    <row r="2406" spans="1:7" s="25" customFormat="1" ht="13.8" x14ac:dyDescent="0.3">
      <c r="A2406" s="208"/>
      <c r="B2406" s="208"/>
      <c r="C2406" s="209"/>
      <c r="D2406" s="209"/>
      <c r="E2406" s="209"/>
      <c r="F2406" s="209"/>
      <c r="G2406" s="210"/>
    </row>
    <row r="2407" spans="1:7" s="25" customFormat="1" ht="13.8" x14ac:dyDescent="0.3">
      <c r="A2407" s="208"/>
      <c r="B2407" s="208"/>
      <c r="C2407" s="209"/>
      <c r="D2407" s="209"/>
      <c r="E2407" s="209"/>
      <c r="F2407" s="209"/>
      <c r="G2407" s="210"/>
    </row>
    <row r="2408" spans="1:7" s="25" customFormat="1" ht="13.8" x14ac:dyDescent="0.3">
      <c r="A2408" s="208"/>
      <c r="B2408" s="208"/>
      <c r="C2408" s="209"/>
      <c r="D2408" s="209"/>
      <c r="E2408" s="209"/>
      <c r="F2408" s="209"/>
      <c r="G2408" s="210"/>
    </row>
    <row r="2409" spans="1:7" s="25" customFormat="1" ht="13.8" x14ac:dyDescent="0.3">
      <c r="A2409" s="208"/>
      <c r="B2409" s="208"/>
      <c r="C2409" s="209"/>
      <c r="D2409" s="209"/>
      <c r="E2409" s="209"/>
      <c r="F2409" s="209"/>
      <c r="G2409" s="210"/>
    </row>
    <row r="2410" spans="1:7" s="25" customFormat="1" ht="13.8" x14ac:dyDescent="0.3">
      <c r="A2410" s="208"/>
      <c r="B2410" s="208"/>
      <c r="C2410" s="209"/>
      <c r="D2410" s="209"/>
      <c r="E2410" s="209"/>
      <c r="F2410" s="209"/>
      <c r="G2410" s="210"/>
    </row>
    <row r="2411" spans="1:7" s="25" customFormat="1" ht="13.8" x14ac:dyDescent="0.3">
      <c r="A2411" s="208"/>
      <c r="B2411" s="208"/>
      <c r="C2411" s="209"/>
      <c r="D2411" s="209"/>
      <c r="E2411" s="209"/>
      <c r="F2411" s="209"/>
      <c r="G2411" s="210"/>
    </row>
    <row r="2412" spans="1:7" s="25" customFormat="1" ht="13.8" x14ac:dyDescent="0.3">
      <c r="A2412" s="208"/>
      <c r="B2412" s="208"/>
      <c r="C2412" s="209"/>
      <c r="D2412" s="209"/>
      <c r="E2412" s="209"/>
      <c r="F2412" s="209"/>
      <c r="G2412" s="210"/>
    </row>
    <row r="2413" spans="1:7" s="25" customFormat="1" ht="13.8" x14ac:dyDescent="0.3">
      <c r="A2413" s="208"/>
      <c r="B2413" s="208"/>
      <c r="C2413" s="209"/>
      <c r="D2413" s="209"/>
      <c r="E2413" s="209"/>
      <c r="F2413" s="209"/>
      <c r="G2413" s="210"/>
    </row>
    <row r="2414" spans="1:7" s="25" customFormat="1" ht="13.8" x14ac:dyDescent="0.3">
      <c r="A2414" s="208"/>
      <c r="B2414" s="208"/>
      <c r="C2414" s="209"/>
      <c r="D2414" s="209"/>
      <c r="E2414" s="209"/>
      <c r="F2414" s="209"/>
      <c r="G2414" s="210"/>
    </row>
    <row r="2415" spans="1:7" s="25" customFormat="1" ht="13.8" x14ac:dyDescent="0.3">
      <c r="A2415" s="208"/>
      <c r="B2415" s="208"/>
      <c r="C2415" s="209"/>
      <c r="D2415" s="209"/>
      <c r="E2415" s="209"/>
      <c r="F2415" s="209"/>
      <c r="G2415" s="210"/>
    </row>
    <row r="2416" spans="1:7" s="25" customFormat="1" ht="13.8" x14ac:dyDescent="0.3">
      <c r="A2416" s="208"/>
      <c r="B2416" s="208"/>
      <c r="C2416" s="209"/>
      <c r="D2416" s="209"/>
      <c r="E2416" s="209"/>
      <c r="F2416" s="209"/>
      <c r="G2416" s="210"/>
    </row>
    <row r="2417" spans="1:7" s="25" customFormat="1" ht="13.8" x14ac:dyDescent="0.3">
      <c r="A2417" s="208"/>
      <c r="B2417" s="208"/>
      <c r="C2417" s="209"/>
      <c r="D2417" s="209"/>
      <c r="E2417" s="209"/>
      <c r="F2417" s="209"/>
      <c r="G2417" s="210"/>
    </row>
    <row r="2418" spans="1:7" s="25" customFormat="1" ht="13.8" x14ac:dyDescent="0.3">
      <c r="A2418" s="208"/>
      <c r="B2418" s="208"/>
      <c r="C2418" s="209"/>
      <c r="D2418" s="209"/>
      <c r="E2418" s="209"/>
      <c r="F2418" s="209"/>
      <c r="G2418" s="210"/>
    </row>
    <row r="2419" spans="1:7" s="25" customFormat="1" ht="13.8" x14ac:dyDescent="0.3">
      <c r="A2419" s="208"/>
      <c r="B2419" s="208"/>
      <c r="C2419" s="209"/>
      <c r="D2419" s="209"/>
      <c r="E2419" s="209"/>
      <c r="F2419" s="209"/>
      <c r="G2419" s="210"/>
    </row>
    <row r="2420" spans="1:7" s="25" customFormat="1" ht="13.8" x14ac:dyDescent="0.3">
      <c r="A2420" s="208"/>
      <c r="B2420" s="208"/>
      <c r="C2420" s="209"/>
      <c r="D2420" s="209"/>
      <c r="E2420" s="209"/>
      <c r="F2420" s="209"/>
      <c r="G2420" s="210"/>
    </row>
    <row r="2421" spans="1:7" s="25" customFormat="1" ht="13.8" x14ac:dyDescent="0.3">
      <c r="A2421" s="208"/>
      <c r="B2421" s="208"/>
      <c r="C2421" s="209"/>
      <c r="D2421" s="209"/>
      <c r="E2421" s="209"/>
      <c r="F2421" s="209"/>
      <c r="G2421" s="210"/>
    </row>
    <row r="2422" spans="1:7" s="25" customFormat="1" ht="13.8" x14ac:dyDescent="0.3">
      <c r="A2422" s="208"/>
      <c r="B2422" s="208"/>
      <c r="C2422" s="209"/>
      <c r="D2422" s="209"/>
      <c r="E2422" s="209"/>
      <c r="F2422" s="209"/>
      <c r="G2422" s="210"/>
    </row>
    <row r="2423" spans="1:7" s="25" customFormat="1" ht="13.8" x14ac:dyDescent="0.3">
      <c r="A2423" s="208"/>
      <c r="B2423" s="208"/>
      <c r="C2423" s="209"/>
      <c r="D2423" s="209"/>
      <c r="E2423" s="209"/>
      <c r="F2423" s="209"/>
      <c r="G2423" s="210"/>
    </row>
    <row r="2424" spans="1:7" s="25" customFormat="1" ht="13.8" x14ac:dyDescent="0.3">
      <c r="A2424" s="208"/>
      <c r="B2424" s="208"/>
      <c r="C2424" s="209"/>
      <c r="D2424" s="209"/>
      <c r="E2424" s="209"/>
      <c r="F2424" s="209"/>
      <c r="G2424" s="210"/>
    </row>
    <row r="2425" spans="1:7" s="25" customFormat="1" ht="13.8" x14ac:dyDescent="0.3">
      <c r="A2425" s="208"/>
      <c r="B2425" s="208"/>
      <c r="C2425" s="209"/>
      <c r="D2425" s="209"/>
      <c r="E2425" s="209"/>
      <c r="F2425" s="209"/>
      <c r="G2425" s="210"/>
    </row>
    <row r="2426" spans="1:7" s="25" customFormat="1" ht="13.8" x14ac:dyDescent="0.3">
      <c r="A2426" s="208"/>
      <c r="B2426" s="208"/>
      <c r="C2426" s="209"/>
      <c r="D2426" s="209"/>
      <c r="E2426" s="209"/>
      <c r="F2426" s="209"/>
      <c r="G2426" s="210"/>
    </row>
    <row r="2427" spans="1:7" s="25" customFormat="1" ht="13.8" x14ac:dyDescent="0.3">
      <c r="A2427" s="208"/>
      <c r="B2427" s="208"/>
      <c r="C2427" s="209"/>
      <c r="D2427" s="209"/>
      <c r="E2427" s="209"/>
      <c r="F2427" s="209"/>
      <c r="G2427" s="210"/>
    </row>
    <row r="2428" spans="1:7" s="25" customFormat="1" ht="13.8" x14ac:dyDescent="0.3">
      <c r="A2428" s="208"/>
      <c r="B2428" s="208"/>
      <c r="C2428" s="209"/>
      <c r="D2428" s="209"/>
      <c r="E2428" s="209"/>
      <c r="F2428" s="209"/>
      <c r="G2428" s="210"/>
    </row>
    <row r="2429" spans="1:7" s="25" customFormat="1" ht="13.8" x14ac:dyDescent="0.3">
      <c r="A2429" s="208"/>
      <c r="B2429" s="208"/>
      <c r="C2429" s="209"/>
      <c r="D2429" s="209"/>
      <c r="E2429" s="209"/>
      <c r="F2429" s="209"/>
      <c r="G2429" s="210"/>
    </row>
    <row r="2430" spans="1:7" s="25" customFormat="1" ht="13.8" x14ac:dyDescent="0.3">
      <c r="A2430" s="208"/>
      <c r="B2430" s="208"/>
      <c r="C2430" s="209"/>
      <c r="D2430" s="209"/>
      <c r="E2430" s="209"/>
      <c r="F2430" s="209"/>
      <c r="G2430" s="210"/>
    </row>
    <row r="2431" spans="1:7" s="25" customFormat="1" ht="13.8" x14ac:dyDescent="0.3">
      <c r="A2431" s="208"/>
      <c r="B2431" s="208"/>
      <c r="C2431" s="209"/>
      <c r="D2431" s="209"/>
      <c r="E2431" s="209"/>
      <c r="F2431" s="209"/>
      <c r="G2431" s="210"/>
    </row>
    <row r="2432" spans="1:7" s="25" customFormat="1" ht="13.8" x14ac:dyDescent="0.3">
      <c r="A2432" s="208"/>
      <c r="B2432" s="208"/>
      <c r="C2432" s="209"/>
      <c r="D2432" s="209"/>
      <c r="E2432" s="209"/>
      <c r="F2432" s="209"/>
      <c r="G2432" s="210"/>
    </row>
    <row r="2433" spans="1:7" s="25" customFormat="1" ht="13.8" x14ac:dyDescent="0.3">
      <c r="A2433" s="208"/>
      <c r="B2433" s="208"/>
      <c r="C2433" s="209"/>
      <c r="D2433" s="209"/>
      <c r="E2433" s="209"/>
      <c r="F2433" s="209"/>
      <c r="G2433" s="210"/>
    </row>
    <row r="2434" spans="1:7" s="25" customFormat="1" ht="13.8" x14ac:dyDescent="0.3">
      <c r="A2434" s="208"/>
      <c r="B2434" s="208"/>
      <c r="C2434" s="209"/>
      <c r="D2434" s="209"/>
      <c r="E2434" s="209"/>
      <c r="F2434" s="209"/>
      <c r="G2434" s="210"/>
    </row>
    <row r="2435" spans="1:7" s="25" customFormat="1" ht="13.8" x14ac:dyDescent="0.3">
      <c r="A2435" s="208"/>
      <c r="B2435" s="208"/>
      <c r="C2435" s="209"/>
      <c r="D2435" s="209"/>
      <c r="E2435" s="209"/>
      <c r="F2435" s="209"/>
      <c r="G2435" s="210"/>
    </row>
    <row r="2436" spans="1:7" s="25" customFormat="1" ht="13.8" x14ac:dyDescent="0.3">
      <c r="A2436" s="208"/>
      <c r="B2436" s="208"/>
      <c r="C2436" s="209"/>
      <c r="D2436" s="209"/>
      <c r="E2436" s="209"/>
      <c r="F2436" s="209"/>
      <c r="G2436" s="210"/>
    </row>
    <row r="2437" spans="1:7" s="25" customFormat="1" ht="13.8" x14ac:dyDescent="0.3">
      <c r="A2437" s="208"/>
      <c r="B2437" s="208"/>
      <c r="C2437" s="209"/>
      <c r="D2437" s="209"/>
      <c r="E2437" s="209"/>
      <c r="F2437" s="209"/>
      <c r="G2437" s="210"/>
    </row>
    <row r="2438" spans="1:7" s="25" customFormat="1" ht="13.8" x14ac:dyDescent="0.3">
      <c r="A2438" s="208"/>
      <c r="B2438" s="208"/>
      <c r="C2438" s="209"/>
      <c r="D2438" s="209"/>
      <c r="E2438" s="209"/>
      <c r="F2438" s="209"/>
      <c r="G2438" s="210"/>
    </row>
    <row r="2439" spans="1:7" s="25" customFormat="1" ht="13.8" x14ac:dyDescent="0.3">
      <c r="A2439" s="208"/>
      <c r="B2439" s="208"/>
      <c r="C2439" s="209"/>
      <c r="D2439" s="209"/>
      <c r="E2439" s="209"/>
      <c r="F2439" s="209"/>
      <c r="G2439" s="210"/>
    </row>
    <row r="2440" spans="1:7" s="25" customFormat="1" ht="13.8" x14ac:dyDescent="0.3">
      <c r="A2440" s="208"/>
      <c r="B2440" s="208"/>
      <c r="C2440" s="209"/>
      <c r="D2440" s="209"/>
      <c r="E2440" s="209"/>
      <c r="F2440" s="209"/>
      <c r="G2440" s="210"/>
    </row>
    <row r="2441" spans="1:7" s="25" customFormat="1" ht="13.8" x14ac:dyDescent="0.3">
      <c r="A2441" s="208"/>
      <c r="B2441" s="208"/>
      <c r="C2441" s="209"/>
      <c r="D2441" s="209"/>
      <c r="E2441" s="209"/>
      <c r="F2441" s="209"/>
      <c r="G2441" s="210"/>
    </row>
    <row r="2442" spans="1:7" s="25" customFormat="1" ht="13.8" x14ac:dyDescent="0.3">
      <c r="A2442" s="208"/>
      <c r="B2442" s="208"/>
      <c r="C2442" s="209"/>
      <c r="D2442" s="209"/>
      <c r="E2442" s="209"/>
      <c r="F2442" s="209"/>
      <c r="G2442" s="210"/>
    </row>
    <row r="2443" spans="1:7" s="25" customFormat="1" ht="13.8" x14ac:dyDescent="0.3">
      <c r="A2443" s="208"/>
      <c r="B2443" s="208"/>
      <c r="C2443" s="209"/>
      <c r="D2443" s="209"/>
      <c r="E2443" s="209"/>
      <c r="F2443" s="209"/>
      <c r="G2443" s="210"/>
    </row>
    <row r="2444" spans="1:7" s="25" customFormat="1" ht="13.8" x14ac:dyDescent="0.3">
      <c r="A2444" s="208"/>
      <c r="B2444" s="208"/>
      <c r="C2444" s="209"/>
      <c r="D2444" s="209"/>
      <c r="E2444" s="209"/>
      <c r="F2444" s="209"/>
      <c r="G2444" s="210"/>
    </row>
    <row r="2445" spans="1:7" s="25" customFormat="1" ht="13.8" x14ac:dyDescent="0.3">
      <c r="A2445" s="208"/>
      <c r="B2445" s="208"/>
      <c r="C2445" s="209"/>
      <c r="D2445" s="209"/>
      <c r="E2445" s="209"/>
      <c r="F2445" s="209"/>
      <c r="G2445" s="210"/>
    </row>
    <row r="2446" spans="1:7" s="25" customFormat="1" ht="13.8" x14ac:dyDescent="0.3">
      <c r="A2446" s="208"/>
      <c r="B2446" s="208"/>
      <c r="C2446" s="209"/>
      <c r="D2446" s="209"/>
      <c r="E2446" s="209"/>
      <c r="F2446" s="209"/>
      <c r="G2446" s="210"/>
    </row>
    <row r="2447" spans="1:7" s="25" customFormat="1" ht="13.8" x14ac:dyDescent="0.3">
      <c r="A2447" s="208"/>
      <c r="B2447" s="208"/>
      <c r="C2447" s="209"/>
      <c r="D2447" s="209"/>
      <c r="E2447" s="209"/>
      <c r="F2447" s="209"/>
      <c r="G2447" s="210"/>
    </row>
    <row r="2448" spans="1:7" s="25" customFormat="1" ht="13.8" x14ac:dyDescent="0.3">
      <c r="A2448" s="208"/>
      <c r="B2448" s="208"/>
      <c r="C2448" s="209"/>
      <c r="D2448" s="209"/>
      <c r="E2448" s="209"/>
      <c r="F2448" s="209"/>
      <c r="G2448" s="210"/>
    </row>
    <row r="2449" spans="1:7" s="25" customFormat="1" ht="13.8" x14ac:dyDescent="0.3">
      <c r="A2449" s="208"/>
      <c r="B2449" s="208"/>
      <c r="C2449" s="209"/>
      <c r="D2449" s="209"/>
      <c r="E2449" s="209"/>
      <c r="F2449" s="209"/>
      <c r="G2449" s="210"/>
    </row>
    <row r="2450" spans="1:7" s="25" customFormat="1" ht="13.8" x14ac:dyDescent="0.3">
      <c r="A2450" s="208"/>
      <c r="B2450" s="208"/>
      <c r="C2450" s="209"/>
      <c r="D2450" s="209"/>
      <c r="E2450" s="209"/>
      <c r="F2450" s="209"/>
      <c r="G2450" s="210"/>
    </row>
    <row r="2451" spans="1:7" s="25" customFormat="1" ht="13.8" x14ac:dyDescent="0.3">
      <c r="A2451" s="208"/>
      <c r="B2451" s="208"/>
      <c r="C2451" s="209"/>
      <c r="D2451" s="209"/>
      <c r="E2451" s="209"/>
      <c r="F2451" s="209"/>
      <c r="G2451" s="210"/>
    </row>
    <row r="2452" spans="1:7" s="25" customFormat="1" ht="13.8" x14ac:dyDescent="0.3">
      <c r="A2452" s="208"/>
      <c r="B2452" s="208"/>
      <c r="C2452" s="209"/>
      <c r="D2452" s="209"/>
      <c r="E2452" s="209"/>
      <c r="F2452" s="209"/>
      <c r="G2452" s="210"/>
    </row>
    <row r="2453" spans="1:7" s="25" customFormat="1" ht="13.8" x14ac:dyDescent="0.3">
      <c r="A2453" s="208"/>
      <c r="B2453" s="208"/>
      <c r="C2453" s="209"/>
      <c r="D2453" s="209"/>
      <c r="E2453" s="209"/>
      <c r="F2453" s="209"/>
      <c r="G2453" s="210"/>
    </row>
    <row r="2454" spans="1:7" s="25" customFormat="1" ht="13.8" x14ac:dyDescent="0.3">
      <c r="A2454" s="208"/>
      <c r="B2454" s="208"/>
      <c r="C2454" s="209"/>
      <c r="D2454" s="209"/>
      <c r="E2454" s="209"/>
      <c r="F2454" s="209"/>
      <c r="G2454" s="210"/>
    </row>
    <row r="2455" spans="1:7" s="25" customFormat="1" ht="13.8" x14ac:dyDescent="0.3">
      <c r="A2455" s="208"/>
      <c r="B2455" s="208"/>
      <c r="C2455" s="209"/>
      <c r="D2455" s="209"/>
      <c r="E2455" s="209"/>
      <c r="F2455" s="209"/>
      <c r="G2455" s="210"/>
    </row>
    <row r="2456" spans="1:7" s="25" customFormat="1" ht="13.8" x14ac:dyDescent="0.3">
      <c r="A2456" s="208"/>
      <c r="B2456" s="208"/>
      <c r="C2456" s="209"/>
      <c r="D2456" s="209"/>
      <c r="E2456" s="209"/>
      <c r="F2456" s="209"/>
      <c r="G2456" s="210"/>
    </row>
    <row r="2457" spans="1:7" s="25" customFormat="1" ht="13.8" x14ac:dyDescent="0.3">
      <c r="A2457" s="208"/>
      <c r="B2457" s="208"/>
      <c r="C2457" s="209"/>
      <c r="D2457" s="209"/>
      <c r="E2457" s="209"/>
      <c r="F2457" s="209"/>
      <c r="G2457" s="210"/>
    </row>
    <row r="2458" spans="1:7" s="25" customFormat="1" ht="13.8" x14ac:dyDescent="0.3">
      <c r="A2458" s="208"/>
      <c r="B2458" s="208"/>
      <c r="C2458" s="209"/>
      <c r="D2458" s="209"/>
      <c r="E2458" s="209"/>
      <c r="F2458" s="209"/>
      <c r="G2458" s="210"/>
    </row>
    <row r="2459" spans="1:7" s="25" customFormat="1" ht="13.8" x14ac:dyDescent="0.3">
      <c r="A2459" s="208"/>
      <c r="B2459" s="208"/>
      <c r="C2459" s="209"/>
      <c r="D2459" s="209"/>
      <c r="E2459" s="209"/>
      <c r="F2459" s="209"/>
      <c r="G2459" s="210"/>
    </row>
    <row r="2460" spans="1:7" s="25" customFormat="1" ht="13.8" x14ac:dyDescent="0.3">
      <c r="A2460" s="208"/>
      <c r="B2460" s="208"/>
      <c r="C2460" s="209"/>
      <c r="D2460" s="209"/>
      <c r="E2460" s="209"/>
      <c r="F2460" s="209"/>
      <c r="G2460" s="210"/>
    </row>
    <row r="2461" spans="1:7" s="25" customFormat="1" ht="13.8" x14ac:dyDescent="0.3">
      <c r="A2461" s="208"/>
      <c r="B2461" s="208"/>
      <c r="C2461" s="209"/>
      <c r="D2461" s="209"/>
      <c r="E2461" s="209"/>
      <c r="F2461" s="209"/>
      <c r="G2461" s="210"/>
    </row>
    <row r="2462" spans="1:7" s="25" customFormat="1" ht="13.8" x14ac:dyDescent="0.3">
      <c r="A2462" s="208"/>
      <c r="B2462" s="208"/>
      <c r="C2462" s="209"/>
      <c r="D2462" s="209"/>
      <c r="E2462" s="209"/>
      <c r="F2462" s="209"/>
      <c r="G2462" s="210"/>
    </row>
    <row r="2463" spans="1:7" s="25" customFormat="1" ht="13.8" x14ac:dyDescent="0.3">
      <c r="A2463" s="208"/>
      <c r="B2463" s="208"/>
      <c r="C2463" s="209"/>
      <c r="D2463" s="209"/>
      <c r="E2463" s="209"/>
      <c r="F2463" s="209"/>
      <c r="G2463" s="210"/>
    </row>
    <row r="2464" spans="1:7" s="25" customFormat="1" ht="13.8" x14ac:dyDescent="0.3">
      <c r="A2464" s="208"/>
      <c r="B2464" s="208"/>
      <c r="C2464" s="209"/>
      <c r="D2464" s="209"/>
      <c r="E2464" s="209"/>
      <c r="F2464" s="209"/>
      <c r="G2464" s="210"/>
    </row>
    <row r="2465" spans="1:7" s="25" customFormat="1" ht="13.8" x14ac:dyDescent="0.3">
      <c r="A2465" s="208"/>
      <c r="B2465" s="208"/>
      <c r="C2465" s="209"/>
      <c r="D2465" s="209"/>
      <c r="E2465" s="209"/>
      <c r="F2465" s="209"/>
      <c r="G2465" s="210"/>
    </row>
    <row r="2466" spans="1:7" s="25" customFormat="1" ht="13.8" x14ac:dyDescent="0.3">
      <c r="A2466" s="208"/>
      <c r="B2466" s="208"/>
      <c r="C2466" s="209"/>
      <c r="D2466" s="209"/>
      <c r="E2466" s="209"/>
      <c r="F2466" s="209"/>
      <c r="G2466" s="210"/>
    </row>
    <row r="2467" spans="1:7" s="25" customFormat="1" ht="13.8" x14ac:dyDescent="0.3">
      <c r="A2467" s="208"/>
      <c r="B2467" s="208"/>
      <c r="C2467" s="209"/>
      <c r="D2467" s="209"/>
      <c r="E2467" s="209"/>
      <c r="F2467" s="209"/>
      <c r="G2467" s="210"/>
    </row>
    <row r="2468" spans="1:7" s="25" customFormat="1" ht="13.8" x14ac:dyDescent="0.3">
      <c r="A2468" s="208"/>
      <c r="B2468" s="208"/>
      <c r="C2468" s="209"/>
      <c r="D2468" s="209"/>
      <c r="E2468" s="209"/>
      <c r="F2468" s="209"/>
      <c r="G2468" s="210"/>
    </row>
    <row r="2469" spans="1:7" s="25" customFormat="1" ht="13.8" x14ac:dyDescent="0.3">
      <c r="A2469" s="208"/>
      <c r="B2469" s="208"/>
      <c r="C2469" s="209"/>
      <c r="D2469" s="209"/>
      <c r="E2469" s="209"/>
      <c r="F2469" s="209"/>
      <c r="G2469" s="210"/>
    </row>
    <row r="2470" spans="1:7" s="25" customFormat="1" ht="13.8" x14ac:dyDescent="0.3">
      <c r="A2470" s="208"/>
      <c r="B2470" s="208"/>
      <c r="C2470" s="209"/>
      <c r="D2470" s="209"/>
      <c r="E2470" s="209"/>
      <c r="F2470" s="209"/>
      <c r="G2470" s="210"/>
    </row>
    <row r="2471" spans="1:7" s="25" customFormat="1" ht="13.8" x14ac:dyDescent="0.3">
      <c r="A2471" s="208"/>
      <c r="B2471" s="208"/>
      <c r="C2471" s="209"/>
      <c r="D2471" s="209"/>
      <c r="E2471" s="209"/>
      <c r="F2471" s="209"/>
      <c r="G2471" s="210"/>
    </row>
    <row r="2472" spans="1:7" s="25" customFormat="1" ht="13.8" x14ac:dyDescent="0.3">
      <c r="A2472" s="208"/>
      <c r="B2472" s="208"/>
      <c r="C2472" s="209"/>
      <c r="D2472" s="209"/>
      <c r="E2472" s="209"/>
      <c r="F2472" s="209"/>
      <c r="G2472" s="210"/>
    </row>
    <row r="2473" spans="1:7" s="25" customFormat="1" ht="13.8" x14ac:dyDescent="0.3">
      <c r="A2473" s="208"/>
      <c r="B2473" s="208"/>
      <c r="C2473" s="209"/>
      <c r="D2473" s="209"/>
      <c r="E2473" s="209"/>
      <c r="F2473" s="209"/>
      <c r="G2473" s="210"/>
    </row>
    <row r="2474" spans="1:7" s="25" customFormat="1" ht="13.8" x14ac:dyDescent="0.3">
      <c r="A2474" s="208"/>
      <c r="B2474" s="208"/>
      <c r="C2474" s="209"/>
      <c r="D2474" s="209"/>
      <c r="E2474" s="209"/>
      <c r="F2474" s="209"/>
      <c r="G2474" s="210"/>
    </row>
    <row r="2475" spans="1:7" s="25" customFormat="1" ht="13.8" x14ac:dyDescent="0.3">
      <c r="A2475" s="208"/>
      <c r="B2475" s="208"/>
      <c r="C2475" s="209"/>
      <c r="D2475" s="209"/>
      <c r="E2475" s="209"/>
      <c r="F2475" s="209"/>
      <c r="G2475" s="210"/>
    </row>
    <row r="2476" spans="1:7" s="25" customFormat="1" ht="13.8" x14ac:dyDescent="0.3">
      <c r="A2476" s="208"/>
      <c r="B2476" s="208"/>
      <c r="C2476" s="209"/>
      <c r="D2476" s="209"/>
      <c r="E2476" s="209"/>
      <c r="F2476" s="209"/>
      <c r="G2476" s="210"/>
    </row>
    <row r="2477" spans="1:7" s="25" customFormat="1" ht="13.8" x14ac:dyDescent="0.3">
      <c r="A2477" s="208"/>
      <c r="B2477" s="208"/>
      <c r="C2477" s="209"/>
      <c r="D2477" s="209"/>
      <c r="E2477" s="209"/>
      <c r="F2477" s="209"/>
      <c r="G2477" s="210"/>
    </row>
    <row r="2478" spans="1:7" s="25" customFormat="1" ht="13.8" x14ac:dyDescent="0.3">
      <c r="A2478" s="208"/>
      <c r="B2478" s="208"/>
      <c r="C2478" s="209"/>
      <c r="D2478" s="209"/>
      <c r="E2478" s="209"/>
      <c r="F2478" s="209"/>
      <c r="G2478" s="210"/>
    </row>
    <row r="2479" spans="1:7" s="25" customFormat="1" ht="13.8" x14ac:dyDescent="0.3">
      <c r="A2479" s="208"/>
      <c r="B2479" s="208"/>
      <c r="C2479" s="209"/>
      <c r="D2479" s="209"/>
      <c r="E2479" s="209"/>
      <c r="F2479" s="209"/>
      <c r="G2479" s="210"/>
    </row>
    <row r="2480" spans="1:7" s="25" customFormat="1" ht="13.8" x14ac:dyDescent="0.3">
      <c r="A2480" s="208"/>
      <c r="B2480" s="208"/>
      <c r="C2480" s="209"/>
      <c r="D2480" s="209"/>
      <c r="E2480" s="209"/>
      <c r="F2480" s="209"/>
      <c r="G2480" s="210"/>
    </row>
    <row r="2481" spans="1:7" s="25" customFormat="1" ht="13.8" x14ac:dyDescent="0.3">
      <c r="A2481" s="208"/>
      <c r="B2481" s="208"/>
      <c r="C2481" s="209"/>
      <c r="D2481" s="209"/>
      <c r="E2481" s="209"/>
      <c r="F2481" s="209"/>
      <c r="G2481" s="210"/>
    </row>
    <row r="2482" spans="1:7" s="25" customFormat="1" ht="13.8" x14ac:dyDescent="0.3">
      <c r="A2482" s="208"/>
      <c r="B2482" s="208"/>
      <c r="C2482" s="209"/>
      <c r="D2482" s="209"/>
      <c r="E2482" s="209"/>
      <c r="F2482" s="209"/>
      <c r="G2482" s="210"/>
    </row>
    <row r="2483" spans="1:7" s="25" customFormat="1" ht="13.8" x14ac:dyDescent="0.3">
      <c r="A2483" s="208"/>
      <c r="B2483" s="208"/>
      <c r="C2483" s="209"/>
      <c r="D2483" s="209"/>
      <c r="E2483" s="209"/>
      <c r="F2483" s="209"/>
      <c r="G2483" s="210"/>
    </row>
    <row r="2484" spans="1:7" s="25" customFormat="1" ht="13.8" x14ac:dyDescent="0.3">
      <c r="A2484" s="208"/>
      <c r="B2484" s="208"/>
      <c r="C2484" s="209"/>
      <c r="D2484" s="209"/>
      <c r="E2484" s="209"/>
      <c r="F2484" s="209"/>
      <c r="G2484" s="210"/>
    </row>
    <row r="2485" spans="1:7" s="25" customFormat="1" ht="13.8" x14ac:dyDescent="0.3">
      <c r="A2485" s="208"/>
      <c r="B2485" s="208"/>
      <c r="C2485" s="209"/>
      <c r="D2485" s="209"/>
      <c r="E2485" s="209"/>
      <c r="F2485" s="209"/>
      <c r="G2485" s="210"/>
    </row>
    <row r="2486" spans="1:7" s="25" customFormat="1" ht="13.8" x14ac:dyDescent="0.3">
      <c r="A2486" s="208"/>
      <c r="B2486" s="208"/>
      <c r="C2486" s="209"/>
      <c r="D2486" s="209"/>
      <c r="E2486" s="209"/>
      <c r="F2486" s="209"/>
      <c r="G2486" s="210"/>
    </row>
    <row r="2487" spans="1:7" s="25" customFormat="1" ht="13.8" x14ac:dyDescent="0.3">
      <c r="A2487" s="208"/>
      <c r="B2487" s="208"/>
      <c r="C2487" s="209"/>
      <c r="D2487" s="209"/>
      <c r="E2487" s="209"/>
      <c r="F2487" s="209"/>
      <c r="G2487" s="210"/>
    </row>
    <row r="2488" spans="1:7" s="25" customFormat="1" ht="13.8" x14ac:dyDescent="0.3">
      <c r="A2488" s="208"/>
      <c r="B2488" s="208"/>
      <c r="C2488" s="209"/>
      <c r="D2488" s="209"/>
      <c r="E2488" s="209"/>
      <c r="F2488" s="209"/>
      <c r="G2488" s="210"/>
    </row>
    <row r="2489" spans="1:7" s="25" customFormat="1" ht="13.8" x14ac:dyDescent="0.3">
      <c r="A2489" s="208"/>
      <c r="B2489" s="208"/>
      <c r="C2489" s="209"/>
      <c r="D2489" s="209"/>
      <c r="E2489" s="209"/>
      <c r="F2489" s="209"/>
      <c r="G2489" s="210"/>
    </row>
    <row r="2490" spans="1:7" s="25" customFormat="1" ht="13.8" x14ac:dyDescent="0.3">
      <c r="A2490" s="208"/>
      <c r="B2490" s="208"/>
      <c r="C2490" s="209"/>
      <c r="D2490" s="209"/>
      <c r="E2490" s="209"/>
      <c r="F2490" s="209"/>
      <c r="G2490" s="210"/>
    </row>
    <row r="2491" spans="1:7" s="25" customFormat="1" ht="13.8" x14ac:dyDescent="0.3">
      <c r="A2491" s="208"/>
      <c r="B2491" s="208"/>
      <c r="C2491" s="209"/>
      <c r="D2491" s="209"/>
      <c r="E2491" s="209"/>
      <c r="F2491" s="209"/>
      <c r="G2491" s="210"/>
    </row>
    <row r="2492" spans="1:7" s="25" customFormat="1" ht="13.8" x14ac:dyDescent="0.3">
      <c r="A2492" s="208"/>
      <c r="B2492" s="208"/>
      <c r="C2492" s="209"/>
      <c r="D2492" s="209"/>
      <c r="E2492" s="209"/>
      <c r="F2492" s="209"/>
      <c r="G2492" s="210"/>
    </row>
    <row r="2493" spans="1:7" s="25" customFormat="1" ht="13.8" x14ac:dyDescent="0.3">
      <c r="A2493" s="208"/>
      <c r="B2493" s="208"/>
      <c r="C2493" s="209"/>
      <c r="D2493" s="209"/>
      <c r="E2493" s="209"/>
      <c r="F2493" s="209"/>
      <c r="G2493" s="210"/>
    </row>
    <row r="2494" spans="1:7" s="25" customFormat="1" ht="13.8" x14ac:dyDescent="0.3">
      <c r="A2494" s="208"/>
      <c r="B2494" s="208"/>
      <c r="C2494" s="209"/>
      <c r="D2494" s="209"/>
      <c r="E2494" s="209"/>
      <c r="F2494" s="209"/>
      <c r="G2494" s="210"/>
    </row>
    <row r="2495" spans="1:7" s="25" customFormat="1" ht="13.8" x14ac:dyDescent="0.3">
      <c r="A2495" s="208"/>
      <c r="B2495" s="208"/>
      <c r="C2495" s="209"/>
      <c r="D2495" s="209"/>
      <c r="E2495" s="209"/>
      <c r="F2495" s="209"/>
      <c r="G2495" s="210"/>
    </row>
    <row r="2496" spans="1:7" s="25" customFormat="1" ht="13.8" x14ac:dyDescent="0.3">
      <c r="A2496" s="208"/>
      <c r="B2496" s="208"/>
      <c r="C2496" s="209"/>
      <c r="D2496" s="209"/>
      <c r="E2496" s="209"/>
      <c r="F2496" s="209"/>
      <c r="G2496" s="210"/>
    </row>
    <row r="2497" spans="1:7" s="25" customFormat="1" ht="13.8" x14ac:dyDescent="0.3">
      <c r="A2497" s="208"/>
      <c r="B2497" s="208"/>
      <c r="C2497" s="209"/>
      <c r="D2497" s="209"/>
      <c r="E2497" s="209"/>
      <c r="F2497" s="209"/>
      <c r="G2497" s="210"/>
    </row>
    <row r="2498" spans="1:7" s="25" customFormat="1" ht="13.8" x14ac:dyDescent="0.3">
      <c r="A2498" s="208"/>
      <c r="B2498" s="208"/>
      <c r="C2498" s="209"/>
      <c r="D2498" s="209"/>
      <c r="E2498" s="209"/>
      <c r="F2498" s="209"/>
      <c r="G2498" s="210"/>
    </row>
    <row r="2499" spans="1:7" s="25" customFormat="1" ht="13.8" x14ac:dyDescent="0.3">
      <c r="A2499" s="208"/>
      <c r="B2499" s="208"/>
      <c r="C2499" s="209"/>
      <c r="D2499" s="209"/>
      <c r="E2499" s="209"/>
      <c r="F2499" s="209"/>
      <c r="G2499" s="210"/>
    </row>
    <row r="2500" spans="1:7" s="25" customFormat="1" ht="13.8" x14ac:dyDescent="0.3">
      <c r="A2500" s="208"/>
      <c r="B2500" s="208"/>
      <c r="C2500" s="209"/>
      <c r="D2500" s="209"/>
      <c r="E2500" s="209"/>
      <c r="F2500" s="209"/>
      <c r="G2500" s="210"/>
    </row>
    <row r="2501" spans="1:7" s="25" customFormat="1" ht="13.8" x14ac:dyDescent="0.3">
      <c r="A2501" s="208"/>
      <c r="B2501" s="208"/>
      <c r="C2501" s="209"/>
      <c r="D2501" s="209"/>
      <c r="E2501" s="209"/>
      <c r="F2501" s="209"/>
      <c r="G2501" s="210"/>
    </row>
    <row r="2502" spans="1:7" s="25" customFormat="1" ht="13.8" x14ac:dyDescent="0.3">
      <c r="A2502" s="208"/>
      <c r="B2502" s="208"/>
      <c r="C2502" s="209"/>
      <c r="D2502" s="209"/>
      <c r="E2502" s="209"/>
      <c r="F2502" s="209"/>
      <c r="G2502" s="210"/>
    </row>
    <row r="2503" spans="1:7" s="25" customFormat="1" ht="13.8" x14ac:dyDescent="0.3">
      <c r="A2503" s="208"/>
      <c r="B2503" s="208"/>
      <c r="C2503" s="209"/>
      <c r="D2503" s="209"/>
      <c r="E2503" s="209"/>
      <c r="F2503" s="209"/>
      <c r="G2503" s="210"/>
    </row>
    <row r="2504" spans="1:7" s="25" customFormat="1" ht="13.8" x14ac:dyDescent="0.3">
      <c r="A2504" s="208"/>
      <c r="B2504" s="208"/>
      <c r="C2504" s="209"/>
      <c r="D2504" s="209"/>
      <c r="E2504" s="209"/>
      <c r="F2504" s="209"/>
      <c r="G2504" s="210"/>
    </row>
    <row r="2505" spans="1:7" s="25" customFormat="1" ht="13.8" x14ac:dyDescent="0.3">
      <c r="A2505" s="208"/>
      <c r="B2505" s="208"/>
      <c r="C2505" s="209"/>
      <c r="D2505" s="209"/>
      <c r="E2505" s="209"/>
      <c r="F2505" s="209"/>
      <c r="G2505" s="210"/>
    </row>
    <row r="2506" spans="1:7" s="25" customFormat="1" ht="13.8" x14ac:dyDescent="0.3">
      <c r="A2506" s="208"/>
      <c r="B2506" s="208"/>
      <c r="C2506" s="209"/>
      <c r="D2506" s="209"/>
      <c r="E2506" s="209"/>
      <c r="F2506" s="209"/>
      <c r="G2506" s="210"/>
    </row>
    <row r="2507" spans="1:7" s="25" customFormat="1" ht="13.8" x14ac:dyDescent="0.3">
      <c r="A2507" s="208"/>
      <c r="B2507" s="208"/>
      <c r="C2507" s="209"/>
      <c r="D2507" s="209"/>
      <c r="E2507" s="209"/>
      <c r="F2507" s="209"/>
      <c r="G2507" s="210"/>
    </row>
    <row r="2508" spans="1:7" s="25" customFormat="1" ht="13.8" x14ac:dyDescent="0.3">
      <c r="A2508" s="208"/>
      <c r="B2508" s="208"/>
      <c r="C2508" s="209"/>
      <c r="D2508" s="209"/>
      <c r="E2508" s="209"/>
      <c r="F2508" s="209"/>
      <c r="G2508" s="210"/>
    </row>
    <row r="2509" spans="1:7" s="25" customFormat="1" ht="13.8" x14ac:dyDescent="0.3">
      <c r="A2509" s="208"/>
      <c r="B2509" s="208"/>
      <c r="C2509" s="209"/>
      <c r="D2509" s="209"/>
      <c r="E2509" s="209"/>
      <c r="F2509" s="209"/>
      <c r="G2509" s="210"/>
    </row>
    <row r="2510" spans="1:7" s="25" customFormat="1" ht="13.8" x14ac:dyDescent="0.3">
      <c r="A2510" s="208"/>
      <c r="B2510" s="208"/>
      <c r="C2510" s="209"/>
      <c r="D2510" s="209"/>
      <c r="E2510" s="209"/>
      <c r="F2510" s="209"/>
      <c r="G2510" s="210"/>
    </row>
    <row r="2511" spans="1:7" s="25" customFormat="1" ht="13.8" x14ac:dyDescent="0.3">
      <c r="A2511" s="208"/>
      <c r="B2511" s="208"/>
      <c r="C2511" s="209"/>
      <c r="D2511" s="209"/>
      <c r="E2511" s="209"/>
      <c r="F2511" s="209"/>
      <c r="G2511" s="210"/>
    </row>
    <row r="2512" spans="1:7" s="25" customFormat="1" ht="13.8" x14ac:dyDescent="0.3">
      <c r="A2512" s="208"/>
      <c r="B2512" s="208"/>
      <c r="C2512" s="209"/>
      <c r="D2512" s="209"/>
      <c r="E2512" s="209"/>
      <c r="F2512" s="209"/>
      <c r="G2512" s="210"/>
    </row>
    <row r="2513" spans="1:7" s="25" customFormat="1" ht="13.8" x14ac:dyDescent="0.3">
      <c r="A2513" s="208"/>
      <c r="B2513" s="208"/>
      <c r="C2513" s="209"/>
      <c r="D2513" s="209"/>
      <c r="E2513" s="209"/>
      <c r="F2513" s="209"/>
      <c r="G2513" s="210"/>
    </row>
    <row r="2514" spans="1:7" s="25" customFormat="1" ht="13.8" x14ac:dyDescent="0.3">
      <c r="A2514" s="208"/>
      <c r="B2514" s="208"/>
      <c r="C2514" s="209"/>
      <c r="D2514" s="209"/>
      <c r="E2514" s="209"/>
      <c r="F2514" s="209"/>
      <c r="G2514" s="210"/>
    </row>
    <row r="2515" spans="1:7" s="25" customFormat="1" ht="13.8" x14ac:dyDescent="0.3">
      <c r="A2515" s="208"/>
      <c r="B2515" s="208"/>
      <c r="C2515" s="209"/>
      <c r="D2515" s="209"/>
      <c r="E2515" s="209"/>
      <c r="F2515" s="209"/>
      <c r="G2515" s="210"/>
    </row>
    <row r="2516" spans="1:7" s="25" customFormat="1" ht="13.8" x14ac:dyDescent="0.3">
      <c r="A2516" s="208"/>
      <c r="B2516" s="208"/>
      <c r="C2516" s="209"/>
      <c r="D2516" s="209"/>
      <c r="E2516" s="209"/>
      <c r="F2516" s="209"/>
      <c r="G2516" s="210"/>
    </row>
    <row r="2517" spans="1:7" s="25" customFormat="1" ht="13.8" x14ac:dyDescent="0.3">
      <c r="A2517" s="208"/>
      <c r="B2517" s="208"/>
      <c r="C2517" s="209"/>
      <c r="D2517" s="209"/>
      <c r="E2517" s="209"/>
      <c r="F2517" s="209"/>
      <c r="G2517" s="210"/>
    </row>
    <row r="2518" spans="1:7" s="25" customFormat="1" ht="13.8" x14ac:dyDescent="0.3">
      <c r="A2518" s="208"/>
      <c r="B2518" s="208"/>
      <c r="C2518" s="209"/>
      <c r="D2518" s="209"/>
      <c r="E2518" s="209"/>
      <c r="F2518" s="209"/>
      <c r="G2518" s="210"/>
    </row>
    <row r="2519" spans="1:7" s="25" customFormat="1" ht="13.8" x14ac:dyDescent="0.3">
      <c r="A2519" s="208"/>
      <c r="B2519" s="208"/>
      <c r="C2519" s="209"/>
      <c r="D2519" s="209"/>
      <c r="E2519" s="209"/>
      <c r="F2519" s="209"/>
      <c r="G2519" s="210"/>
    </row>
    <row r="2520" spans="1:7" s="25" customFormat="1" ht="13.8" x14ac:dyDescent="0.3">
      <c r="A2520" s="208"/>
      <c r="B2520" s="208"/>
      <c r="C2520" s="209"/>
      <c r="D2520" s="209"/>
      <c r="E2520" s="209"/>
      <c r="F2520" s="209"/>
      <c r="G2520" s="210"/>
    </row>
    <row r="2521" spans="1:7" s="25" customFormat="1" ht="13.8" x14ac:dyDescent="0.3">
      <c r="A2521" s="208"/>
      <c r="B2521" s="208"/>
      <c r="C2521" s="209"/>
      <c r="D2521" s="209"/>
      <c r="E2521" s="209"/>
      <c r="F2521" s="209"/>
      <c r="G2521" s="210"/>
    </row>
    <row r="2522" spans="1:7" s="25" customFormat="1" ht="13.8" x14ac:dyDescent="0.3">
      <c r="A2522" s="208"/>
      <c r="B2522" s="208"/>
      <c r="C2522" s="209"/>
      <c r="D2522" s="209"/>
      <c r="E2522" s="209"/>
      <c r="F2522" s="209"/>
      <c r="G2522" s="210"/>
    </row>
    <row r="2523" spans="1:7" s="25" customFormat="1" ht="13.8" x14ac:dyDescent="0.3">
      <c r="A2523" s="208"/>
      <c r="B2523" s="208"/>
      <c r="C2523" s="209"/>
      <c r="D2523" s="209"/>
      <c r="E2523" s="209"/>
      <c r="F2523" s="209"/>
      <c r="G2523" s="210"/>
    </row>
    <row r="2524" spans="1:7" s="25" customFormat="1" ht="13.8" x14ac:dyDescent="0.3">
      <c r="A2524" s="208"/>
      <c r="B2524" s="208"/>
      <c r="C2524" s="209"/>
      <c r="D2524" s="209"/>
      <c r="E2524" s="209"/>
      <c r="F2524" s="209"/>
      <c r="G2524" s="210"/>
    </row>
    <row r="2525" spans="1:7" s="25" customFormat="1" ht="13.8" x14ac:dyDescent="0.3">
      <c r="A2525" s="208"/>
      <c r="B2525" s="208"/>
      <c r="C2525" s="209"/>
      <c r="D2525" s="209"/>
      <c r="E2525" s="209"/>
      <c r="F2525" s="209"/>
      <c r="G2525" s="210"/>
    </row>
    <row r="2526" spans="1:7" s="25" customFormat="1" ht="13.8" x14ac:dyDescent="0.3">
      <c r="A2526" s="208"/>
      <c r="B2526" s="208"/>
      <c r="C2526" s="209"/>
      <c r="D2526" s="209"/>
      <c r="E2526" s="209"/>
      <c r="F2526" s="209"/>
      <c r="G2526" s="210"/>
    </row>
    <row r="2527" spans="1:7" s="25" customFormat="1" ht="13.8" x14ac:dyDescent="0.3">
      <c r="A2527" s="208"/>
      <c r="B2527" s="208"/>
      <c r="C2527" s="209"/>
      <c r="D2527" s="209"/>
      <c r="E2527" s="209"/>
      <c r="F2527" s="209"/>
      <c r="G2527" s="210"/>
    </row>
    <row r="2528" spans="1:7" s="25" customFormat="1" ht="13.8" x14ac:dyDescent="0.3">
      <c r="A2528" s="208"/>
      <c r="B2528" s="208"/>
      <c r="C2528" s="209"/>
      <c r="D2528" s="209"/>
      <c r="E2528" s="209"/>
      <c r="F2528" s="209"/>
      <c r="G2528" s="210"/>
    </row>
    <row r="2529" spans="1:7" s="25" customFormat="1" ht="13.8" x14ac:dyDescent="0.3">
      <c r="A2529" s="208"/>
      <c r="B2529" s="208"/>
      <c r="C2529" s="209"/>
      <c r="D2529" s="209"/>
      <c r="E2529" s="209"/>
      <c r="F2529" s="209"/>
      <c r="G2529" s="210"/>
    </row>
    <row r="2530" spans="1:7" s="25" customFormat="1" ht="13.8" x14ac:dyDescent="0.3">
      <c r="A2530" s="208"/>
      <c r="B2530" s="208"/>
      <c r="C2530" s="209"/>
      <c r="D2530" s="209"/>
      <c r="E2530" s="209"/>
      <c r="F2530" s="209"/>
      <c r="G2530" s="210"/>
    </row>
    <row r="2531" spans="1:7" s="25" customFormat="1" ht="13.8" x14ac:dyDescent="0.3">
      <c r="A2531" s="208"/>
      <c r="B2531" s="208"/>
      <c r="C2531" s="209"/>
      <c r="D2531" s="209"/>
      <c r="E2531" s="209"/>
      <c r="F2531" s="209"/>
      <c r="G2531" s="210"/>
    </row>
    <row r="2532" spans="1:7" s="25" customFormat="1" ht="13.8" x14ac:dyDescent="0.3">
      <c r="A2532" s="208"/>
      <c r="B2532" s="208"/>
      <c r="C2532" s="209"/>
      <c r="D2532" s="209"/>
      <c r="E2532" s="209"/>
      <c r="F2532" s="209"/>
      <c r="G2532" s="210"/>
    </row>
    <row r="2533" spans="1:7" s="25" customFormat="1" ht="13.8" x14ac:dyDescent="0.3">
      <c r="A2533" s="208"/>
      <c r="B2533" s="208"/>
      <c r="C2533" s="209"/>
      <c r="D2533" s="209"/>
      <c r="E2533" s="209"/>
      <c r="F2533" s="209"/>
      <c r="G2533" s="210"/>
    </row>
    <row r="2534" spans="1:7" s="25" customFormat="1" ht="13.8" x14ac:dyDescent="0.3">
      <c r="A2534" s="208"/>
      <c r="B2534" s="208"/>
      <c r="C2534" s="209"/>
      <c r="D2534" s="209"/>
      <c r="E2534" s="209"/>
      <c r="F2534" s="209"/>
      <c r="G2534" s="210"/>
    </row>
    <row r="2535" spans="1:7" s="25" customFormat="1" ht="13.8" x14ac:dyDescent="0.3">
      <c r="A2535" s="208"/>
      <c r="B2535" s="208"/>
      <c r="C2535" s="209"/>
      <c r="D2535" s="209"/>
      <c r="E2535" s="209"/>
      <c r="F2535" s="209"/>
      <c r="G2535" s="210"/>
    </row>
    <row r="2536" spans="1:7" s="25" customFormat="1" ht="13.8" x14ac:dyDescent="0.3">
      <c r="A2536" s="208"/>
      <c r="B2536" s="208"/>
      <c r="C2536" s="209"/>
      <c r="D2536" s="209"/>
      <c r="E2536" s="209"/>
      <c r="F2536" s="209"/>
      <c r="G2536" s="210"/>
    </row>
    <row r="2537" spans="1:7" s="25" customFormat="1" ht="13.8" x14ac:dyDescent="0.3">
      <c r="A2537" s="208"/>
      <c r="B2537" s="208"/>
      <c r="C2537" s="209"/>
      <c r="D2537" s="209"/>
      <c r="E2537" s="209"/>
      <c r="F2537" s="209"/>
      <c r="G2537" s="210"/>
    </row>
    <row r="2538" spans="1:7" s="25" customFormat="1" ht="13.8" x14ac:dyDescent="0.3">
      <c r="A2538" s="208"/>
      <c r="B2538" s="208"/>
      <c r="C2538" s="209"/>
      <c r="D2538" s="209"/>
      <c r="E2538" s="209"/>
      <c r="F2538" s="209"/>
      <c r="G2538" s="210"/>
    </row>
    <row r="2539" spans="1:7" s="25" customFormat="1" ht="13.8" x14ac:dyDescent="0.3">
      <c r="A2539" s="208"/>
      <c r="B2539" s="208"/>
      <c r="C2539" s="209"/>
      <c r="D2539" s="209"/>
      <c r="E2539" s="209"/>
      <c r="F2539" s="209"/>
      <c r="G2539" s="210"/>
    </row>
    <row r="2540" spans="1:7" s="25" customFormat="1" ht="13.8" x14ac:dyDescent="0.3">
      <c r="A2540" s="208"/>
      <c r="B2540" s="208"/>
      <c r="C2540" s="209"/>
      <c r="D2540" s="209"/>
      <c r="E2540" s="209"/>
      <c r="F2540" s="209"/>
      <c r="G2540" s="210"/>
    </row>
    <row r="2541" spans="1:7" s="25" customFormat="1" ht="13.8" x14ac:dyDescent="0.3">
      <c r="A2541" s="208"/>
      <c r="B2541" s="208"/>
      <c r="C2541" s="209"/>
      <c r="D2541" s="209"/>
      <c r="E2541" s="209"/>
      <c r="F2541" s="209"/>
      <c r="G2541" s="210"/>
    </row>
    <row r="2542" spans="1:7" s="25" customFormat="1" ht="13.8" x14ac:dyDescent="0.3">
      <c r="A2542" s="208"/>
      <c r="B2542" s="208"/>
      <c r="C2542" s="209"/>
      <c r="D2542" s="209"/>
      <c r="E2542" s="209"/>
      <c r="F2542" s="209"/>
      <c r="G2542" s="210"/>
    </row>
    <row r="2543" spans="1:7" s="25" customFormat="1" ht="13.8" x14ac:dyDescent="0.3">
      <c r="A2543" s="208"/>
      <c r="B2543" s="208"/>
      <c r="C2543" s="209"/>
      <c r="D2543" s="209"/>
      <c r="E2543" s="209"/>
      <c r="F2543" s="209"/>
      <c r="G2543" s="210"/>
    </row>
    <row r="2544" spans="1:7" s="25" customFormat="1" ht="13.8" x14ac:dyDescent="0.3">
      <c r="A2544" s="208"/>
      <c r="B2544" s="208"/>
      <c r="C2544" s="209"/>
      <c r="D2544" s="209"/>
      <c r="E2544" s="209"/>
      <c r="F2544" s="209"/>
      <c r="G2544" s="210"/>
    </row>
    <row r="2545" spans="1:7" s="25" customFormat="1" ht="13.8" x14ac:dyDescent="0.3">
      <c r="A2545" s="208"/>
      <c r="B2545" s="208"/>
      <c r="C2545" s="209"/>
      <c r="D2545" s="209"/>
      <c r="E2545" s="209"/>
      <c r="F2545" s="209"/>
      <c r="G2545" s="210"/>
    </row>
    <row r="2546" spans="1:7" s="25" customFormat="1" ht="13.8" x14ac:dyDescent="0.3">
      <c r="A2546" s="208"/>
      <c r="B2546" s="208"/>
      <c r="C2546" s="209"/>
      <c r="D2546" s="209"/>
      <c r="E2546" s="209"/>
      <c r="F2546" s="209"/>
      <c r="G2546" s="210"/>
    </row>
    <row r="2547" spans="1:7" s="25" customFormat="1" ht="13.8" x14ac:dyDescent="0.3">
      <c r="A2547" s="208"/>
      <c r="B2547" s="208"/>
      <c r="C2547" s="209"/>
      <c r="D2547" s="209"/>
      <c r="E2547" s="209"/>
      <c r="F2547" s="209"/>
      <c r="G2547" s="210"/>
    </row>
    <row r="2548" spans="1:7" s="25" customFormat="1" ht="13.8" x14ac:dyDescent="0.3">
      <c r="A2548" s="208"/>
      <c r="B2548" s="208"/>
      <c r="C2548" s="209"/>
      <c r="D2548" s="209"/>
      <c r="E2548" s="209"/>
      <c r="F2548" s="209"/>
      <c r="G2548" s="210"/>
    </row>
    <row r="2549" spans="1:7" s="25" customFormat="1" ht="13.8" x14ac:dyDescent="0.3">
      <c r="A2549" s="208"/>
      <c r="B2549" s="208"/>
      <c r="C2549" s="209"/>
      <c r="D2549" s="209"/>
      <c r="E2549" s="209"/>
      <c r="F2549" s="209"/>
      <c r="G2549" s="210"/>
    </row>
    <row r="2550" spans="1:7" s="25" customFormat="1" ht="13.8" x14ac:dyDescent="0.3">
      <c r="A2550" s="208"/>
      <c r="B2550" s="208"/>
      <c r="C2550" s="209"/>
      <c r="D2550" s="209"/>
      <c r="E2550" s="209"/>
      <c r="F2550" s="209"/>
      <c r="G2550" s="210"/>
    </row>
    <row r="2551" spans="1:7" s="25" customFormat="1" ht="13.8" x14ac:dyDescent="0.3">
      <c r="A2551" s="208"/>
      <c r="B2551" s="208"/>
      <c r="C2551" s="209"/>
      <c r="D2551" s="209"/>
      <c r="E2551" s="209"/>
      <c r="F2551" s="209"/>
      <c r="G2551" s="210"/>
    </row>
    <row r="2552" spans="1:7" s="25" customFormat="1" ht="13.8" x14ac:dyDescent="0.3">
      <c r="A2552" s="208"/>
      <c r="B2552" s="208"/>
      <c r="C2552" s="209"/>
      <c r="D2552" s="209"/>
      <c r="E2552" s="209"/>
      <c r="F2552" s="209"/>
      <c r="G2552" s="210"/>
    </row>
    <row r="2553" spans="1:7" s="25" customFormat="1" ht="13.8" x14ac:dyDescent="0.3">
      <c r="A2553" s="208"/>
      <c r="B2553" s="208"/>
      <c r="C2553" s="209"/>
      <c r="D2553" s="209"/>
      <c r="E2553" s="209"/>
      <c r="F2553" s="209"/>
      <c r="G2553" s="210"/>
    </row>
    <row r="2554" spans="1:7" s="25" customFormat="1" ht="13.8" x14ac:dyDescent="0.3">
      <c r="A2554" s="208"/>
      <c r="B2554" s="208"/>
      <c r="C2554" s="209"/>
      <c r="D2554" s="209"/>
      <c r="E2554" s="209"/>
      <c r="F2554" s="209"/>
      <c r="G2554" s="210"/>
    </row>
    <row r="2555" spans="1:7" s="25" customFormat="1" ht="13.8" x14ac:dyDescent="0.3">
      <c r="A2555" s="208"/>
      <c r="B2555" s="208"/>
      <c r="C2555" s="209"/>
      <c r="D2555" s="209"/>
      <c r="E2555" s="209"/>
      <c r="F2555" s="209"/>
      <c r="G2555" s="210"/>
    </row>
    <row r="2556" spans="1:7" s="25" customFormat="1" ht="13.8" x14ac:dyDescent="0.3">
      <c r="A2556" s="208"/>
      <c r="B2556" s="208"/>
      <c r="C2556" s="209"/>
      <c r="D2556" s="209"/>
      <c r="E2556" s="209"/>
      <c r="F2556" s="209"/>
      <c r="G2556" s="210"/>
    </row>
    <row r="2557" spans="1:7" s="25" customFormat="1" ht="13.8" x14ac:dyDescent="0.3">
      <c r="A2557" s="208"/>
      <c r="B2557" s="208"/>
      <c r="C2557" s="209"/>
      <c r="D2557" s="209"/>
      <c r="E2557" s="209"/>
      <c r="F2557" s="209"/>
      <c r="G2557" s="210"/>
    </row>
    <row r="2558" spans="1:7" s="25" customFormat="1" ht="13.8" x14ac:dyDescent="0.3">
      <c r="A2558" s="208"/>
      <c r="B2558" s="208"/>
      <c r="C2558" s="209"/>
      <c r="D2558" s="209"/>
      <c r="E2558" s="209"/>
      <c r="F2558" s="209"/>
      <c r="G2558" s="210"/>
    </row>
    <row r="2559" spans="1:7" s="25" customFormat="1" ht="13.8" x14ac:dyDescent="0.3">
      <c r="A2559" s="208"/>
      <c r="B2559" s="208"/>
      <c r="C2559" s="209"/>
      <c r="D2559" s="209"/>
      <c r="E2559" s="209"/>
      <c r="F2559" s="209"/>
      <c r="G2559" s="210"/>
    </row>
    <row r="2560" spans="1:7" s="25" customFormat="1" ht="13.8" x14ac:dyDescent="0.3">
      <c r="A2560" s="208"/>
      <c r="B2560" s="208"/>
      <c r="C2560" s="209"/>
      <c r="D2560" s="209"/>
      <c r="E2560" s="209"/>
      <c r="F2560" s="209"/>
      <c r="G2560" s="210"/>
    </row>
    <row r="2561" spans="1:7" s="25" customFormat="1" ht="13.8" x14ac:dyDescent="0.3">
      <c r="A2561" s="208"/>
      <c r="B2561" s="208"/>
      <c r="C2561" s="209"/>
      <c r="D2561" s="209"/>
      <c r="E2561" s="209"/>
      <c r="F2561" s="209"/>
      <c r="G2561" s="210"/>
    </row>
    <row r="2562" spans="1:7" s="25" customFormat="1" ht="13.8" x14ac:dyDescent="0.3">
      <c r="A2562" s="208"/>
      <c r="B2562" s="208"/>
      <c r="C2562" s="209"/>
      <c r="D2562" s="209"/>
      <c r="E2562" s="209"/>
      <c r="F2562" s="209"/>
      <c r="G2562" s="210"/>
    </row>
    <row r="2563" spans="1:7" s="25" customFormat="1" ht="13.8" x14ac:dyDescent="0.3">
      <c r="A2563" s="208"/>
      <c r="B2563" s="208"/>
      <c r="C2563" s="209"/>
      <c r="D2563" s="209"/>
      <c r="E2563" s="209"/>
      <c r="F2563" s="209"/>
      <c r="G2563" s="210"/>
    </row>
    <row r="2564" spans="1:7" s="25" customFormat="1" ht="13.8" x14ac:dyDescent="0.3">
      <c r="A2564" s="208"/>
      <c r="B2564" s="208"/>
      <c r="C2564" s="209"/>
      <c r="D2564" s="209"/>
      <c r="E2564" s="209"/>
      <c r="F2564" s="209"/>
      <c r="G2564" s="210"/>
    </row>
    <row r="2565" spans="1:7" s="25" customFormat="1" ht="13.8" x14ac:dyDescent="0.3">
      <c r="A2565" s="208"/>
      <c r="B2565" s="208"/>
      <c r="C2565" s="209"/>
      <c r="D2565" s="209"/>
      <c r="E2565" s="209"/>
      <c r="F2565" s="209"/>
      <c r="G2565" s="210"/>
    </row>
    <row r="2566" spans="1:7" s="25" customFormat="1" ht="13.8" x14ac:dyDescent="0.3">
      <c r="A2566" s="208"/>
      <c r="B2566" s="208"/>
      <c r="C2566" s="209"/>
      <c r="D2566" s="209"/>
      <c r="E2566" s="209"/>
      <c r="F2566" s="209"/>
      <c r="G2566" s="210"/>
    </row>
    <row r="2567" spans="1:7" s="25" customFormat="1" ht="13.8" x14ac:dyDescent="0.3">
      <c r="A2567" s="208"/>
      <c r="B2567" s="208"/>
      <c r="C2567" s="209"/>
      <c r="D2567" s="209"/>
      <c r="E2567" s="209"/>
      <c r="F2567" s="209"/>
      <c r="G2567" s="210"/>
    </row>
    <row r="2568" spans="1:7" s="25" customFormat="1" ht="13.8" x14ac:dyDescent="0.3">
      <c r="A2568" s="208"/>
      <c r="B2568" s="208"/>
      <c r="C2568" s="209"/>
      <c r="D2568" s="209"/>
      <c r="E2568" s="209"/>
      <c r="F2568" s="209"/>
      <c r="G2568" s="210"/>
    </row>
    <row r="2569" spans="1:7" s="25" customFormat="1" ht="13.8" x14ac:dyDescent="0.3">
      <c r="A2569" s="208"/>
      <c r="B2569" s="208"/>
      <c r="C2569" s="209"/>
      <c r="D2569" s="209"/>
      <c r="E2569" s="209"/>
      <c r="F2569" s="209"/>
      <c r="G2569" s="210"/>
    </row>
    <row r="2570" spans="1:7" s="25" customFormat="1" ht="13.8" x14ac:dyDescent="0.3">
      <c r="A2570" s="208"/>
      <c r="B2570" s="208"/>
      <c r="C2570" s="209"/>
      <c r="D2570" s="209"/>
      <c r="E2570" s="209"/>
      <c r="F2570" s="209"/>
      <c r="G2570" s="210"/>
    </row>
    <row r="2571" spans="1:7" s="25" customFormat="1" ht="13.8" x14ac:dyDescent="0.3">
      <c r="A2571" s="208"/>
      <c r="B2571" s="208"/>
      <c r="C2571" s="209"/>
      <c r="D2571" s="209"/>
      <c r="E2571" s="209"/>
      <c r="F2571" s="209"/>
      <c r="G2571" s="210"/>
    </row>
    <row r="2572" spans="1:7" s="25" customFormat="1" ht="13.8" x14ac:dyDescent="0.3">
      <c r="A2572" s="208"/>
      <c r="B2572" s="208"/>
      <c r="C2572" s="209"/>
      <c r="D2572" s="209"/>
      <c r="E2572" s="209"/>
      <c r="F2572" s="209"/>
      <c r="G2572" s="210"/>
    </row>
    <row r="2573" spans="1:7" s="25" customFormat="1" ht="13.8" x14ac:dyDescent="0.3">
      <c r="A2573" s="208"/>
      <c r="B2573" s="208"/>
      <c r="C2573" s="209"/>
      <c r="D2573" s="209"/>
      <c r="E2573" s="209"/>
      <c r="F2573" s="209"/>
      <c r="G2573" s="210"/>
    </row>
    <row r="2574" spans="1:7" s="25" customFormat="1" ht="13.8" x14ac:dyDescent="0.3">
      <c r="A2574" s="208"/>
      <c r="B2574" s="208"/>
      <c r="C2574" s="209"/>
      <c r="D2574" s="209"/>
      <c r="E2574" s="209"/>
      <c r="F2574" s="209"/>
      <c r="G2574" s="210"/>
    </row>
    <row r="2575" spans="1:7" s="25" customFormat="1" ht="13.8" x14ac:dyDescent="0.3">
      <c r="A2575" s="208"/>
      <c r="B2575" s="208"/>
      <c r="C2575" s="209"/>
      <c r="D2575" s="209"/>
      <c r="E2575" s="209"/>
      <c r="F2575" s="209"/>
      <c r="G2575" s="210"/>
    </row>
    <row r="2576" spans="1:7" s="25" customFormat="1" ht="13.8" x14ac:dyDescent="0.3">
      <c r="A2576" s="208"/>
      <c r="B2576" s="208"/>
      <c r="C2576" s="209"/>
      <c r="D2576" s="209"/>
      <c r="E2576" s="209"/>
      <c r="F2576" s="209"/>
      <c r="G2576" s="210"/>
    </row>
    <row r="2577" spans="1:7" s="25" customFormat="1" ht="13.8" x14ac:dyDescent="0.3">
      <c r="A2577" s="208"/>
      <c r="B2577" s="208"/>
      <c r="C2577" s="209"/>
      <c r="D2577" s="209"/>
      <c r="E2577" s="209"/>
      <c r="F2577" s="209"/>
      <c r="G2577" s="210"/>
    </row>
    <row r="2578" spans="1:7" s="25" customFormat="1" ht="13.8" x14ac:dyDescent="0.3">
      <c r="A2578" s="208"/>
      <c r="B2578" s="208"/>
      <c r="C2578" s="209"/>
      <c r="D2578" s="209"/>
      <c r="E2578" s="209"/>
      <c r="F2578" s="209"/>
      <c r="G2578" s="210"/>
    </row>
    <row r="2579" spans="1:7" s="25" customFormat="1" ht="13.8" x14ac:dyDescent="0.3">
      <c r="A2579" s="208"/>
      <c r="B2579" s="208"/>
      <c r="C2579" s="209"/>
      <c r="D2579" s="209"/>
      <c r="E2579" s="209"/>
      <c r="F2579" s="209"/>
      <c r="G2579" s="210"/>
    </row>
    <row r="2580" spans="1:7" s="25" customFormat="1" ht="13.8" x14ac:dyDescent="0.3">
      <c r="A2580" s="208"/>
      <c r="B2580" s="208"/>
      <c r="C2580" s="209"/>
      <c r="D2580" s="209"/>
      <c r="E2580" s="209"/>
      <c r="F2580" s="209"/>
      <c r="G2580" s="210"/>
    </row>
    <row r="2581" spans="1:7" s="25" customFormat="1" ht="13.8" x14ac:dyDescent="0.3">
      <c r="A2581" s="208"/>
      <c r="B2581" s="208"/>
      <c r="C2581" s="209"/>
      <c r="D2581" s="209"/>
      <c r="E2581" s="209"/>
      <c r="F2581" s="209"/>
      <c r="G2581" s="210"/>
    </row>
    <row r="2582" spans="1:7" s="25" customFormat="1" ht="13.8" x14ac:dyDescent="0.3">
      <c r="A2582" s="208"/>
      <c r="B2582" s="208"/>
      <c r="C2582" s="209"/>
      <c r="D2582" s="209"/>
      <c r="E2582" s="209"/>
      <c r="F2582" s="209"/>
      <c r="G2582" s="210"/>
    </row>
    <row r="2583" spans="1:7" s="25" customFormat="1" ht="13.8" x14ac:dyDescent="0.3">
      <c r="A2583" s="208"/>
      <c r="B2583" s="208"/>
      <c r="C2583" s="209"/>
      <c r="D2583" s="209"/>
      <c r="E2583" s="209"/>
      <c r="F2583" s="209"/>
      <c r="G2583" s="210"/>
    </row>
    <row r="2584" spans="1:7" s="25" customFormat="1" ht="13.8" x14ac:dyDescent="0.3">
      <c r="A2584" s="208"/>
      <c r="B2584" s="208"/>
      <c r="C2584" s="209"/>
      <c r="D2584" s="209"/>
      <c r="E2584" s="209"/>
      <c r="F2584" s="209"/>
      <c r="G2584" s="210"/>
    </row>
    <row r="2585" spans="1:7" s="25" customFormat="1" ht="13.8" x14ac:dyDescent="0.3">
      <c r="A2585" s="208"/>
      <c r="B2585" s="208"/>
      <c r="C2585" s="209"/>
      <c r="D2585" s="209"/>
      <c r="E2585" s="209"/>
      <c r="F2585" s="209"/>
      <c r="G2585" s="210"/>
    </row>
    <row r="2586" spans="1:7" s="25" customFormat="1" ht="13.8" x14ac:dyDescent="0.3">
      <c r="A2586" s="208"/>
      <c r="B2586" s="208"/>
      <c r="C2586" s="209"/>
      <c r="D2586" s="209"/>
      <c r="E2586" s="209"/>
      <c r="F2586" s="209"/>
      <c r="G2586" s="210"/>
    </row>
    <row r="2587" spans="1:7" s="25" customFormat="1" ht="13.8" x14ac:dyDescent="0.3">
      <c r="A2587" s="208"/>
      <c r="B2587" s="208"/>
      <c r="C2587" s="209"/>
      <c r="D2587" s="209"/>
      <c r="E2587" s="209"/>
      <c r="F2587" s="209"/>
      <c r="G2587" s="210"/>
    </row>
    <row r="2588" spans="1:7" s="25" customFormat="1" ht="13.8" x14ac:dyDescent="0.3">
      <c r="A2588" s="208"/>
      <c r="B2588" s="208"/>
      <c r="C2588" s="209"/>
      <c r="D2588" s="209"/>
      <c r="E2588" s="209"/>
      <c r="F2588" s="209"/>
      <c r="G2588" s="210"/>
    </row>
    <row r="2589" spans="1:7" s="25" customFormat="1" ht="13.8" x14ac:dyDescent="0.3">
      <c r="A2589" s="208"/>
      <c r="B2589" s="208"/>
      <c r="C2589" s="209"/>
      <c r="D2589" s="209"/>
      <c r="E2589" s="209"/>
      <c r="F2589" s="209"/>
      <c r="G2589" s="210"/>
    </row>
    <row r="2590" spans="1:7" s="25" customFormat="1" ht="13.8" x14ac:dyDescent="0.3">
      <c r="A2590" s="208"/>
      <c r="B2590" s="208"/>
      <c r="C2590" s="209"/>
      <c r="D2590" s="209"/>
      <c r="E2590" s="209"/>
      <c r="F2590" s="209"/>
      <c r="G2590" s="210"/>
    </row>
    <row r="2591" spans="1:7" s="25" customFormat="1" ht="13.8" x14ac:dyDescent="0.3">
      <c r="A2591" s="208"/>
      <c r="B2591" s="208"/>
      <c r="C2591" s="209"/>
      <c r="D2591" s="209"/>
      <c r="E2591" s="209"/>
      <c r="F2591" s="209"/>
      <c r="G2591" s="210"/>
    </row>
    <row r="2592" spans="1:7" s="25" customFormat="1" ht="13.8" x14ac:dyDescent="0.3">
      <c r="A2592" s="208"/>
      <c r="B2592" s="208"/>
      <c r="C2592" s="209"/>
      <c r="D2592" s="209"/>
      <c r="E2592" s="209"/>
      <c r="F2592" s="209"/>
      <c r="G2592" s="210"/>
    </row>
    <row r="2593" spans="1:7" s="25" customFormat="1" ht="13.8" x14ac:dyDescent="0.3">
      <c r="A2593" s="208"/>
      <c r="B2593" s="208"/>
      <c r="C2593" s="209"/>
      <c r="D2593" s="209"/>
      <c r="E2593" s="209"/>
      <c r="F2593" s="209"/>
      <c r="G2593" s="210"/>
    </row>
    <row r="2594" spans="1:7" s="25" customFormat="1" ht="13.8" x14ac:dyDescent="0.3">
      <c r="A2594" s="208"/>
      <c r="B2594" s="208"/>
      <c r="C2594" s="209"/>
      <c r="D2594" s="209"/>
      <c r="E2594" s="209"/>
      <c r="F2594" s="209"/>
      <c r="G2594" s="210"/>
    </row>
    <row r="2595" spans="1:7" s="25" customFormat="1" ht="13.8" x14ac:dyDescent="0.3">
      <c r="A2595" s="208"/>
      <c r="B2595" s="208"/>
      <c r="C2595" s="209"/>
      <c r="D2595" s="209"/>
      <c r="E2595" s="209"/>
      <c r="F2595" s="209"/>
      <c r="G2595" s="210"/>
    </row>
    <row r="2596" spans="1:7" s="25" customFormat="1" ht="13.8" x14ac:dyDescent="0.3">
      <c r="A2596" s="208"/>
      <c r="B2596" s="208"/>
      <c r="C2596" s="209"/>
      <c r="D2596" s="209"/>
      <c r="E2596" s="209"/>
      <c r="F2596" s="209"/>
      <c r="G2596" s="210"/>
    </row>
    <row r="2597" spans="1:7" s="25" customFormat="1" ht="13.8" x14ac:dyDescent="0.3">
      <c r="A2597" s="208"/>
      <c r="B2597" s="208"/>
      <c r="C2597" s="209"/>
      <c r="D2597" s="209"/>
      <c r="E2597" s="209"/>
      <c r="F2597" s="209"/>
      <c r="G2597" s="210"/>
    </row>
    <row r="2598" spans="1:7" s="25" customFormat="1" ht="13.8" x14ac:dyDescent="0.3">
      <c r="A2598" s="208"/>
      <c r="B2598" s="208"/>
      <c r="C2598" s="209"/>
      <c r="D2598" s="209"/>
      <c r="E2598" s="209"/>
      <c r="F2598" s="209"/>
      <c r="G2598" s="210"/>
    </row>
    <row r="2599" spans="1:7" s="25" customFormat="1" ht="13.8" x14ac:dyDescent="0.3">
      <c r="A2599" s="208"/>
      <c r="B2599" s="208"/>
      <c r="C2599" s="209"/>
      <c r="D2599" s="209"/>
      <c r="E2599" s="209"/>
      <c r="F2599" s="209"/>
      <c r="G2599" s="210"/>
    </row>
    <row r="2600" spans="1:7" s="25" customFormat="1" ht="13.8" x14ac:dyDescent="0.3">
      <c r="A2600" s="208"/>
      <c r="B2600" s="208"/>
      <c r="C2600" s="209"/>
      <c r="D2600" s="209"/>
      <c r="E2600" s="209"/>
      <c r="F2600" s="209"/>
      <c r="G2600" s="210"/>
    </row>
    <row r="2601" spans="1:7" s="25" customFormat="1" ht="13.8" x14ac:dyDescent="0.3">
      <c r="A2601" s="208"/>
      <c r="B2601" s="208"/>
      <c r="C2601" s="209"/>
      <c r="D2601" s="209"/>
      <c r="E2601" s="209"/>
      <c r="F2601" s="209"/>
      <c r="G2601" s="210"/>
    </row>
    <row r="2602" spans="1:7" s="25" customFormat="1" ht="13.8" x14ac:dyDescent="0.3">
      <c r="A2602" s="208"/>
      <c r="B2602" s="208"/>
      <c r="C2602" s="209"/>
      <c r="D2602" s="209"/>
      <c r="E2602" s="209"/>
      <c r="F2602" s="209"/>
      <c r="G2602" s="210"/>
    </row>
    <row r="2603" spans="1:7" s="25" customFormat="1" ht="13.8" x14ac:dyDescent="0.3">
      <c r="A2603" s="208"/>
      <c r="B2603" s="208"/>
      <c r="C2603" s="209"/>
      <c r="D2603" s="209"/>
      <c r="E2603" s="209"/>
      <c r="F2603" s="209"/>
      <c r="G2603" s="210"/>
    </row>
    <row r="2604" spans="1:7" s="25" customFormat="1" ht="13.8" x14ac:dyDescent="0.3">
      <c r="A2604" s="208"/>
      <c r="B2604" s="208"/>
      <c r="C2604" s="209"/>
      <c r="D2604" s="209"/>
      <c r="E2604" s="209"/>
      <c r="F2604" s="209"/>
      <c r="G2604" s="210"/>
    </row>
    <row r="2605" spans="1:7" s="25" customFormat="1" ht="13.8" x14ac:dyDescent="0.3">
      <c r="A2605" s="208"/>
      <c r="B2605" s="208"/>
      <c r="C2605" s="209"/>
      <c r="D2605" s="209"/>
      <c r="E2605" s="209"/>
      <c r="F2605" s="209"/>
      <c r="G2605" s="210"/>
    </row>
    <row r="2606" spans="1:7" s="25" customFormat="1" ht="13.8" x14ac:dyDescent="0.3">
      <c r="A2606" s="208"/>
      <c r="B2606" s="208"/>
      <c r="C2606" s="209"/>
      <c r="D2606" s="209"/>
      <c r="E2606" s="209"/>
      <c r="F2606" s="209"/>
      <c r="G2606" s="210"/>
    </row>
    <row r="2607" spans="1:7" s="25" customFormat="1" ht="13.8" x14ac:dyDescent="0.3">
      <c r="A2607" s="208"/>
      <c r="B2607" s="208"/>
      <c r="C2607" s="209"/>
      <c r="D2607" s="209"/>
      <c r="E2607" s="209"/>
      <c r="F2607" s="209"/>
      <c r="G2607" s="210"/>
    </row>
    <row r="2608" spans="1:7" s="25" customFormat="1" ht="13.8" x14ac:dyDescent="0.3">
      <c r="A2608" s="208"/>
      <c r="B2608" s="208"/>
      <c r="C2608" s="209"/>
      <c r="D2608" s="209"/>
      <c r="E2608" s="209"/>
      <c r="F2608" s="209"/>
      <c r="G2608" s="210"/>
    </row>
    <row r="2609" spans="1:7" s="25" customFormat="1" ht="13.8" x14ac:dyDescent="0.3">
      <c r="A2609" s="208"/>
      <c r="B2609" s="208"/>
      <c r="C2609" s="209"/>
      <c r="D2609" s="209"/>
      <c r="E2609" s="209"/>
      <c r="F2609" s="209"/>
      <c r="G2609" s="210"/>
    </row>
    <row r="2610" spans="1:7" s="25" customFormat="1" ht="13.8" x14ac:dyDescent="0.3">
      <c r="A2610" s="208"/>
      <c r="B2610" s="208"/>
      <c r="C2610" s="209"/>
      <c r="D2610" s="209"/>
      <c r="E2610" s="209"/>
      <c r="F2610" s="209"/>
      <c r="G2610" s="210"/>
    </row>
    <row r="2611" spans="1:7" s="25" customFormat="1" ht="13.8" x14ac:dyDescent="0.3">
      <c r="A2611" s="208"/>
      <c r="B2611" s="208"/>
      <c r="C2611" s="209"/>
      <c r="D2611" s="209"/>
      <c r="E2611" s="209"/>
      <c r="F2611" s="209"/>
      <c r="G2611" s="210"/>
    </row>
    <row r="2612" spans="1:7" s="25" customFormat="1" ht="13.8" x14ac:dyDescent="0.3">
      <c r="A2612" s="208"/>
      <c r="B2612" s="208"/>
      <c r="C2612" s="209"/>
      <c r="D2612" s="209"/>
      <c r="E2612" s="209"/>
      <c r="F2612" s="209"/>
      <c r="G2612" s="210"/>
    </row>
    <row r="2613" spans="1:7" s="25" customFormat="1" ht="13.8" x14ac:dyDescent="0.3">
      <c r="A2613" s="208"/>
      <c r="B2613" s="208"/>
      <c r="C2613" s="209"/>
      <c r="D2613" s="209"/>
      <c r="E2613" s="209"/>
      <c r="F2613" s="209"/>
      <c r="G2613" s="210"/>
    </row>
    <row r="2614" spans="1:7" s="25" customFormat="1" ht="13.8" x14ac:dyDescent="0.3">
      <c r="A2614" s="208"/>
      <c r="B2614" s="208"/>
      <c r="C2614" s="209"/>
      <c r="D2614" s="209"/>
      <c r="E2614" s="209"/>
      <c r="F2614" s="209"/>
      <c r="G2614" s="210"/>
    </row>
    <row r="2615" spans="1:7" s="25" customFormat="1" ht="13.8" x14ac:dyDescent="0.3">
      <c r="A2615" s="208"/>
      <c r="B2615" s="208"/>
      <c r="C2615" s="209"/>
      <c r="D2615" s="209"/>
      <c r="E2615" s="209"/>
      <c r="F2615" s="209"/>
      <c r="G2615" s="210"/>
    </row>
    <row r="2616" spans="1:7" s="25" customFormat="1" ht="13.8" x14ac:dyDescent="0.3">
      <c r="A2616" s="208"/>
      <c r="B2616" s="208"/>
      <c r="C2616" s="209"/>
      <c r="D2616" s="209"/>
      <c r="E2616" s="209"/>
      <c r="F2616" s="209"/>
      <c r="G2616" s="210"/>
    </row>
    <row r="2617" spans="1:7" s="25" customFormat="1" ht="13.8" x14ac:dyDescent="0.3">
      <c r="A2617" s="208"/>
      <c r="B2617" s="208"/>
      <c r="C2617" s="209"/>
      <c r="D2617" s="209"/>
      <c r="E2617" s="209"/>
      <c r="F2617" s="209"/>
      <c r="G2617" s="210"/>
    </row>
    <row r="2618" spans="1:7" s="25" customFormat="1" ht="13.8" x14ac:dyDescent="0.3">
      <c r="A2618" s="208"/>
      <c r="B2618" s="208"/>
      <c r="C2618" s="209"/>
      <c r="D2618" s="209"/>
      <c r="E2618" s="209"/>
      <c r="F2618" s="209"/>
      <c r="G2618" s="210"/>
    </row>
    <row r="2619" spans="1:7" s="25" customFormat="1" ht="13.8" x14ac:dyDescent="0.3">
      <c r="A2619" s="208"/>
      <c r="B2619" s="208"/>
      <c r="C2619" s="209"/>
      <c r="D2619" s="209"/>
      <c r="E2619" s="209"/>
      <c r="F2619" s="209"/>
      <c r="G2619" s="210"/>
    </row>
    <row r="2620" spans="1:7" s="25" customFormat="1" ht="13.8" x14ac:dyDescent="0.3">
      <c r="A2620" s="208"/>
      <c r="B2620" s="208"/>
      <c r="C2620" s="209"/>
      <c r="D2620" s="209"/>
      <c r="E2620" s="209"/>
      <c r="F2620" s="209"/>
      <c r="G2620" s="210"/>
    </row>
    <row r="2621" spans="1:7" s="25" customFormat="1" ht="13.8" x14ac:dyDescent="0.3">
      <c r="A2621" s="208"/>
      <c r="B2621" s="208"/>
      <c r="C2621" s="209"/>
      <c r="D2621" s="209"/>
      <c r="E2621" s="209"/>
      <c r="F2621" s="209"/>
      <c r="G2621" s="210"/>
    </row>
    <row r="2622" spans="1:7" s="25" customFormat="1" ht="13.8" x14ac:dyDescent="0.3">
      <c r="A2622" s="208"/>
      <c r="B2622" s="208"/>
      <c r="C2622" s="209"/>
      <c r="D2622" s="209"/>
      <c r="E2622" s="209"/>
      <c r="F2622" s="209"/>
      <c r="G2622" s="210"/>
    </row>
    <row r="2623" spans="1:7" s="25" customFormat="1" ht="13.8" x14ac:dyDescent="0.3">
      <c r="A2623" s="208"/>
      <c r="B2623" s="208"/>
      <c r="C2623" s="209"/>
      <c r="D2623" s="209"/>
      <c r="E2623" s="209"/>
      <c r="F2623" s="209"/>
      <c r="G2623" s="210"/>
    </row>
    <row r="2624" spans="1:7" s="25" customFormat="1" ht="13.8" x14ac:dyDescent="0.3">
      <c r="A2624" s="208"/>
      <c r="B2624" s="208"/>
      <c r="C2624" s="209"/>
      <c r="D2624" s="209"/>
      <c r="E2624" s="209"/>
      <c r="F2624" s="209"/>
      <c r="G2624" s="210"/>
    </row>
    <row r="2625" spans="1:7" s="25" customFormat="1" ht="13.8" x14ac:dyDescent="0.3">
      <c r="A2625" s="208"/>
      <c r="B2625" s="208"/>
      <c r="C2625" s="209"/>
      <c r="D2625" s="209"/>
      <c r="E2625" s="209"/>
      <c r="F2625" s="209"/>
      <c r="G2625" s="210"/>
    </row>
    <row r="2626" spans="1:7" s="25" customFormat="1" ht="13.8" x14ac:dyDescent="0.3">
      <c r="A2626" s="208"/>
      <c r="B2626" s="208"/>
      <c r="C2626" s="209"/>
      <c r="D2626" s="209"/>
      <c r="E2626" s="209"/>
      <c r="F2626" s="209"/>
      <c r="G2626" s="210"/>
    </row>
    <row r="2627" spans="1:7" s="25" customFormat="1" ht="13.8" x14ac:dyDescent="0.3">
      <c r="A2627" s="208"/>
      <c r="B2627" s="208"/>
      <c r="C2627" s="209"/>
      <c r="D2627" s="209"/>
      <c r="E2627" s="209"/>
      <c r="F2627" s="209"/>
      <c r="G2627" s="210"/>
    </row>
    <row r="2628" spans="1:7" s="25" customFormat="1" ht="13.8" x14ac:dyDescent="0.3">
      <c r="A2628" s="208"/>
      <c r="B2628" s="208"/>
      <c r="C2628" s="209"/>
      <c r="D2628" s="209"/>
      <c r="E2628" s="209"/>
      <c r="F2628" s="209"/>
      <c r="G2628" s="210"/>
    </row>
    <row r="2629" spans="1:7" s="25" customFormat="1" ht="13.8" x14ac:dyDescent="0.3">
      <c r="A2629" s="208"/>
      <c r="B2629" s="208"/>
      <c r="C2629" s="209"/>
      <c r="D2629" s="209"/>
      <c r="E2629" s="209"/>
      <c r="F2629" s="209"/>
      <c r="G2629" s="210"/>
    </row>
    <row r="2630" spans="1:7" s="25" customFormat="1" ht="13.8" x14ac:dyDescent="0.3">
      <c r="A2630" s="208"/>
      <c r="B2630" s="208"/>
      <c r="C2630" s="209"/>
      <c r="D2630" s="209"/>
      <c r="E2630" s="209"/>
      <c r="F2630" s="209"/>
      <c r="G2630" s="210"/>
    </row>
    <row r="2631" spans="1:7" s="25" customFormat="1" ht="13.8" x14ac:dyDescent="0.3">
      <c r="A2631" s="208"/>
      <c r="B2631" s="208"/>
      <c r="C2631" s="209"/>
      <c r="D2631" s="209"/>
      <c r="E2631" s="209"/>
      <c r="F2631" s="209"/>
      <c r="G2631" s="210"/>
    </row>
    <row r="2632" spans="1:7" s="25" customFormat="1" ht="13.8" x14ac:dyDescent="0.3">
      <c r="A2632" s="208"/>
      <c r="B2632" s="208"/>
      <c r="C2632" s="209"/>
      <c r="D2632" s="209"/>
      <c r="E2632" s="209"/>
      <c r="F2632" s="209"/>
      <c r="G2632" s="210"/>
    </row>
    <row r="2633" spans="1:7" s="25" customFormat="1" ht="13.8" x14ac:dyDescent="0.3">
      <c r="A2633" s="208"/>
      <c r="B2633" s="208"/>
      <c r="C2633" s="209"/>
      <c r="D2633" s="209"/>
      <c r="E2633" s="209"/>
      <c r="F2633" s="209"/>
      <c r="G2633" s="210"/>
    </row>
    <row r="2634" spans="1:7" s="25" customFormat="1" ht="13.8" x14ac:dyDescent="0.3">
      <c r="A2634" s="208"/>
      <c r="B2634" s="208"/>
      <c r="C2634" s="209"/>
      <c r="D2634" s="209"/>
      <c r="E2634" s="209"/>
      <c r="F2634" s="209"/>
      <c r="G2634" s="210"/>
    </row>
    <row r="2635" spans="1:7" s="25" customFormat="1" ht="13.8" x14ac:dyDescent="0.3">
      <c r="A2635" s="208"/>
      <c r="B2635" s="208"/>
      <c r="C2635" s="209"/>
      <c r="D2635" s="209"/>
      <c r="E2635" s="209"/>
      <c r="F2635" s="209"/>
      <c r="G2635" s="210"/>
    </row>
    <row r="2636" spans="1:7" s="25" customFormat="1" ht="13.8" x14ac:dyDescent="0.3">
      <c r="A2636" s="208"/>
      <c r="B2636" s="208"/>
      <c r="C2636" s="209"/>
      <c r="D2636" s="209"/>
      <c r="E2636" s="209"/>
      <c r="F2636" s="209"/>
      <c r="G2636" s="210"/>
    </row>
    <row r="2637" spans="1:7" s="25" customFormat="1" ht="13.8" x14ac:dyDescent="0.3">
      <c r="A2637" s="208"/>
      <c r="B2637" s="208"/>
      <c r="C2637" s="209"/>
      <c r="D2637" s="209"/>
      <c r="E2637" s="209"/>
      <c r="F2637" s="209"/>
      <c r="G2637" s="210"/>
    </row>
    <row r="2638" spans="1:7" s="25" customFormat="1" ht="13.8" x14ac:dyDescent="0.3">
      <c r="A2638" s="208"/>
      <c r="B2638" s="208"/>
      <c r="C2638" s="209"/>
      <c r="D2638" s="209"/>
      <c r="E2638" s="209"/>
      <c r="F2638" s="209"/>
      <c r="G2638" s="210"/>
    </row>
    <row r="2639" spans="1:7" s="25" customFormat="1" ht="13.8" x14ac:dyDescent="0.3">
      <c r="A2639" s="208"/>
      <c r="B2639" s="208"/>
      <c r="C2639" s="209"/>
      <c r="D2639" s="209"/>
      <c r="E2639" s="209"/>
      <c r="F2639" s="209"/>
      <c r="G2639" s="210"/>
    </row>
    <row r="2640" spans="1:7" s="25" customFormat="1" ht="13.8" x14ac:dyDescent="0.3">
      <c r="A2640" s="208"/>
      <c r="B2640" s="208"/>
      <c r="C2640" s="209"/>
      <c r="D2640" s="209"/>
      <c r="E2640" s="209"/>
      <c r="F2640" s="209"/>
      <c r="G2640" s="210"/>
    </row>
    <row r="2641" spans="1:7" s="25" customFormat="1" ht="13.8" x14ac:dyDescent="0.3">
      <c r="A2641" s="208"/>
      <c r="B2641" s="208"/>
      <c r="C2641" s="209"/>
      <c r="D2641" s="209"/>
      <c r="E2641" s="209"/>
      <c r="F2641" s="209"/>
      <c r="G2641" s="210"/>
    </row>
    <row r="2642" spans="1:7" s="25" customFormat="1" ht="13.8" x14ac:dyDescent="0.3">
      <c r="A2642" s="208"/>
      <c r="B2642" s="208"/>
      <c r="C2642" s="209"/>
      <c r="D2642" s="209"/>
      <c r="E2642" s="209"/>
      <c r="F2642" s="209"/>
      <c r="G2642" s="210"/>
    </row>
    <row r="2643" spans="1:7" s="25" customFormat="1" ht="13.8" x14ac:dyDescent="0.3">
      <c r="A2643" s="208"/>
      <c r="B2643" s="208"/>
      <c r="C2643" s="209"/>
      <c r="D2643" s="209"/>
      <c r="E2643" s="209"/>
      <c r="F2643" s="209"/>
      <c r="G2643" s="210"/>
    </row>
    <row r="2644" spans="1:7" s="25" customFormat="1" ht="13.8" x14ac:dyDescent="0.3">
      <c r="A2644" s="208"/>
      <c r="B2644" s="208"/>
      <c r="C2644" s="209"/>
      <c r="D2644" s="209"/>
      <c r="E2644" s="209"/>
      <c r="F2644" s="209"/>
      <c r="G2644" s="210"/>
    </row>
    <row r="2645" spans="1:7" s="25" customFormat="1" ht="13.8" x14ac:dyDescent="0.3">
      <c r="A2645" s="208"/>
      <c r="B2645" s="208"/>
      <c r="C2645" s="209"/>
      <c r="D2645" s="209"/>
      <c r="E2645" s="209"/>
      <c r="F2645" s="209"/>
      <c r="G2645" s="210"/>
    </row>
    <row r="2646" spans="1:7" s="25" customFormat="1" ht="13.8" x14ac:dyDescent="0.3">
      <c r="A2646" s="208"/>
      <c r="B2646" s="208"/>
      <c r="C2646" s="209"/>
      <c r="D2646" s="209"/>
      <c r="E2646" s="209"/>
      <c r="F2646" s="209"/>
      <c r="G2646" s="210"/>
    </row>
    <row r="2647" spans="1:7" s="25" customFormat="1" ht="13.8" x14ac:dyDescent="0.3">
      <c r="A2647" s="208"/>
      <c r="B2647" s="208"/>
      <c r="C2647" s="209"/>
      <c r="D2647" s="209"/>
      <c r="E2647" s="209"/>
      <c r="F2647" s="209"/>
      <c r="G2647" s="210"/>
    </row>
    <row r="2648" spans="1:7" s="25" customFormat="1" ht="13.8" x14ac:dyDescent="0.3">
      <c r="A2648" s="208"/>
      <c r="B2648" s="208"/>
      <c r="C2648" s="209"/>
      <c r="D2648" s="209"/>
      <c r="E2648" s="209"/>
      <c r="F2648" s="209"/>
      <c r="G2648" s="210"/>
    </row>
    <row r="2649" spans="1:7" s="25" customFormat="1" ht="13.8" x14ac:dyDescent="0.3">
      <c r="A2649" s="208"/>
      <c r="B2649" s="208"/>
      <c r="C2649" s="209"/>
      <c r="D2649" s="209"/>
      <c r="E2649" s="209"/>
      <c r="F2649" s="209"/>
      <c r="G2649" s="210"/>
    </row>
    <row r="2650" spans="1:7" s="25" customFormat="1" ht="13.8" x14ac:dyDescent="0.3">
      <c r="A2650" s="208"/>
      <c r="B2650" s="208"/>
      <c r="C2650" s="209"/>
      <c r="D2650" s="209"/>
      <c r="E2650" s="209"/>
      <c r="F2650" s="209"/>
      <c r="G2650" s="210"/>
    </row>
    <row r="2651" spans="1:7" s="25" customFormat="1" ht="13.8" x14ac:dyDescent="0.3">
      <c r="A2651" s="208"/>
      <c r="B2651" s="208"/>
      <c r="C2651" s="209"/>
      <c r="D2651" s="209"/>
      <c r="E2651" s="209"/>
      <c r="F2651" s="209"/>
      <c r="G2651" s="210"/>
    </row>
    <row r="2652" spans="1:7" s="25" customFormat="1" ht="13.8" x14ac:dyDescent="0.3">
      <c r="A2652" s="208"/>
      <c r="B2652" s="208"/>
      <c r="C2652" s="209"/>
      <c r="D2652" s="209"/>
      <c r="E2652" s="209"/>
      <c r="F2652" s="209"/>
      <c r="G2652" s="210"/>
    </row>
    <row r="2653" spans="1:7" s="25" customFormat="1" ht="13.8" x14ac:dyDescent="0.3">
      <c r="A2653" s="208"/>
      <c r="B2653" s="208"/>
      <c r="C2653" s="209"/>
      <c r="D2653" s="209"/>
      <c r="E2653" s="209"/>
      <c r="F2653" s="209"/>
      <c r="G2653" s="210"/>
    </row>
    <row r="2654" spans="1:7" s="25" customFormat="1" ht="13.8" x14ac:dyDescent="0.3">
      <c r="A2654" s="208"/>
      <c r="B2654" s="208"/>
      <c r="C2654" s="209"/>
      <c r="D2654" s="209"/>
      <c r="E2654" s="209"/>
      <c r="F2654" s="209"/>
      <c r="G2654" s="210"/>
    </row>
    <row r="2655" spans="1:7" s="25" customFormat="1" ht="13.8" x14ac:dyDescent="0.3">
      <c r="A2655" s="208"/>
      <c r="B2655" s="208"/>
      <c r="C2655" s="209"/>
      <c r="D2655" s="209"/>
      <c r="E2655" s="209"/>
      <c r="F2655" s="209"/>
      <c r="G2655" s="210"/>
    </row>
    <row r="2656" spans="1:7" s="25" customFormat="1" ht="13.8" x14ac:dyDescent="0.3">
      <c r="A2656" s="208"/>
      <c r="B2656" s="208"/>
      <c r="C2656" s="209"/>
      <c r="D2656" s="209"/>
      <c r="E2656" s="209"/>
      <c r="F2656" s="209"/>
      <c r="G2656" s="210"/>
    </row>
    <row r="2657" spans="1:7" s="25" customFormat="1" ht="13.8" x14ac:dyDescent="0.3">
      <c r="A2657" s="208"/>
      <c r="B2657" s="208"/>
      <c r="C2657" s="209"/>
      <c r="D2657" s="209"/>
      <c r="E2657" s="209"/>
      <c r="F2657" s="209"/>
      <c r="G2657" s="210"/>
    </row>
    <row r="2658" spans="1:7" s="25" customFormat="1" ht="13.8" x14ac:dyDescent="0.3">
      <c r="A2658" s="208"/>
      <c r="B2658" s="208"/>
      <c r="C2658" s="209"/>
      <c r="D2658" s="209"/>
      <c r="E2658" s="209"/>
      <c r="F2658" s="209"/>
      <c r="G2658" s="210"/>
    </row>
    <row r="2659" spans="1:7" s="25" customFormat="1" ht="13.8" x14ac:dyDescent="0.3">
      <c r="A2659" s="208"/>
      <c r="B2659" s="208"/>
      <c r="C2659" s="209"/>
      <c r="D2659" s="209"/>
      <c r="E2659" s="209"/>
      <c r="F2659" s="209"/>
      <c r="G2659" s="210"/>
    </row>
    <row r="2660" spans="1:7" s="25" customFormat="1" ht="13.8" x14ac:dyDescent="0.3">
      <c r="A2660" s="208"/>
      <c r="B2660" s="208"/>
      <c r="C2660" s="209"/>
      <c r="D2660" s="209"/>
      <c r="E2660" s="209"/>
      <c r="F2660" s="209"/>
      <c r="G2660" s="210"/>
    </row>
    <row r="2661" spans="1:7" s="25" customFormat="1" ht="13.8" x14ac:dyDescent="0.3">
      <c r="A2661" s="208"/>
      <c r="B2661" s="208"/>
      <c r="C2661" s="209"/>
      <c r="D2661" s="209"/>
      <c r="E2661" s="209"/>
      <c r="F2661" s="209"/>
      <c r="G2661" s="210"/>
    </row>
    <row r="2662" spans="1:7" s="25" customFormat="1" ht="13.8" x14ac:dyDescent="0.3">
      <c r="A2662" s="208"/>
      <c r="B2662" s="208"/>
      <c r="C2662" s="209"/>
      <c r="D2662" s="209"/>
      <c r="E2662" s="209"/>
      <c r="F2662" s="209"/>
      <c r="G2662" s="210"/>
    </row>
    <row r="2663" spans="1:7" s="25" customFormat="1" ht="13.8" x14ac:dyDescent="0.3">
      <c r="A2663" s="208"/>
      <c r="B2663" s="208"/>
      <c r="C2663" s="209"/>
      <c r="D2663" s="209"/>
      <c r="E2663" s="209"/>
      <c r="F2663" s="209"/>
      <c r="G2663" s="210"/>
    </row>
    <row r="2664" spans="1:7" s="25" customFormat="1" ht="13.8" x14ac:dyDescent="0.3">
      <c r="A2664" s="208"/>
      <c r="B2664" s="208"/>
      <c r="C2664" s="209"/>
      <c r="D2664" s="209"/>
      <c r="E2664" s="209"/>
      <c r="F2664" s="209"/>
      <c r="G2664" s="210"/>
    </row>
    <row r="2665" spans="1:7" s="25" customFormat="1" ht="13.8" x14ac:dyDescent="0.3">
      <c r="A2665" s="208"/>
      <c r="B2665" s="208"/>
      <c r="C2665" s="209"/>
      <c r="D2665" s="209"/>
      <c r="E2665" s="209"/>
      <c r="F2665" s="209"/>
      <c r="G2665" s="210"/>
    </row>
    <row r="2666" spans="1:7" s="25" customFormat="1" ht="13.8" x14ac:dyDescent="0.3">
      <c r="A2666" s="208"/>
      <c r="B2666" s="208"/>
      <c r="C2666" s="209"/>
      <c r="D2666" s="209"/>
      <c r="E2666" s="209"/>
      <c r="F2666" s="209"/>
      <c r="G2666" s="210"/>
    </row>
    <row r="2667" spans="1:7" s="25" customFormat="1" ht="13.8" x14ac:dyDescent="0.3">
      <c r="A2667" s="208"/>
      <c r="B2667" s="208"/>
      <c r="C2667" s="209"/>
      <c r="D2667" s="209"/>
      <c r="E2667" s="209"/>
      <c r="F2667" s="209"/>
      <c r="G2667" s="210"/>
    </row>
    <row r="2668" spans="1:7" s="25" customFormat="1" ht="13.8" x14ac:dyDescent="0.3">
      <c r="A2668" s="208"/>
      <c r="B2668" s="208"/>
      <c r="C2668" s="209"/>
      <c r="D2668" s="209"/>
      <c r="E2668" s="209"/>
      <c r="F2668" s="209"/>
      <c r="G2668" s="210"/>
    </row>
    <row r="2669" spans="1:7" s="25" customFormat="1" ht="13.8" x14ac:dyDescent="0.3">
      <c r="A2669" s="208"/>
      <c r="B2669" s="208"/>
      <c r="C2669" s="209"/>
      <c r="D2669" s="209"/>
      <c r="E2669" s="209"/>
      <c r="F2669" s="209"/>
      <c r="G2669" s="210"/>
    </row>
    <row r="2670" spans="1:7" s="25" customFormat="1" ht="13.8" x14ac:dyDescent="0.3">
      <c r="A2670" s="208"/>
      <c r="B2670" s="208"/>
      <c r="C2670" s="209"/>
      <c r="D2670" s="209"/>
      <c r="E2670" s="209"/>
      <c r="F2670" s="209"/>
      <c r="G2670" s="210"/>
    </row>
    <row r="2671" spans="1:7" s="25" customFormat="1" ht="13.8" x14ac:dyDescent="0.3">
      <c r="A2671" s="208"/>
      <c r="B2671" s="208"/>
      <c r="C2671" s="209"/>
      <c r="D2671" s="209"/>
      <c r="E2671" s="209"/>
      <c r="F2671" s="209"/>
      <c r="G2671" s="210"/>
    </row>
    <row r="2672" spans="1:7" s="25" customFormat="1" ht="13.8" x14ac:dyDescent="0.3">
      <c r="A2672" s="208"/>
      <c r="B2672" s="208"/>
      <c r="C2672" s="209"/>
      <c r="D2672" s="209"/>
      <c r="E2672" s="209"/>
      <c r="F2672" s="209"/>
      <c r="G2672" s="210"/>
    </row>
    <row r="2673" spans="1:7" s="25" customFormat="1" ht="13.8" x14ac:dyDescent="0.3">
      <c r="A2673" s="208"/>
      <c r="B2673" s="208"/>
      <c r="C2673" s="209"/>
      <c r="D2673" s="209"/>
      <c r="E2673" s="209"/>
      <c r="F2673" s="209"/>
      <c r="G2673" s="210"/>
    </row>
    <row r="2674" spans="1:7" s="25" customFormat="1" ht="13.8" x14ac:dyDescent="0.3">
      <c r="A2674" s="208"/>
      <c r="B2674" s="208"/>
      <c r="C2674" s="209"/>
      <c r="D2674" s="209"/>
      <c r="E2674" s="209"/>
      <c r="F2674" s="209"/>
      <c r="G2674" s="210"/>
    </row>
    <row r="2675" spans="1:7" s="25" customFormat="1" ht="13.8" x14ac:dyDescent="0.3">
      <c r="A2675" s="208"/>
      <c r="B2675" s="208"/>
      <c r="C2675" s="209"/>
      <c r="D2675" s="209"/>
      <c r="E2675" s="209"/>
      <c r="F2675" s="209"/>
      <c r="G2675" s="210"/>
    </row>
    <row r="2676" spans="1:7" s="25" customFormat="1" ht="13.8" x14ac:dyDescent="0.3">
      <c r="A2676" s="208"/>
      <c r="B2676" s="208"/>
      <c r="C2676" s="209"/>
      <c r="D2676" s="209"/>
      <c r="E2676" s="209"/>
      <c r="F2676" s="209"/>
      <c r="G2676" s="210"/>
    </row>
    <row r="2677" spans="1:7" s="25" customFormat="1" ht="13.8" x14ac:dyDescent="0.3">
      <c r="A2677" s="208"/>
      <c r="B2677" s="208"/>
      <c r="C2677" s="209"/>
      <c r="D2677" s="209"/>
      <c r="E2677" s="209"/>
      <c r="F2677" s="209"/>
      <c r="G2677" s="210"/>
    </row>
    <row r="2678" spans="1:7" s="25" customFormat="1" ht="13.8" x14ac:dyDescent="0.3">
      <c r="A2678" s="208"/>
      <c r="B2678" s="208"/>
      <c r="C2678" s="209"/>
      <c r="D2678" s="209"/>
      <c r="E2678" s="209"/>
      <c r="F2678" s="209"/>
      <c r="G2678" s="210"/>
    </row>
    <row r="2679" spans="1:7" s="25" customFormat="1" ht="13.8" x14ac:dyDescent="0.3">
      <c r="A2679" s="208"/>
      <c r="B2679" s="208"/>
      <c r="C2679" s="209"/>
      <c r="D2679" s="209"/>
      <c r="E2679" s="209"/>
      <c r="F2679" s="209"/>
      <c r="G2679" s="210"/>
    </row>
    <row r="2680" spans="1:7" s="25" customFormat="1" ht="13.8" x14ac:dyDescent="0.3">
      <c r="A2680" s="208"/>
      <c r="B2680" s="208"/>
      <c r="C2680" s="209"/>
      <c r="D2680" s="209"/>
      <c r="E2680" s="209"/>
      <c r="F2680" s="209"/>
      <c r="G2680" s="210"/>
    </row>
    <row r="2681" spans="1:7" s="25" customFormat="1" ht="13.8" x14ac:dyDescent="0.3">
      <c r="A2681" s="208"/>
      <c r="B2681" s="208"/>
      <c r="C2681" s="209"/>
      <c r="D2681" s="209"/>
      <c r="E2681" s="209"/>
      <c r="F2681" s="209"/>
      <c r="G2681" s="210"/>
    </row>
    <row r="2682" spans="1:7" s="25" customFormat="1" ht="13.8" x14ac:dyDescent="0.3">
      <c r="A2682" s="208"/>
      <c r="B2682" s="208"/>
      <c r="C2682" s="209"/>
      <c r="D2682" s="209"/>
      <c r="E2682" s="209"/>
      <c r="F2682" s="209"/>
      <c r="G2682" s="210"/>
    </row>
    <row r="2683" spans="1:7" s="25" customFormat="1" ht="13.8" x14ac:dyDescent="0.3">
      <c r="A2683" s="208"/>
      <c r="B2683" s="208"/>
      <c r="C2683" s="209"/>
      <c r="D2683" s="209"/>
      <c r="E2683" s="209"/>
      <c r="F2683" s="209"/>
      <c r="G2683" s="210"/>
    </row>
    <row r="2684" spans="1:7" s="25" customFormat="1" ht="13.8" x14ac:dyDescent="0.3">
      <c r="A2684" s="208"/>
      <c r="B2684" s="208"/>
      <c r="C2684" s="209"/>
      <c r="D2684" s="209"/>
      <c r="E2684" s="209"/>
      <c r="F2684" s="209"/>
      <c r="G2684" s="210"/>
    </row>
    <row r="2685" spans="1:7" s="25" customFormat="1" ht="13.8" x14ac:dyDescent="0.3">
      <c r="A2685" s="208"/>
      <c r="B2685" s="208"/>
      <c r="C2685" s="209"/>
      <c r="D2685" s="209"/>
      <c r="E2685" s="209"/>
      <c r="F2685" s="209"/>
      <c r="G2685" s="210"/>
    </row>
    <row r="2686" spans="1:7" s="25" customFormat="1" ht="13.8" x14ac:dyDescent="0.3">
      <c r="A2686" s="208"/>
      <c r="B2686" s="208"/>
      <c r="C2686" s="209"/>
      <c r="D2686" s="209"/>
      <c r="E2686" s="209"/>
      <c r="F2686" s="209"/>
      <c r="G2686" s="210"/>
    </row>
    <row r="2687" spans="1:7" s="25" customFormat="1" ht="13.8" x14ac:dyDescent="0.3">
      <c r="A2687" s="208"/>
      <c r="B2687" s="208"/>
      <c r="C2687" s="209"/>
      <c r="D2687" s="209"/>
      <c r="E2687" s="209"/>
      <c r="F2687" s="209"/>
      <c r="G2687" s="210"/>
    </row>
    <row r="2688" spans="1:7" s="25" customFormat="1" ht="13.8" x14ac:dyDescent="0.3">
      <c r="A2688" s="208"/>
      <c r="B2688" s="208"/>
      <c r="C2688" s="209"/>
      <c r="D2688" s="209"/>
      <c r="E2688" s="209"/>
      <c r="F2688" s="209"/>
      <c r="G2688" s="210"/>
    </row>
    <row r="2689" spans="1:7" s="25" customFormat="1" ht="13.8" x14ac:dyDescent="0.3">
      <c r="A2689" s="208"/>
      <c r="B2689" s="208"/>
      <c r="C2689" s="209"/>
      <c r="D2689" s="209"/>
      <c r="E2689" s="209"/>
      <c r="F2689" s="209"/>
      <c r="G2689" s="210"/>
    </row>
    <row r="2690" spans="1:7" s="25" customFormat="1" ht="13.8" x14ac:dyDescent="0.3">
      <c r="A2690" s="208"/>
      <c r="B2690" s="208"/>
      <c r="C2690" s="209"/>
      <c r="D2690" s="209"/>
      <c r="E2690" s="209"/>
      <c r="F2690" s="209"/>
      <c r="G2690" s="210"/>
    </row>
    <row r="2691" spans="1:7" s="25" customFormat="1" ht="13.8" x14ac:dyDescent="0.3">
      <c r="A2691" s="208"/>
      <c r="B2691" s="208"/>
      <c r="C2691" s="209"/>
      <c r="D2691" s="209"/>
      <c r="E2691" s="209"/>
      <c r="F2691" s="209"/>
      <c r="G2691" s="210"/>
    </row>
    <row r="2692" spans="1:7" s="25" customFormat="1" ht="13.8" x14ac:dyDescent="0.3">
      <c r="A2692" s="208"/>
      <c r="B2692" s="208"/>
      <c r="C2692" s="209"/>
      <c r="D2692" s="209"/>
      <c r="E2692" s="209"/>
      <c r="F2692" s="209"/>
      <c r="G2692" s="210"/>
    </row>
    <row r="2693" spans="1:7" s="25" customFormat="1" ht="13.8" x14ac:dyDescent="0.3">
      <c r="A2693" s="208"/>
      <c r="B2693" s="208"/>
      <c r="C2693" s="209"/>
      <c r="D2693" s="209"/>
      <c r="E2693" s="209"/>
      <c r="F2693" s="209"/>
      <c r="G2693" s="210"/>
    </row>
    <row r="2694" spans="1:7" s="25" customFormat="1" ht="13.8" x14ac:dyDescent="0.3">
      <c r="A2694" s="208"/>
      <c r="B2694" s="208"/>
      <c r="C2694" s="209"/>
      <c r="D2694" s="209"/>
      <c r="E2694" s="209"/>
      <c r="F2694" s="209"/>
      <c r="G2694" s="210"/>
    </row>
    <row r="2695" spans="1:7" s="25" customFormat="1" ht="13.8" x14ac:dyDescent="0.3">
      <c r="A2695" s="208"/>
      <c r="B2695" s="208"/>
      <c r="C2695" s="209"/>
      <c r="D2695" s="209"/>
      <c r="E2695" s="209"/>
      <c r="F2695" s="209"/>
      <c r="G2695" s="210"/>
    </row>
    <row r="2696" spans="1:7" s="25" customFormat="1" ht="13.8" x14ac:dyDescent="0.3">
      <c r="A2696" s="208"/>
      <c r="B2696" s="208"/>
      <c r="C2696" s="209"/>
      <c r="D2696" s="209"/>
      <c r="E2696" s="209"/>
      <c r="F2696" s="209"/>
      <c r="G2696" s="210"/>
    </row>
    <row r="2697" spans="1:7" s="25" customFormat="1" ht="13.8" x14ac:dyDescent="0.3">
      <c r="A2697" s="208"/>
      <c r="B2697" s="208"/>
      <c r="C2697" s="209"/>
      <c r="D2697" s="209"/>
      <c r="E2697" s="209"/>
      <c r="F2697" s="209"/>
      <c r="G2697" s="210"/>
    </row>
    <row r="2698" spans="1:7" s="25" customFormat="1" ht="13.8" x14ac:dyDescent="0.3">
      <c r="A2698" s="208"/>
      <c r="B2698" s="208"/>
      <c r="C2698" s="209"/>
      <c r="D2698" s="209"/>
      <c r="E2698" s="209"/>
      <c r="F2698" s="209"/>
      <c r="G2698" s="210"/>
    </row>
    <row r="2699" spans="1:7" s="25" customFormat="1" ht="13.8" x14ac:dyDescent="0.3">
      <c r="A2699" s="208"/>
      <c r="B2699" s="208"/>
      <c r="C2699" s="209"/>
      <c r="D2699" s="209"/>
      <c r="E2699" s="209"/>
      <c r="F2699" s="209"/>
      <c r="G2699" s="210"/>
    </row>
    <row r="2700" spans="1:7" s="25" customFormat="1" ht="13.8" x14ac:dyDescent="0.3">
      <c r="A2700" s="208"/>
      <c r="B2700" s="208"/>
      <c r="C2700" s="209"/>
      <c r="D2700" s="209"/>
      <c r="E2700" s="209"/>
      <c r="F2700" s="209"/>
      <c r="G2700" s="210"/>
    </row>
    <row r="2701" spans="1:7" s="25" customFormat="1" ht="13.8" x14ac:dyDescent="0.3">
      <c r="A2701" s="208"/>
      <c r="B2701" s="208"/>
      <c r="C2701" s="209"/>
      <c r="D2701" s="209"/>
      <c r="E2701" s="209"/>
      <c r="F2701" s="209"/>
      <c r="G2701" s="210"/>
    </row>
    <row r="2702" spans="1:7" s="25" customFormat="1" ht="13.8" x14ac:dyDescent="0.3">
      <c r="A2702" s="208"/>
      <c r="B2702" s="208"/>
      <c r="C2702" s="209"/>
      <c r="D2702" s="209"/>
      <c r="E2702" s="209"/>
      <c r="F2702" s="209"/>
      <c r="G2702" s="210"/>
    </row>
    <row r="2703" spans="1:7" s="25" customFormat="1" ht="13.8" x14ac:dyDescent="0.3">
      <c r="A2703" s="208"/>
      <c r="B2703" s="208"/>
      <c r="C2703" s="209"/>
      <c r="D2703" s="209"/>
      <c r="E2703" s="209"/>
      <c r="F2703" s="209"/>
      <c r="G2703" s="210"/>
    </row>
    <row r="2704" spans="1:7" s="25" customFormat="1" ht="13.8" x14ac:dyDescent="0.3">
      <c r="A2704" s="208"/>
      <c r="B2704" s="208"/>
      <c r="C2704" s="209"/>
      <c r="D2704" s="209"/>
      <c r="E2704" s="209"/>
      <c r="F2704" s="209"/>
      <c r="G2704" s="210"/>
    </row>
    <row r="2705" spans="1:7" s="25" customFormat="1" ht="13.8" x14ac:dyDescent="0.3">
      <c r="A2705" s="208"/>
      <c r="B2705" s="208"/>
      <c r="C2705" s="209"/>
      <c r="D2705" s="209"/>
      <c r="E2705" s="209"/>
      <c r="F2705" s="209"/>
      <c r="G2705" s="210"/>
    </row>
    <row r="2706" spans="1:7" s="25" customFormat="1" ht="13.8" x14ac:dyDescent="0.3">
      <c r="A2706" s="208"/>
      <c r="B2706" s="208"/>
      <c r="C2706" s="209"/>
      <c r="D2706" s="209"/>
      <c r="E2706" s="209"/>
      <c r="F2706" s="209"/>
      <c r="G2706" s="210"/>
    </row>
    <row r="2707" spans="1:7" s="25" customFormat="1" ht="13.8" x14ac:dyDescent="0.3">
      <c r="A2707" s="208"/>
      <c r="B2707" s="208"/>
      <c r="C2707" s="209"/>
      <c r="D2707" s="209"/>
      <c r="E2707" s="209"/>
      <c r="F2707" s="209"/>
      <c r="G2707" s="210"/>
    </row>
    <row r="2708" spans="1:7" s="25" customFormat="1" ht="13.8" x14ac:dyDescent="0.3">
      <c r="A2708" s="208"/>
      <c r="B2708" s="208"/>
      <c r="C2708" s="209"/>
      <c r="D2708" s="209"/>
      <c r="E2708" s="209"/>
      <c r="F2708" s="209"/>
      <c r="G2708" s="210"/>
    </row>
    <row r="2709" spans="1:7" s="25" customFormat="1" ht="13.8" x14ac:dyDescent="0.3">
      <c r="A2709" s="208"/>
      <c r="B2709" s="208"/>
      <c r="C2709" s="209"/>
      <c r="D2709" s="209"/>
      <c r="E2709" s="209"/>
      <c r="F2709" s="209"/>
      <c r="G2709" s="210"/>
    </row>
    <row r="2710" spans="1:7" s="25" customFormat="1" ht="13.8" x14ac:dyDescent="0.3">
      <c r="A2710" s="208"/>
      <c r="B2710" s="208"/>
      <c r="C2710" s="209"/>
      <c r="D2710" s="209"/>
      <c r="E2710" s="209"/>
      <c r="F2710" s="209"/>
      <c r="G2710" s="210"/>
    </row>
    <row r="2711" spans="1:7" s="25" customFormat="1" ht="13.8" x14ac:dyDescent="0.3">
      <c r="A2711" s="208"/>
      <c r="B2711" s="208"/>
      <c r="C2711" s="209"/>
      <c r="D2711" s="209"/>
      <c r="E2711" s="209"/>
      <c r="F2711" s="209"/>
      <c r="G2711" s="210"/>
    </row>
    <row r="2712" spans="1:7" s="25" customFormat="1" ht="13.8" x14ac:dyDescent="0.3">
      <c r="A2712" s="208"/>
      <c r="B2712" s="208"/>
      <c r="C2712" s="209"/>
      <c r="D2712" s="209"/>
      <c r="E2712" s="209"/>
      <c r="F2712" s="209"/>
      <c r="G2712" s="210"/>
    </row>
    <row r="2713" spans="1:7" s="25" customFormat="1" ht="13.8" x14ac:dyDescent="0.3">
      <c r="A2713" s="208"/>
      <c r="B2713" s="208"/>
      <c r="C2713" s="209"/>
      <c r="D2713" s="209"/>
      <c r="E2713" s="209"/>
      <c r="F2713" s="209"/>
      <c r="G2713" s="210"/>
    </row>
    <row r="2714" spans="1:7" s="25" customFormat="1" ht="13.8" x14ac:dyDescent="0.3">
      <c r="A2714" s="208"/>
      <c r="B2714" s="208"/>
      <c r="C2714" s="209"/>
      <c r="D2714" s="209"/>
      <c r="E2714" s="209"/>
      <c r="F2714" s="209"/>
      <c r="G2714" s="210"/>
    </row>
    <row r="2715" spans="1:7" s="25" customFormat="1" ht="13.8" x14ac:dyDescent="0.3">
      <c r="A2715" s="208"/>
      <c r="B2715" s="208"/>
      <c r="C2715" s="209"/>
      <c r="D2715" s="209"/>
      <c r="E2715" s="209"/>
      <c r="F2715" s="209"/>
      <c r="G2715" s="210"/>
    </row>
    <row r="2716" spans="1:7" s="25" customFormat="1" ht="13.8" x14ac:dyDescent="0.3">
      <c r="A2716" s="208"/>
      <c r="B2716" s="208"/>
      <c r="C2716" s="209"/>
      <c r="D2716" s="209"/>
      <c r="E2716" s="209"/>
      <c r="F2716" s="209"/>
      <c r="G2716" s="210"/>
    </row>
    <row r="2717" spans="1:7" s="25" customFormat="1" ht="13.8" x14ac:dyDescent="0.3">
      <c r="A2717" s="208"/>
      <c r="B2717" s="208"/>
      <c r="C2717" s="209"/>
      <c r="D2717" s="209"/>
      <c r="E2717" s="209"/>
      <c r="F2717" s="209"/>
      <c r="G2717" s="210"/>
    </row>
    <row r="2718" spans="1:7" s="25" customFormat="1" ht="13.8" x14ac:dyDescent="0.3">
      <c r="A2718" s="208"/>
      <c r="B2718" s="208"/>
      <c r="C2718" s="209"/>
      <c r="D2718" s="209"/>
      <c r="E2718" s="209"/>
      <c r="F2718" s="209"/>
      <c r="G2718" s="210"/>
    </row>
    <row r="2719" spans="1:7" s="25" customFormat="1" ht="13.8" x14ac:dyDescent="0.3">
      <c r="A2719" s="208"/>
      <c r="B2719" s="208"/>
      <c r="C2719" s="209"/>
      <c r="D2719" s="209"/>
      <c r="E2719" s="209"/>
      <c r="F2719" s="209"/>
      <c r="G2719" s="210"/>
    </row>
    <row r="2720" spans="1:7" s="25" customFormat="1" ht="13.8" x14ac:dyDescent="0.3">
      <c r="A2720" s="208"/>
      <c r="B2720" s="208"/>
      <c r="C2720" s="209"/>
      <c r="D2720" s="209"/>
      <c r="E2720" s="209"/>
      <c r="F2720" s="209"/>
      <c r="G2720" s="210"/>
    </row>
    <row r="2721" spans="1:7" s="25" customFormat="1" ht="13.8" x14ac:dyDescent="0.3">
      <c r="A2721" s="208"/>
      <c r="B2721" s="208"/>
      <c r="C2721" s="209"/>
      <c r="D2721" s="209"/>
      <c r="E2721" s="209"/>
      <c r="F2721" s="209"/>
      <c r="G2721" s="210"/>
    </row>
    <row r="2722" spans="1:7" s="25" customFormat="1" ht="13.8" x14ac:dyDescent="0.3">
      <c r="A2722" s="208"/>
      <c r="B2722" s="208"/>
      <c r="C2722" s="209"/>
      <c r="D2722" s="209"/>
      <c r="E2722" s="209"/>
      <c r="F2722" s="209"/>
      <c r="G2722" s="210"/>
    </row>
    <row r="2723" spans="1:7" s="25" customFormat="1" ht="13.8" x14ac:dyDescent="0.3">
      <c r="A2723" s="208"/>
      <c r="B2723" s="208"/>
      <c r="C2723" s="209"/>
      <c r="D2723" s="209"/>
      <c r="E2723" s="209"/>
      <c r="F2723" s="209"/>
      <c r="G2723" s="210"/>
    </row>
    <row r="2724" spans="1:7" s="25" customFormat="1" ht="13.8" x14ac:dyDescent="0.3">
      <c r="A2724" s="208"/>
      <c r="B2724" s="208"/>
      <c r="C2724" s="209"/>
      <c r="D2724" s="209"/>
      <c r="E2724" s="209"/>
      <c r="F2724" s="209"/>
      <c r="G2724" s="210"/>
    </row>
    <row r="2725" spans="1:7" s="25" customFormat="1" ht="13.8" x14ac:dyDescent="0.3">
      <c r="A2725" s="208"/>
      <c r="B2725" s="208"/>
      <c r="C2725" s="209"/>
      <c r="D2725" s="209"/>
      <c r="E2725" s="209"/>
      <c r="F2725" s="209"/>
      <c r="G2725" s="210"/>
    </row>
    <row r="2726" spans="1:7" s="25" customFormat="1" ht="13.8" x14ac:dyDescent="0.3">
      <c r="A2726" s="208"/>
      <c r="B2726" s="208"/>
      <c r="C2726" s="209"/>
      <c r="D2726" s="209"/>
      <c r="E2726" s="209"/>
      <c r="F2726" s="209"/>
      <c r="G2726" s="210"/>
    </row>
    <row r="2727" spans="1:7" s="25" customFormat="1" ht="13.8" x14ac:dyDescent="0.3">
      <c r="A2727" s="208"/>
      <c r="B2727" s="208"/>
      <c r="C2727" s="209"/>
      <c r="D2727" s="209"/>
      <c r="E2727" s="209"/>
      <c r="F2727" s="209"/>
      <c r="G2727" s="210"/>
    </row>
    <row r="2728" spans="1:7" s="25" customFormat="1" ht="13.8" x14ac:dyDescent="0.3">
      <c r="A2728" s="208"/>
      <c r="B2728" s="208"/>
      <c r="C2728" s="209"/>
      <c r="D2728" s="209"/>
      <c r="E2728" s="209"/>
      <c r="F2728" s="209"/>
      <c r="G2728" s="210"/>
    </row>
    <row r="2729" spans="1:7" s="25" customFormat="1" ht="13.8" x14ac:dyDescent="0.3">
      <c r="A2729" s="208"/>
      <c r="B2729" s="208"/>
      <c r="C2729" s="209"/>
      <c r="D2729" s="209"/>
      <c r="E2729" s="209"/>
      <c r="F2729" s="209"/>
      <c r="G2729" s="210"/>
    </row>
    <row r="2730" spans="1:7" s="25" customFormat="1" ht="13.8" x14ac:dyDescent="0.3">
      <c r="A2730" s="208"/>
      <c r="B2730" s="208"/>
      <c r="C2730" s="209"/>
      <c r="D2730" s="209"/>
      <c r="E2730" s="209"/>
      <c r="F2730" s="209"/>
      <c r="G2730" s="210"/>
    </row>
    <row r="2731" spans="1:7" s="25" customFormat="1" ht="13.8" x14ac:dyDescent="0.3">
      <c r="A2731" s="208"/>
      <c r="B2731" s="208"/>
      <c r="C2731" s="209"/>
      <c r="D2731" s="209"/>
      <c r="E2731" s="209"/>
      <c r="F2731" s="209"/>
      <c r="G2731" s="210"/>
    </row>
    <row r="2732" spans="1:7" s="25" customFormat="1" ht="13.8" x14ac:dyDescent="0.3">
      <c r="A2732" s="208"/>
      <c r="B2732" s="208"/>
      <c r="C2732" s="209"/>
      <c r="D2732" s="209"/>
      <c r="E2732" s="209"/>
      <c r="F2732" s="209"/>
      <c r="G2732" s="210"/>
    </row>
    <row r="2733" spans="1:7" s="25" customFormat="1" ht="13.8" x14ac:dyDescent="0.3">
      <c r="A2733" s="208"/>
      <c r="B2733" s="208"/>
      <c r="C2733" s="209"/>
      <c r="D2733" s="209"/>
      <c r="E2733" s="209"/>
      <c r="F2733" s="209"/>
      <c r="G2733" s="210"/>
    </row>
    <row r="2734" spans="1:7" s="25" customFormat="1" ht="13.8" x14ac:dyDescent="0.3">
      <c r="A2734" s="208"/>
      <c r="B2734" s="208"/>
      <c r="C2734" s="209"/>
      <c r="D2734" s="209"/>
      <c r="E2734" s="209"/>
      <c r="F2734" s="209"/>
      <c r="G2734" s="210"/>
    </row>
    <row r="2735" spans="1:7" s="25" customFormat="1" ht="13.8" x14ac:dyDescent="0.3">
      <c r="A2735" s="208"/>
      <c r="B2735" s="208"/>
      <c r="C2735" s="209"/>
      <c r="D2735" s="209"/>
      <c r="E2735" s="209"/>
      <c r="F2735" s="209"/>
      <c r="G2735" s="210"/>
    </row>
    <row r="2736" spans="1:7" s="25" customFormat="1" ht="13.8" x14ac:dyDescent="0.3">
      <c r="A2736" s="208"/>
      <c r="B2736" s="208"/>
      <c r="C2736" s="209"/>
      <c r="D2736" s="209"/>
      <c r="E2736" s="209"/>
      <c r="F2736" s="209"/>
      <c r="G2736" s="210"/>
    </row>
    <row r="2737" spans="1:7" s="25" customFormat="1" ht="13.8" x14ac:dyDescent="0.3">
      <c r="A2737" s="208"/>
      <c r="B2737" s="208"/>
      <c r="C2737" s="209"/>
      <c r="D2737" s="209"/>
      <c r="E2737" s="209"/>
      <c r="F2737" s="209"/>
      <c r="G2737" s="210"/>
    </row>
    <row r="2738" spans="1:7" s="25" customFormat="1" ht="13.8" x14ac:dyDescent="0.3">
      <c r="A2738" s="208"/>
      <c r="B2738" s="208"/>
      <c r="C2738" s="209"/>
      <c r="D2738" s="209"/>
      <c r="E2738" s="209"/>
      <c r="F2738" s="209"/>
      <c r="G2738" s="210"/>
    </row>
    <row r="2739" spans="1:7" s="25" customFormat="1" ht="13.8" x14ac:dyDescent="0.3">
      <c r="A2739" s="208"/>
      <c r="B2739" s="208"/>
      <c r="C2739" s="209"/>
      <c r="D2739" s="209"/>
      <c r="E2739" s="209"/>
      <c r="F2739" s="209"/>
      <c r="G2739" s="210"/>
    </row>
    <row r="2740" spans="1:7" s="25" customFormat="1" ht="13.8" x14ac:dyDescent="0.3">
      <c r="A2740" s="208"/>
      <c r="B2740" s="208"/>
      <c r="C2740" s="209"/>
      <c r="D2740" s="209"/>
      <c r="E2740" s="209"/>
      <c r="F2740" s="209"/>
      <c r="G2740" s="210"/>
    </row>
    <row r="2741" spans="1:7" s="25" customFormat="1" ht="13.8" x14ac:dyDescent="0.3">
      <c r="A2741" s="208"/>
      <c r="B2741" s="208"/>
      <c r="C2741" s="209"/>
      <c r="D2741" s="209"/>
      <c r="E2741" s="209"/>
      <c r="F2741" s="209"/>
      <c r="G2741" s="210"/>
    </row>
    <row r="2742" spans="1:7" s="25" customFormat="1" ht="13.8" x14ac:dyDescent="0.3">
      <c r="A2742" s="208"/>
      <c r="B2742" s="208"/>
      <c r="C2742" s="209"/>
      <c r="D2742" s="209"/>
      <c r="E2742" s="209"/>
      <c r="F2742" s="209"/>
      <c r="G2742" s="210"/>
    </row>
    <row r="2743" spans="1:7" s="25" customFormat="1" ht="13.8" x14ac:dyDescent="0.3">
      <c r="A2743" s="208"/>
      <c r="B2743" s="208"/>
      <c r="C2743" s="209"/>
      <c r="D2743" s="209"/>
      <c r="E2743" s="209"/>
      <c r="F2743" s="209"/>
      <c r="G2743" s="210"/>
    </row>
    <row r="2744" spans="1:7" s="25" customFormat="1" ht="13.8" x14ac:dyDescent="0.3">
      <c r="A2744" s="208"/>
      <c r="B2744" s="208"/>
      <c r="C2744" s="209"/>
      <c r="D2744" s="209"/>
      <c r="E2744" s="209"/>
      <c r="F2744" s="209"/>
      <c r="G2744" s="210"/>
    </row>
    <row r="2745" spans="1:7" s="25" customFormat="1" ht="13.8" x14ac:dyDescent="0.3">
      <c r="A2745" s="208"/>
      <c r="B2745" s="208"/>
      <c r="C2745" s="209"/>
      <c r="D2745" s="209"/>
      <c r="E2745" s="209"/>
      <c r="F2745" s="209"/>
      <c r="G2745" s="210"/>
    </row>
    <row r="2746" spans="1:7" s="25" customFormat="1" ht="13.8" x14ac:dyDescent="0.3">
      <c r="A2746" s="208"/>
      <c r="B2746" s="208"/>
      <c r="C2746" s="209"/>
      <c r="D2746" s="209"/>
      <c r="E2746" s="209"/>
      <c r="F2746" s="209"/>
      <c r="G2746" s="210"/>
    </row>
    <row r="2747" spans="1:7" s="25" customFormat="1" ht="13.8" x14ac:dyDescent="0.3">
      <c r="A2747" s="208"/>
      <c r="B2747" s="208"/>
      <c r="C2747" s="209"/>
      <c r="D2747" s="209"/>
      <c r="E2747" s="209"/>
      <c r="F2747" s="209"/>
      <c r="G2747" s="210"/>
    </row>
    <row r="2748" spans="1:7" s="25" customFormat="1" ht="13.8" x14ac:dyDescent="0.3">
      <c r="A2748" s="208"/>
      <c r="B2748" s="208"/>
      <c r="C2748" s="209"/>
      <c r="D2748" s="209"/>
      <c r="E2748" s="209"/>
      <c r="F2748" s="209"/>
      <c r="G2748" s="210"/>
    </row>
    <row r="2749" spans="1:7" s="25" customFormat="1" ht="13.8" x14ac:dyDescent="0.3">
      <c r="A2749" s="208"/>
      <c r="B2749" s="208"/>
      <c r="C2749" s="209"/>
      <c r="D2749" s="209"/>
      <c r="E2749" s="209"/>
      <c r="F2749" s="209"/>
      <c r="G2749" s="210"/>
    </row>
    <row r="2750" spans="1:7" s="25" customFormat="1" ht="13.8" x14ac:dyDescent="0.3">
      <c r="A2750" s="208"/>
      <c r="B2750" s="208"/>
      <c r="C2750" s="209"/>
      <c r="D2750" s="209"/>
      <c r="E2750" s="209"/>
      <c r="F2750" s="209"/>
      <c r="G2750" s="210"/>
    </row>
    <row r="2751" spans="1:7" s="25" customFormat="1" ht="13.8" x14ac:dyDescent="0.3">
      <c r="A2751" s="208"/>
      <c r="B2751" s="208"/>
      <c r="C2751" s="209"/>
      <c r="D2751" s="209"/>
      <c r="E2751" s="209"/>
      <c r="F2751" s="209"/>
      <c r="G2751" s="210"/>
    </row>
    <row r="2752" spans="1:7" s="25" customFormat="1" ht="13.8" x14ac:dyDescent="0.3">
      <c r="A2752" s="208"/>
      <c r="B2752" s="208"/>
      <c r="C2752" s="209"/>
      <c r="D2752" s="209"/>
      <c r="E2752" s="209"/>
      <c r="F2752" s="209"/>
      <c r="G2752" s="210"/>
    </row>
    <row r="2753" spans="1:7" s="25" customFormat="1" ht="13.8" x14ac:dyDescent="0.3">
      <c r="A2753" s="208"/>
      <c r="B2753" s="208"/>
      <c r="C2753" s="209"/>
      <c r="D2753" s="209"/>
      <c r="E2753" s="209"/>
      <c r="F2753" s="209"/>
      <c r="G2753" s="210"/>
    </row>
    <row r="2754" spans="1:7" s="25" customFormat="1" ht="13.8" x14ac:dyDescent="0.3">
      <c r="A2754" s="208"/>
      <c r="B2754" s="208"/>
      <c r="C2754" s="209"/>
      <c r="D2754" s="209"/>
      <c r="E2754" s="209"/>
      <c r="F2754" s="209"/>
      <c r="G2754" s="210"/>
    </row>
    <row r="2755" spans="1:7" s="25" customFormat="1" ht="13.8" x14ac:dyDescent="0.3">
      <c r="A2755" s="208"/>
      <c r="B2755" s="208"/>
      <c r="C2755" s="209"/>
      <c r="D2755" s="209"/>
      <c r="E2755" s="209"/>
      <c r="F2755" s="209"/>
      <c r="G2755" s="210"/>
    </row>
    <row r="2756" spans="1:7" s="25" customFormat="1" ht="13.8" x14ac:dyDescent="0.3">
      <c r="A2756" s="208"/>
      <c r="B2756" s="208"/>
      <c r="C2756" s="209"/>
      <c r="D2756" s="209"/>
      <c r="E2756" s="209"/>
      <c r="F2756" s="209"/>
      <c r="G2756" s="210"/>
    </row>
    <row r="2757" spans="1:7" s="25" customFormat="1" ht="13.8" x14ac:dyDescent="0.3">
      <c r="A2757" s="208"/>
      <c r="B2757" s="208"/>
      <c r="C2757" s="209"/>
      <c r="D2757" s="209"/>
      <c r="E2757" s="209"/>
      <c r="F2757" s="209"/>
      <c r="G2757" s="210"/>
    </row>
    <row r="2758" spans="1:7" s="25" customFormat="1" ht="13.8" x14ac:dyDescent="0.3">
      <c r="A2758" s="208"/>
      <c r="B2758" s="208"/>
      <c r="C2758" s="209"/>
      <c r="D2758" s="209"/>
      <c r="E2758" s="209"/>
      <c r="F2758" s="209"/>
      <c r="G2758" s="210"/>
    </row>
    <row r="2759" spans="1:7" s="25" customFormat="1" ht="13.8" x14ac:dyDescent="0.3">
      <c r="A2759" s="208"/>
      <c r="B2759" s="208"/>
      <c r="C2759" s="209"/>
      <c r="D2759" s="209"/>
      <c r="E2759" s="209"/>
      <c r="F2759" s="209"/>
      <c r="G2759" s="210"/>
    </row>
    <row r="2760" spans="1:7" s="25" customFormat="1" ht="13.8" x14ac:dyDescent="0.3">
      <c r="A2760" s="208"/>
      <c r="B2760" s="208"/>
      <c r="C2760" s="209"/>
      <c r="D2760" s="209"/>
      <c r="E2760" s="209"/>
      <c r="F2760" s="209"/>
      <c r="G2760" s="210"/>
    </row>
    <row r="2761" spans="1:7" s="25" customFormat="1" ht="13.8" x14ac:dyDescent="0.3">
      <c r="A2761" s="208"/>
      <c r="B2761" s="208"/>
      <c r="C2761" s="209"/>
      <c r="D2761" s="209"/>
      <c r="E2761" s="209"/>
      <c r="F2761" s="209"/>
      <c r="G2761" s="210"/>
    </row>
    <row r="2762" spans="1:7" s="25" customFormat="1" ht="13.8" x14ac:dyDescent="0.3">
      <c r="A2762" s="208"/>
      <c r="B2762" s="208"/>
      <c r="C2762" s="209"/>
      <c r="D2762" s="209"/>
      <c r="E2762" s="209"/>
      <c r="F2762" s="209"/>
      <c r="G2762" s="210"/>
    </row>
    <row r="2763" spans="1:7" s="25" customFormat="1" ht="13.8" x14ac:dyDescent="0.3">
      <c r="A2763" s="208"/>
      <c r="B2763" s="208"/>
      <c r="C2763" s="209"/>
      <c r="D2763" s="209"/>
      <c r="E2763" s="209"/>
      <c r="F2763" s="209"/>
      <c r="G2763" s="210"/>
    </row>
    <row r="2764" spans="1:7" s="25" customFormat="1" ht="13.8" x14ac:dyDescent="0.3">
      <c r="A2764" s="208"/>
      <c r="B2764" s="208"/>
      <c r="C2764" s="209"/>
      <c r="D2764" s="209"/>
      <c r="E2764" s="209"/>
      <c r="F2764" s="209"/>
      <c r="G2764" s="210"/>
    </row>
    <row r="2765" spans="1:7" s="25" customFormat="1" ht="13.8" x14ac:dyDescent="0.3">
      <c r="A2765" s="208"/>
      <c r="B2765" s="208"/>
      <c r="C2765" s="209"/>
      <c r="D2765" s="209"/>
      <c r="E2765" s="209"/>
      <c r="F2765" s="209"/>
      <c r="G2765" s="210"/>
    </row>
    <row r="2766" spans="1:7" s="25" customFormat="1" ht="13.8" x14ac:dyDescent="0.3">
      <c r="A2766" s="208"/>
      <c r="B2766" s="208"/>
      <c r="C2766" s="209"/>
      <c r="D2766" s="209"/>
      <c r="E2766" s="209"/>
      <c r="F2766" s="209"/>
      <c r="G2766" s="210"/>
    </row>
    <row r="2767" spans="1:7" s="25" customFormat="1" ht="13.8" x14ac:dyDescent="0.3">
      <c r="A2767" s="208"/>
      <c r="B2767" s="208"/>
      <c r="C2767" s="209"/>
      <c r="D2767" s="209"/>
      <c r="E2767" s="209"/>
      <c r="F2767" s="209"/>
      <c r="G2767" s="210"/>
    </row>
    <row r="2768" spans="1:7" s="25" customFormat="1" ht="13.8" x14ac:dyDescent="0.3">
      <c r="A2768" s="208"/>
      <c r="B2768" s="208"/>
      <c r="C2768" s="209"/>
      <c r="D2768" s="209"/>
      <c r="E2768" s="209"/>
      <c r="F2768" s="209"/>
      <c r="G2768" s="210"/>
    </row>
    <row r="2769" spans="1:7" s="25" customFormat="1" ht="13.8" x14ac:dyDescent="0.3">
      <c r="A2769" s="208"/>
      <c r="B2769" s="208"/>
      <c r="C2769" s="209"/>
      <c r="D2769" s="209"/>
      <c r="E2769" s="209"/>
      <c r="F2769" s="209"/>
      <c r="G2769" s="210"/>
    </row>
    <row r="2770" spans="1:7" s="25" customFormat="1" ht="13.8" x14ac:dyDescent="0.3">
      <c r="A2770" s="208"/>
      <c r="B2770" s="208"/>
      <c r="C2770" s="209"/>
      <c r="D2770" s="209"/>
      <c r="E2770" s="209"/>
      <c r="F2770" s="209"/>
      <c r="G2770" s="210"/>
    </row>
    <row r="2771" spans="1:7" s="25" customFormat="1" ht="13.8" x14ac:dyDescent="0.3">
      <c r="A2771" s="208"/>
      <c r="B2771" s="208"/>
      <c r="C2771" s="209"/>
      <c r="D2771" s="209"/>
      <c r="E2771" s="209"/>
      <c r="F2771" s="209"/>
      <c r="G2771" s="210"/>
    </row>
    <row r="2772" spans="1:7" s="25" customFormat="1" ht="13.8" x14ac:dyDescent="0.3">
      <c r="A2772" s="208"/>
      <c r="B2772" s="208"/>
      <c r="C2772" s="209"/>
      <c r="D2772" s="209"/>
      <c r="E2772" s="209"/>
      <c r="F2772" s="209"/>
      <c r="G2772" s="210"/>
    </row>
    <row r="2773" spans="1:7" s="25" customFormat="1" ht="13.8" x14ac:dyDescent="0.3">
      <c r="A2773" s="208"/>
      <c r="B2773" s="208"/>
      <c r="C2773" s="209"/>
      <c r="D2773" s="209"/>
      <c r="E2773" s="209"/>
      <c r="F2773" s="209"/>
      <c r="G2773" s="210"/>
    </row>
    <row r="2774" spans="1:7" s="25" customFormat="1" ht="13.8" x14ac:dyDescent="0.3">
      <c r="A2774" s="208"/>
      <c r="B2774" s="208"/>
      <c r="C2774" s="209"/>
      <c r="D2774" s="209"/>
      <c r="E2774" s="209"/>
      <c r="F2774" s="209"/>
      <c r="G2774" s="210"/>
    </row>
    <row r="2775" spans="1:7" s="25" customFormat="1" ht="13.8" x14ac:dyDescent="0.3">
      <c r="A2775" s="208"/>
      <c r="B2775" s="208"/>
      <c r="C2775" s="209"/>
      <c r="D2775" s="209"/>
      <c r="E2775" s="209"/>
      <c r="F2775" s="209"/>
      <c r="G2775" s="210"/>
    </row>
    <row r="2776" spans="1:7" s="25" customFormat="1" ht="13.8" x14ac:dyDescent="0.3">
      <c r="A2776" s="208"/>
      <c r="B2776" s="208"/>
      <c r="C2776" s="209"/>
      <c r="D2776" s="209"/>
      <c r="E2776" s="209"/>
      <c r="F2776" s="209"/>
      <c r="G2776" s="210"/>
    </row>
    <row r="2777" spans="1:7" s="25" customFormat="1" ht="13.8" x14ac:dyDescent="0.3">
      <c r="A2777" s="208"/>
      <c r="B2777" s="208"/>
      <c r="C2777" s="209"/>
      <c r="D2777" s="209"/>
      <c r="E2777" s="209"/>
      <c r="F2777" s="209"/>
      <c r="G2777" s="210"/>
    </row>
    <row r="2778" spans="1:7" s="25" customFormat="1" ht="13.8" x14ac:dyDescent="0.3">
      <c r="A2778" s="208"/>
      <c r="B2778" s="208"/>
      <c r="C2778" s="209"/>
      <c r="D2778" s="209"/>
      <c r="E2778" s="209"/>
      <c r="F2778" s="209"/>
      <c r="G2778" s="210"/>
    </row>
    <row r="2779" spans="1:7" s="25" customFormat="1" ht="13.8" x14ac:dyDescent="0.3">
      <c r="A2779" s="208"/>
      <c r="B2779" s="208"/>
      <c r="C2779" s="209"/>
      <c r="D2779" s="209"/>
      <c r="E2779" s="209"/>
      <c r="F2779" s="209"/>
      <c r="G2779" s="210"/>
    </row>
    <row r="2780" spans="1:7" s="25" customFormat="1" ht="13.8" x14ac:dyDescent="0.3">
      <c r="A2780" s="208"/>
      <c r="B2780" s="208"/>
      <c r="C2780" s="209"/>
      <c r="D2780" s="209"/>
      <c r="E2780" s="209"/>
      <c r="F2780" s="209"/>
      <c r="G2780" s="210"/>
    </row>
    <row r="2781" spans="1:7" s="25" customFormat="1" ht="13.8" x14ac:dyDescent="0.3">
      <c r="A2781" s="208"/>
      <c r="B2781" s="208"/>
      <c r="C2781" s="209"/>
      <c r="D2781" s="209"/>
      <c r="E2781" s="209"/>
      <c r="F2781" s="209"/>
      <c r="G2781" s="210"/>
    </row>
    <row r="2782" spans="1:7" s="25" customFormat="1" ht="13.8" x14ac:dyDescent="0.3">
      <c r="A2782" s="208"/>
      <c r="B2782" s="208"/>
      <c r="C2782" s="209"/>
      <c r="D2782" s="209"/>
      <c r="E2782" s="209"/>
      <c r="F2782" s="209"/>
      <c r="G2782" s="210"/>
    </row>
    <row r="2783" spans="1:7" s="25" customFormat="1" ht="13.8" x14ac:dyDescent="0.3">
      <c r="A2783" s="208"/>
      <c r="B2783" s="208"/>
      <c r="C2783" s="209"/>
      <c r="D2783" s="209"/>
      <c r="E2783" s="209"/>
      <c r="F2783" s="209"/>
      <c r="G2783" s="210"/>
    </row>
    <row r="2784" spans="1:7" s="25" customFormat="1" ht="13.8" x14ac:dyDescent="0.3">
      <c r="A2784" s="208"/>
      <c r="B2784" s="208"/>
      <c r="C2784" s="209"/>
      <c r="D2784" s="209"/>
      <c r="E2784" s="209"/>
      <c r="F2784" s="209"/>
      <c r="G2784" s="210"/>
    </row>
    <row r="2785" spans="1:7" s="25" customFormat="1" ht="13.8" x14ac:dyDescent="0.3">
      <c r="A2785" s="208"/>
      <c r="B2785" s="208"/>
      <c r="C2785" s="209"/>
      <c r="D2785" s="209"/>
      <c r="E2785" s="209"/>
      <c r="F2785" s="209"/>
      <c r="G2785" s="210"/>
    </row>
    <row r="2786" spans="1:7" s="25" customFormat="1" ht="13.8" x14ac:dyDescent="0.3">
      <c r="A2786" s="208"/>
      <c r="B2786" s="208"/>
      <c r="C2786" s="209"/>
      <c r="D2786" s="209"/>
      <c r="E2786" s="209"/>
      <c r="F2786" s="209"/>
      <c r="G2786" s="210"/>
    </row>
    <row r="2787" spans="1:7" s="25" customFormat="1" ht="13.8" x14ac:dyDescent="0.3">
      <c r="A2787" s="208"/>
      <c r="B2787" s="208"/>
      <c r="C2787" s="209"/>
      <c r="D2787" s="209"/>
      <c r="E2787" s="209"/>
      <c r="F2787" s="209"/>
      <c r="G2787" s="210"/>
    </row>
    <row r="2788" spans="1:7" s="25" customFormat="1" ht="13.8" x14ac:dyDescent="0.3">
      <c r="A2788" s="208"/>
      <c r="B2788" s="208"/>
      <c r="C2788" s="209"/>
      <c r="D2788" s="209"/>
      <c r="E2788" s="209"/>
      <c r="F2788" s="209"/>
      <c r="G2788" s="210"/>
    </row>
    <row r="2789" spans="1:7" s="25" customFormat="1" ht="13.8" x14ac:dyDescent="0.3">
      <c r="A2789" s="208"/>
      <c r="B2789" s="208"/>
      <c r="C2789" s="209"/>
      <c r="D2789" s="209"/>
      <c r="E2789" s="209"/>
      <c r="F2789" s="209"/>
      <c r="G2789" s="210"/>
    </row>
    <row r="2790" spans="1:7" s="25" customFormat="1" ht="13.8" x14ac:dyDescent="0.3">
      <c r="A2790" s="208"/>
      <c r="B2790" s="208"/>
      <c r="C2790" s="209"/>
      <c r="D2790" s="209"/>
      <c r="E2790" s="209"/>
      <c r="F2790" s="209"/>
      <c r="G2790" s="210"/>
    </row>
    <row r="2791" spans="1:7" s="25" customFormat="1" ht="13.8" x14ac:dyDescent="0.3">
      <c r="A2791" s="208"/>
      <c r="B2791" s="208"/>
      <c r="C2791" s="209"/>
      <c r="D2791" s="209"/>
      <c r="E2791" s="209"/>
      <c r="F2791" s="209"/>
      <c r="G2791" s="210"/>
    </row>
    <row r="2792" spans="1:7" s="25" customFormat="1" ht="13.8" x14ac:dyDescent="0.3">
      <c r="A2792" s="208"/>
      <c r="B2792" s="208"/>
      <c r="C2792" s="209"/>
      <c r="D2792" s="209"/>
      <c r="E2792" s="209"/>
      <c r="F2792" s="209"/>
      <c r="G2792" s="210"/>
    </row>
    <row r="2793" spans="1:7" s="25" customFormat="1" ht="13.8" x14ac:dyDescent="0.3">
      <c r="A2793" s="208"/>
      <c r="B2793" s="208"/>
      <c r="C2793" s="209"/>
      <c r="D2793" s="209"/>
      <c r="E2793" s="209"/>
      <c r="F2793" s="209"/>
      <c r="G2793" s="210"/>
    </row>
    <row r="2794" spans="1:7" s="25" customFormat="1" ht="13.8" x14ac:dyDescent="0.3">
      <c r="A2794" s="208"/>
      <c r="B2794" s="208"/>
      <c r="C2794" s="209"/>
      <c r="D2794" s="209"/>
      <c r="E2794" s="209"/>
      <c r="F2794" s="209"/>
      <c r="G2794" s="210"/>
    </row>
    <row r="2795" spans="1:7" s="25" customFormat="1" ht="13.8" x14ac:dyDescent="0.3">
      <c r="A2795" s="208"/>
      <c r="B2795" s="208"/>
      <c r="C2795" s="209"/>
      <c r="D2795" s="209"/>
      <c r="E2795" s="209"/>
      <c r="F2795" s="209"/>
      <c r="G2795" s="210"/>
    </row>
    <row r="2796" spans="1:7" s="25" customFormat="1" ht="13.8" x14ac:dyDescent="0.3">
      <c r="A2796" s="208"/>
      <c r="B2796" s="208"/>
      <c r="C2796" s="209"/>
      <c r="D2796" s="209"/>
      <c r="E2796" s="209"/>
      <c r="F2796" s="209"/>
      <c r="G2796" s="210"/>
    </row>
    <row r="2797" spans="1:7" s="25" customFormat="1" ht="13.8" x14ac:dyDescent="0.3">
      <c r="A2797" s="208"/>
      <c r="B2797" s="208"/>
      <c r="C2797" s="209"/>
      <c r="D2797" s="209"/>
      <c r="E2797" s="209"/>
      <c r="F2797" s="209"/>
      <c r="G2797" s="210"/>
    </row>
    <row r="2798" spans="1:7" s="25" customFormat="1" ht="13.8" x14ac:dyDescent="0.3">
      <c r="A2798" s="208"/>
      <c r="B2798" s="208"/>
      <c r="C2798" s="209"/>
      <c r="D2798" s="209"/>
      <c r="E2798" s="209"/>
      <c r="F2798" s="209"/>
      <c r="G2798" s="210"/>
    </row>
    <row r="2799" spans="1:7" s="25" customFormat="1" ht="13.8" x14ac:dyDescent="0.3">
      <c r="A2799" s="208"/>
      <c r="B2799" s="208"/>
      <c r="C2799" s="209"/>
      <c r="D2799" s="209"/>
      <c r="E2799" s="209"/>
      <c r="F2799" s="209"/>
      <c r="G2799" s="210"/>
    </row>
    <row r="2800" spans="1:7" s="25" customFormat="1" ht="13.8" x14ac:dyDescent="0.3">
      <c r="A2800" s="208"/>
      <c r="B2800" s="208"/>
      <c r="C2800" s="209"/>
      <c r="D2800" s="209"/>
      <c r="E2800" s="209"/>
      <c r="F2800" s="209"/>
      <c r="G2800" s="210"/>
    </row>
    <row r="2801" spans="1:7" s="25" customFormat="1" ht="13.8" x14ac:dyDescent="0.3">
      <c r="A2801" s="208"/>
      <c r="B2801" s="208"/>
      <c r="C2801" s="209"/>
      <c r="D2801" s="209"/>
      <c r="E2801" s="209"/>
      <c r="F2801" s="209"/>
      <c r="G2801" s="210"/>
    </row>
    <row r="2802" spans="1:7" s="25" customFormat="1" ht="13.8" x14ac:dyDescent="0.3">
      <c r="A2802" s="208"/>
      <c r="B2802" s="208"/>
      <c r="C2802" s="209"/>
      <c r="D2802" s="209"/>
      <c r="E2802" s="209"/>
      <c r="F2802" s="209"/>
      <c r="G2802" s="210"/>
    </row>
    <row r="2803" spans="1:7" s="25" customFormat="1" ht="13.8" x14ac:dyDescent="0.3">
      <c r="A2803" s="208"/>
      <c r="B2803" s="208"/>
      <c r="C2803" s="209"/>
      <c r="D2803" s="209"/>
      <c r="E2803" s="209"/>
      <c r="F2803" s="209"/>
      <c r="G2803" s="210"/>
    </row>
    <row r="2804" spans="1:7" s="25" customFormat="1" ht="13.8" x14ac:dyDescent="0.3">
      <c r="A2804" s="208"/>
      <c r="B2804" s="208"/>
      <c r="C2804" s="209"/>
      <c r="D2804" s="209"/>
      <c r="E2804" s="209"/>
      <c r="F2804" s="209"/>
      <c r="G2804" s="210"/>
    </row>
    <row r="2805" spans="1:7" s="25" customFormat="1" ht="13.8" x14ac:dyDescent="0.3">
      <c r="A2805" s="208"/>
      <c r="B2805" s="208"/>
      <c r="C2805" s="209"/>
      <c r="D2805" s="209"/>
      <c r="E2805" s="209"/>
      <c r="F2805" s="209"/>
      <c r="G2805" s="210"/>
    </row>
    <row r="2806" spans="1:7" s="25" customFormat="1" ht="13.8" x14ac:dyDescent="0.3">
      <c r="A2806" s="208"/>
      <c r="B2806" s="208"/>
      <c r="C2806" s="209"/>
      <c r="D2806" s="209"/>
      <c r="E2806" s="209"/>
      <c r="F2806" s="209"/>
      <c r="G2806" s="210"/>
    </row>
    <row r="2807" spans="1:7" s="25" customFormat="1" ht="13.8" x14ac:dyDescent="0.3">
      <c r="A2807" s="208"/>
      <c r="B2807" s="208"/>
      <c r="C2807" s="209"/>
      <c r="D2807" s="209"/>
      <c r="E2807" s="209"/>
      <c r="F2807" s="209"/>
      <c r="G2807" s="210"/>
    </row>
    <row r="2808" spans="1:7" s="25" customFormat="1" ht="13.8" x14ac:dyDescent="0.3">
      <c r="A2808" s="208"/>
      <c r="B2808" s="208"/>
      <c r="C2808" s="209"/>
      <c r="D2808" s="209"/>
      <c r="E2808" s="209"/>
      <c r="F2808" s="209"/>
      <c r="G2808" s="210"/>
    </row>
    <row r="2809" spans="1:7" s="25" customFormat="1" ht="13.8" x14ac:dyDescent="0.3">
      <c r="A2809" s="208"/>
      <c r="B2809" s="208"/>
      <c r="C2809" s="209"/>
      <c r="D2809" s="209"/>
      <c r="E2809" s="209"/>
      <c r="F2809" s="209"/>
      <c r="G2809" s="210"/>
    </row>
    <row r="2810" spans="1:7" s="25" customFormat="1" ht="13.8" x14ac:dyDescent="0.3">
      <c r="A2810" s="208"/>
      <c r="B2810" s="208"/>
      <c r="C2810" s="209"/>
      <c r="D2810" s="209"/>
      <c r="E2810" s="209"/>
      <c r="F2810" s="209"/>
      <c r="G2810" s="210"/>
    </row>
    <row r="2811" spans="1:7" s="25" customFormat="1" ht="13.8" x14ac:dyDescent="0.3">
      <c r="A2811" s="208"/>
      <c r="B2811" s="208"/>
      <c r="C2811" s="209"/>
      <c r="D2811" s="209"/>
      <c r="E2811" s="209"/>
      <c r="F2811" s="209"/>
      <c r="G2811" s="210"/>
    </row>
    <row r="2812" spans="1:7" s="25" customFormat="1" ht="13.8" x14ac:dyDescent="0.3">
      <c r="A2812" s="208"/>
      <c r="B2812" s="208"/>
      <c r="C2812" s="209"/>
      <c r="D2812" s="209"/>
      <c r="E2812" s="209"/>
      <c r="F2812" s="209"/>
      <c r="G2812" s="210"/>
    </row>
    <row r="2813" spans="1:7" s="25" customFormat="1" ht="13.8" x14ac:dyDescent="0.3">
      <c r="A2813" s="208"/>
      <c r="B2813" s="208"/>
      <c r="C2813" s="209"/>
      <c r="D2813" s="209"/>
      <c r="E2813" s="209"/>
      <c r="F2813" s="209"/>
      <c r="G2813" s="210"/>
    </row>
    <row r="2814" spans="1:7" s="25" customFormat="1" ht="13.8" x14ac:dyDescent="0.3">
      <c r="A2814" s="208"/>
      <c r="B2814" s="208"/>
      <c r="C2814" s="209"/>
      <c r="D2814" s="209"/>
      <c r="E2814" s="209"/>
      <c r="F2814" s="209"/>
      <c r="G2814" s="210"/>
    </row>
    <row r="2815" spans="1:7" s="25" customFormat="1" ht="13.8" x14ac:dyDescent="0.3">
      <c r="A2815" s="208"/>
      <c r="B2815" s="208"/>
      <c r="C2815" s="209"/>
      <c r="D2815" s="209"/>
      <c r="E2815" s="209"/>
      <c r="F2815" s="209"/>
      <c r="G2815" s="210"/>
    </row>
    <row r="2816" spans="1:7" s="25" customFormat="1" ht="13.8" x14ac:dyDescent="0.3">
      <c r="C2816" s="211"/>
      <c r="D2816" s="211"/>
      <c r="E2816" s="211"/>
      <c r="F2816" s="211"/>
      <c r="G2816" s="212"/>
    </row>
    <row r="2817" spans="3:7" s="25" customFormat="1" ht="13.8" x14ac:dyDescent="0.3">
      <c r="C2817" s="211"/>
      <c r="D2817" s="211"/>
      <c r="E2817" s="211"/>
      <c r="F2817" s="211"/>
      <c r="G2817" s="212"/>
    </row>
    <row r="2818" spans="3:7" s="25" customFormat="1" ht="13.8" x14ac:dyDescent="0.3">
      <c r="C2818" s="211"/>
      <c r="D2818" s="211"/>
      <c r="E2818" s="211"/>
      <c r="F2818" s="211"/>
      <c r="G2818" s="212"/>
    </row>
    <row r="2819" spans="3:7" s="25" customFormat="1" ht="13.8" x14ac:dyDescent="0.3">
      <c r="C2819" s="211"/>
      <c r="D2819" s="211"/>
      <c r="E2819" s="211"/>
      <c r="F2819" s="211"/>
      <c r="G2819" s="212"/>
    </row>
    <row r="2820" spans="3:7" s="25" customFormat="1" ht="13.8" x14ac:dyDescent="0.3">
      <c r="C2820" s="211"/>
      <c r="D2820" s="211"/>
      <c r="E2820" s="211"/>
      <c r="F2820" s="211"/>
      <c r="G2820" s="212"/>
    </row>
    <row r="2821" spans="3:7" s="25" customFormat="1" ht="13.8" x14ac:dyDescent="0.3">
      <c r="C2821" s="211"/>
      <c r="D2821" s="211"/>
      <c r="E2821" s="211"/>
      <c r="F2821" s="211"/>
      <c r="G2821" s="212"/>
    </row>
    <row r="2822" spans="3:7" s="25" customFormat="1" ht="13.8" x14ac:dyDescent="0.3">
      <c r="C2822" s="211"/>
      <c r="D2822" s="211"/>
      <c r="E2822" s="211"/>
      <c r="F2822" s="211"/>
      <c r="G2822" s="212"/>
    </row>
    <row r="2823" spans="3:7" s="25" customFormat="1" ht="13.8" x14ac:dyDescent="0.3">
      <c r="C2823" s="211"/>
      <c r="D2823" s="211"/>
      <c r="E2823" s="211"/>
      <c r="F2823" s="211"/>
      <c r="G2823" s="212"/>
    </row>
    <row r="2824" spans="3:7" s="25" customFormat="1" ht="13.8" x14ac:dyDescent="0.3">
      <c r="C2824" s="211"/>
      <c r="D2824" s="211"/>
      <c r="E2824" s="211"/>
      <c r="F2824" s="211"/>
      <c r="G2824" s="212"/>
    </row>
    <row r="2825" spans="3:7" s="25" customFormat="1" ht="13.8" x14ac:dyDescent="0.3">
      <c r="C2825" s="211"/>
      <c r="D2825" s="211"/>
      <c r="E2825" s="211"/>
      <c r="F2825" s="211"/>
      <c r="G2825" s="212"/>
    </row>
    <row r="2826" spans="3:7" s="25" customFormat="1" ht="13.8" x14ac:dyDescent="0.3">
      <c r="C2826" s="211"/>
      <c r="D2826" s="211"/>
      <c r="E2826" s="211"/>
      <c r="F2826" s="211"/>
      <c r="G2826" s="212"/>
    </row>
    <row r="2827" spans="3:7" s="25" customFormat="1" ht="13.8" x14ac:dyDescent="0.3">
      <c r="C2827" s="211"/>
      <c r="D2827" s="211"/>
      <c r="E2827" s="211"/>
      <c r="F2827" s="211"/>
      <c r="G2827" s="212"/>
    </row>
    <row r="2828" spans="3:7" s="25" customFormat="1" ht="13.8" x14ac:dyDescent="0.3">
      <c r="C2828" s="211"/>
      <c r="D2828" s="211"/>
      <c r="E2828" s="211"/>
      <c r="F2828" s="211"/>
      <c r="G2828" s="212"/>
    </row>
    <row r="2829" spans="3:7" s="25" customFormat="1" ht="13.8" x14ac:dyDescent="0.3">
      <c r="C2829" s="211"/>
      <c r="D2829" s="211"/>
      <c r="E2829" s="211"/>
      <c r="F2829" s="211"/>
      <c r="G2829" s="212"/>
    </row>
    <row r="2830" spans="3:7" s="25" customFormat="1" ht="13.8" x14ac:dyDescent="0.3">
      <c r="C2830" s="211"/>
      <c r="D2830" s="211"/>
      <c r="E2830" s="211"/>
      <c r="F2830" s="211"/>
      <c r="G2830" s="212"/>
    </row>
    <row r="2831" spans="3:7" s="25" customFormat="1" ht="13.8" x14ac:dyDescent="0.3">
      <c r="C2831" s="211"/>
      <c r="D2831" s="211"/>
      <c r="E2831" s="211"/>
      <c r="F2831" s="211"/>
      <c r="G2831" s="212"/>
    </row>
    <row r="2832" spans="3:7" s="25" customFormat="1" ht="13.8" x14ac:dyDescent="0.3">
      <c r="C2832" s="211"/>
      <c r="D2832" s="211"/>
      <c r="E2832" s="211"/>
      <c r="F2832" s="211"/>
      <c r="G2832" s="212"/>
    </row>
    <row r="2833" spans="3:7" s="25" customFormat="1" ht="13.8" x14ac:dyDescent="0.3">
      <c r="C2833" s="211"/>
      <c r="D2833" s="211"/>
      <c r="E2833" s="211"/>
      <c r="F2833" s="211"/>
      <c r="G2833" s="212"/>
    </row>
    <row r="2834" spans="3:7" s="25" customFormat="1" ht="13.8" x14ac:dyDescent="0.3">
      <c r="C2834" s="211"/>
      <c r="D2834" s="211"/>
      <c r="E2834" s="211"/>
      <c r="F2834" s="211"/>
      <c r="G2834" s="212"/>
    </row>
    <row r="2835" spans="3:7" s="25" customFormat="1" ht="13.8" x14ac:dyDescent="0.3">
      <c r="C2835" s="211"/>
      <c r="D2835" s="211"/>
      <c r="E2835" s="211"/>
      <c r="F2835" s="211"/>
      <c r="G2835" s="212"/>
    </row>
    <row r="2836" spans="3:7" s="25" customFormat="1" ht="13.8" x14ac:dyDescent="0.3">
      <c r="C2836" s="211"/>
      <c r="D2836" s="211"/>
      <c r="E2836" s="211"/>
      <c r="F2836" s="211"/>
      <c r="G2836" s="212"/>
    </row>
    <row r="2837" spans="3:7" s="25" customFormat="1" ht="13.8" x14ac:dyDescent="0.3">
      <c r="C2837" s="211"/>
      <c r="D2837" s="211"/>
      <c r="E2837" s="211"/>
      <c r="F2837" s="211"/>
      <c r="G2837" s="212"/>
    </row>
    <row r="2838" spans="3:7" s="25" customFormat="1" ht="13.8" x14ac:dyDescent="0.3">
      <c r="C2838" s="211"/>
      <c r="D2838" s="211"/>
      <c r="E2838" s="211"/>
      <c r="F2838" s="211"/>
      <c r="G2838" s="212"/>
    </row>
    <row r="2839" spans="3:7" s="25" customFormat="1" ht="13.8" x14ac:dyDescent="0.3">
      <c r="C2839" s="211"/>
      <c r="D2839" s="211"/>
      <c r="E2839" s="211"/>
      <c r="F2839" s="211"/>
      <c r="G2839" s="212"/>
    </row>
    <row r="2840" spans="3:7" s="25" customFormat="1" ht="13.8" x14ac:dyDescent="0.3">
      <c r="C2840" s="211"/>
      <c r="D2840" s="211"/>
      <c r="E2840" s="211"/>
      <c r="F2840" s="211"/>
      <c r="G2840" s="212"/>
    </row>
    <row r="2841" spans="3:7" s="25" customFormat="1" ht="13.8" x14ac:dyDescent="0.3">
      <c r="C2841" s="211"/>
      <c r="D2841" s="211"/>
      <c r="E2841" s="211"/>
      <c r="F2841" s="211"/>
      <c r="G2841" s="212"/>
    </row>
    <row r="2842" spans="3:7" s="25" customFormat="1" ht="13.8" x14ac:dyDescent="0.3">
      <c r="C2842" s="211"/>
      <c r="D2842" s="211"/>
      <c r="E2842" s="211"/>
      <c r="F2842" s="211"/>
      <c r="G2842" s="212"/>
    </row>
    <row r="2843" spans="3:7" s="25" customFormat="1" ht="13.8" x14ac:dyDescent="0.3">
      <c r="C2843" s="211"/>
      <c r="D2843" s="211"/>
      <c r="E2843" s="211"/>
      <c r="F2843" s="211"/>
      <c r="G2843" s="212"/>
    </row>
    <row r="2844" spans="3:7" s="25" customFormat="1" ht="13.8" x14ac:dyDescent="0.3">
      <c r="C2844" s="211"/>
      <c r="D2844" s="211"/>
      <c r="E2844" s="211"/>
      <c r="F2844" s="211"/>
      <c r="G2844" s="212"/>
    </row>
    <row r="2845" spans="3:7" s="25" customFormat="1" ht="13.8" x14ac:dyDescent="0.3">
      <c r="C2845" s="211"/>
      <c r="D2845" s="211"/>
      <c r="E2845" s="211"/>
      <c r="F2845" s="211"/>
      <c r="G2845" s="212"/>
    </row>
    <row r="2846" spans="3:7" s="25" customFormat="1" ht="13.8" x14ac:dyDescent="0.3">
      <c r="C2846" s="211"/>
      <c r="D2846" s="211"/>
      <c r="E2846" s="211"/>
      <c r="F2846" s="211"/>
      <c r="G2846" s="212"/>
    </row>
    <row r="2847" spans="3:7" s="25" customFormat="1" ht="13.8" x14ac:dyDescent="0.3">
      <c r="C2847" s="211"/>
      <c r="D2847" s="211"/>
      <c r="E2847" s="211"/>
      <c r="F2847" s="211"/>
      <c r="G2847" s="212"/>
    </row>
    <row r="2848" spans="3:7" s="25" customFormat="1" ht="13.8" x14ac:dyDescent="0.3">
      <c r="C2848" s="211"/>
      <c r="D2848" s="211"/>
      <c r="E2848" s="211"/>
      <c r="F2848" s="211"/>
      <c r="G2848" s="212"/>
    </row>
    <row r="2849" spans="3:7" s="25" customFormat="1" ht="13.8" x14ac:dyDescent="0.3">
      <c r="C2849" s="211"/>
      <c r="D2849" s="211"/>
      <c r="E2849" s="211"/>
      <c r="F2849" s="211"/>
      <c r="G2849" s="212"/>
    </row>
    <row r="2850" spans="3:7" s="25" customFormat="1" ht="13.8" x14ac:dyDescent="0.3">
      <c r="C2850" s="211"/>
      <c r="D2850" s="211"/>
      <c r="E2850" s="211"/>
      <c r="F2850" s="211"/>
      <c r="G2850" s="212"/>
    </row>
    <row r="2851" spans="3:7" s="25" customFormat="1" ht="13.8" x14ac:dyDescent="0.3">
      <c r="C2851" s="211"/>
      <c r="D2851" s="211"/>
      <c r="E2851" s="211"/>
      <c r="F2851" s="211"/>
      <c r="G2851" s="212"/>
    </row>
    <row r="2852" spans="3:7" s="25" customFormat="1" ht="13.8" x14ac:dyDescent="0.3">
      <c r="C2852" s="211"/>
      <c r="D2852" s="211"/>
      <c r="E2852" s="211"/>
      <c r="F2852" s="211"/>
      <c r="G2852" s="212"/>
    </row>
    <row r="2853" spans="3:7" s="25" customFormat="1" ht="13.8" x14ac:dyDescent="0.3">
      <c r="C2853" s="211"/>
      <c r="D2853" s="211"/>
      <c r="E2853" s="211"/>
      <c r="F2853" s="211"/>
      <c r="G2853" s="212"/>
    </row>
    <row r="2854" spans="3:7" s="25" customFormat="1" ht="13.8" x14ac:dyDescent="0.3">
      <c r="C2854" s="211"/>
      <c r="D2854" s="211"/>
      <c r="E2854" s="211"/>
      <c r="F2854" s="211"/>
      <c r="G2854" s="212"/>
    </row>
    <row r="2855" spans="3:7" s="25" customFormat="1" ht="13.8" x14ac:dyDescent="0.3">
      <c r="C2855" s="211"/>
      <c r="D2855" s="211"/>
      <c r="E2855" s="211"/>
      <c r="F2855" s="211"/>
      <c r="G2855" s="212"/>
    </row>
    <row r="2856" spans="3:7" s="25" customFormat="1" ht="13.8" x14ac:dyDescent="0.3">
      <c r="C2856" s="211"/>
      <c r="D2856" s="211"/>
      <c r="E2856" s="211"/>
      <c r="F2856" s="211"/>
      <c r="G2856" s="212"/>
    </row>
    <row r="2857" spans="3:7" s="25" customFormat="1" ht="13.8" x14ac:dyDescent="0.3">
      <c r="C2857" s="211"/>
      <c r="D2857" s="211"/>
      <c r="E2857" s="211"/>
      <c r="F2857" s="211"/>
      <c r="G2857" s="212"/>
    </row>
    <row r="2858" spans="3:7" s="25" customFormat="1" ht="13.8" x14ac:dyDescent="0.3">
      <c r="C2858" s="211"/>
      <c r="D2858" s="211"/>
      <c r="E2858" s="211"/>
      <c r="F2858" s="211"/>
      <c r="G2858" s="212"/>
    </row>
    <row r="2859" spans="3:7" s="25" customFormat="1" ht="13.8" x14ac:dyDescent="0.3">
      <c r="C2859" s="211"/>
      <c r="D2859" s="211"/>
      <c r="E2859" s="211"/>
      <c r="F2859" s="211"/>
      <c r="G2859" s="212"/>
    </row>
    <row r="2860" spans="3:7" s="25" customFormat="1" ht="13.8" x14ac:dyDescent="0.3">
      <c r="C2860" s="211"/>
      <c r="D2860" s="211"/>
      <c r="E2860" s="211"/>
      <c r="F2860" s="211"/>
      <c r="G2860" s="212"/>
    </row>
    <row r="2861" spans="3:7" s="25" customFormat="1" ht="13.8" x14ac:dyDescent="0.3">
      <c r="C2861" s="211"/>
      <c r="D2861" s="211"/>
      <c r="E2861" s="211"/>
      <c r="F2861" s="211"/>
      <c r="G2861" s="212"/>
    </row>
    <row r="2862" spans="3:7" s="25" customFormat="1" ht="13.8" x14ac:dyDescent="0.3">
      <c r="C2862" s="211"/>
      <c r="D2862" s="211"/>
      <c r="E2862" s="211"/>
      <c r="F2862" s="211"/>
      <c r="G2862" s="212"/>
    </row>
    <row r="2863" spans="3:7" s="25" customFormat="1" ht="13.8" x14ac:dyDescent="0.3">
      <c r="C2863" s="211"/>
      <c r="D2863" s="211"/>
      <c r="E2863" s="211"/>
      <c r="F2863" s="211"/>
      <c r="G2863" s="212"/>
    </row>
    <row r="2864" spans="3:7" s="25" customFormat="1" ht="13.8" x14ac:dyDescent="0.3">
      <c r="C2864" s="211"/>
      <c r="D2864" s="211"/>
      <c r="E2864" s="211"/>
      <c r="F2864" s="211"/>
      <c r="G2864" s="212"/>
    </row>
    <row r="2865" spans="3:7" s="25" customFormat="1" ht="13.8" x14ac:dyDescent="0.3">
      <c r="C2865" s="211"/>
      <c r="D2865" s="211"/>
      <c r="E2865" s="211"/>
      <c r="F2865" s="211"/>
      <c r="G2865" s="212"/>
    </row>
    <row r="2866" spans="3:7" s="25" customFormat="1" ht="13.8" x14ac:dyDescent="0.3">
      <c r="C2866" s="211"/>
      <c r="D2866" s="211"/>
      <c r="E2866" s="211"/>
      <c r="F2866" s="211"/>
      <c r="G2866" s="212"/>
    </row>
    <row r="2867" spans="3:7" s="25" customFormat="1" ht="13.8" x14ac:dyDescent="0.3">
      <c r="C2867" s="211"/>
      <c r="D2867" s="211"/>
      <c r="E2867" s="211"/>
      <c r="F2867" s="211"/>
      <c r="G2867" s="212"/>
    </row>
    <row r="2868" spans="3:7" s="25" customFormat="1" ht="13.8" x14ac:dyDescent="0.3">
      <c r="C2868" s="211"/>
      <c r="D2868" s="211"/>
      <c r="E2868" s="211"/>
      <c r="F2868" s="211"/>
      <c r="G2868" s="212"/>
    </row>
    <row r="2869" spans="3:7" s="25" customFormat="1" ht="13.8" x14ac:dyDescent="0.3">
      <c r="C2869" s="211"/>
      <c r="D2869" s="211"/>
      <c r="E2869" s="211"/>
      <c r="F2869" s="211"/>
      <c r="G2869" s="212"/>
    </row>
    <row r="2870" spans="3:7" s="25" customFormat="1" ht="13.8" x14ac:dyDescent="0.3">
      <c r="C2870" s="211"/>
      <c r="D2870" s="211"/>
      <c r="E2870" s="211"/>
      <c r="F2870" s="211"/>
      <c r="G2870" s="212"/>
    </row>
    <row r="2871" spans="3:7" s="25" customFormat="1" ht="13.8" x14ac:dyDescent="0.3">
      <c r="C2871" s="211"/>
      <c r="D2871" s="211"/>
      <c r="E2871" s="211"/>
      <c r="F2871" s="211"/>
      <c r="G2871" s="212"/>
    </row>
    <row r="2872" spans="3:7" s="25" customFormat="1" ht="13.8" x14ac:dyDescent="0.3">
      <c r="C2872" s="211"/>
      <c r="D2872" s="211"/>
      <c r="E2872" s="211"/>
      <c r="F2872" s="211"/>
      <c r="G2872" s="212"/>
    </row>
    <row r="2873" spans="3:7" s="25" customFormat="1" ht="13.8" x14ac:dyDescent="0.3">
      <c r="C2873" s="211"/>
      <c r="D2873" s="211"/>
      <c r="E2873" s="211"/>
      <c r="F2873" s="211"/>
      <c r="G2873" s="212"/>
    </row>
    <row r="2874" spans="3:7" s="25" customFormat="1" ht="13.8" x14ac:dyDescent="0.3">
      <c r="C2874" s="211"/>
      <c r="D2874" s="211"/>
      <c r="E2874" s="211"/>
      <c r="F2874" s="211"/>
      <c r="G2874" s="212"/>
    </row>
    <row r="2875" spans="3:7" s="25" customFormat="1" ht="13.8" x14ac:dyDescent="0.3">
      <c r="C2875" s="211"/>
      <c r="D2875" s="211"/>
      <c r="E2875" s="211"/>
      <c r="F2875" s="211"/>
      <c r="G2875" s="212"/>
    </row>
    <row r="2876" spans="3:7" s="25" customFormat="1" ht="13.8" x14ac:dyDescent="0.3">
      <c r="C2876" s="211"/>
      <c r="D2876" s="211"/>
      <c r="E2876" s="211"/>
      <c r="F2876" s="211"/>
      <c r="G2876" s="212"/>
    </row>
    <row r="2877" spans="3:7" s="25" customFormat="1" ht="13.8" x14ac:dyDescent="0.3">
      <c r="C2877" s="211"/>
      <c r="D2877" s="211"/>
      <c r="E2877" s="211"/>
      <c r="F2877" s="211"/>
      <c r="G2877" s="212"/>
    </row>
    <row r="2878" spans="3:7" s="25" customFormat="1" ht="13.8" x14ac:dyDescent="0.3">
      <c r="C2878" s="211"/>
      <c r="D2878" s="211"/>
      <c r="E2878" s="211"/>
      <c r="F2878" s="211"/>
      <c r="G2878" s="212"/>
    </row>
    <row r="2879" spans="3:7" s="25" customFormat="1" ht="13.8" x14ac:dyDescent="0.3">
      <c r="C2879" s="211"/>
      <c r="D2879" s="211"/>
      <c r="E2879" s="211"/>
      <c r="F2879" s="211"/>
      <c r="G2879" s="212"/>
    </row>
    <row r="2880" spans="3:7" s="25" customFormat="1" ht="13.8" x14ac:dyDescent="0.3">
      <c r="C2880" s="211"/>
      <c r="D2880" s="211"/>
      <c r="E2880" s="211"/>
      <c r="F2880" s="211"/>
      <c r="G2880" s="212"/>
    </row>
    <row r="2881" spans="3:7" s="25" customFormat="1" ht="13.8" x14ac:dyDescent="0.3">
      <c r="C2881" s="211"/>
      <c r="D2881" s="211"/>
      <c r="E2881" s="211"/>
      <c r="F2881" s="211"/>
      <c r="G2881" s="212"/>
    </row>
    <row r="2882" spans="3:7" s="25" customFormat="1" ht="13.8" x14ac:dyDescent="0.3">
      <c r="C2882" s="211"/>
      <c r="D2882" s="211"/>
      <c r="E2882" s="211"/>
      <c r="F2882" s="211"/>
      <c r="G2882" s="212"/>
    </row>
    <row r="2883" spans="3:7" s="25" customFormat="1" ht="13.8" x14ac:dyDescent="0.3">
      <c r="C2883" s="211"/>
      <c r="D2883" s="211"/>
      <c r="E2883" s="211"/>
      <c r="F2883" s="211"/>
      <c r="G2883" s="212"/>
    </row>
    <row r="2884" spans="3:7" s="25" customFormat="1" ht="13.8" x14ac:dyDescent="0.3">
      <c r="C2884" s="211"/>
      <c r="D2884" s="211"/>
      <c r="E2884" s="211"/>
      <c r="F2884" s="211"/>
      <c r="G2884" s="212"/>
    </row>
    <row r="2885" spans="3:7" s="25" customFormat="1" ht="13.8" x14ac:dyDescent="0.3">
      <c r="C2885" s="211"/>
      <c r="D2885" s="211"/>
      <c r="E2885" s="211"/>
      <c r="F2885" s="211"/>
      <c r="G2885" s="212"/>
    </row>
    <row r="2886" spans="3:7" s="25" customFormat="1" ht="13.8" x14ac:dyDescent="0.3">
      <c r="C2886" s="211"/>
      <c r="D2886" s="211"/>
      <c r="E2886" s="211"/>
      <c r="F2886" s="211"/>
      <c r="G2886" s="212"/>
    </row>
    <row r="2887" spans="3:7" s="25" customFormat="1" ht="13.8" x14ac:dyDescent="0.3">
      <c r="C2887" s="211"/>
      <c r="D2887" s="211"/>
      <c r="E2887" s="211"/>
      <c r="F2887" s="211"/>
      <c r="G2887" s="212"/>
    </row>
    <row r="2888" spans="3:7" s="25" customFormat="1" ht="13.8" x14ac:dyDescent="0.3">
      <c r="C2888" s="211"/>
      <c r="D2888" s="211"/>
      <c r="E2888" s="211"/>
      <c r="F2888" s="211"/>
      <c r="G2888" s="212"/>
    </row>
    <row r="2889" spans="3:7" s="25" customFormat="1" ht="13.8" x14ac:dyDescent="0.3">
      <c r="C2889" s="211"/>
      <c r="D2889" s="211"/>
      <c r="E2889" s="211"/>
      <c r="F2889" s="211"/>
      <c r="G2889" s="212"/>
    </row>
    <row r="2890" spans="3:7" s="25" customFormat="1" ht="13.8" x14ac:dyDescent="0.3">
      <c r="C2890" s="211"/>
      <c r="D2890" s="211"/>
      <c r="E2890" s="211"/>
      <c r="F2890" s="211"/>
      <c r="G2890" s="212"/>
    </row>
    <row r="2891" spans="3:7" s="25" customFormat="1" ht="13.8" x14ac:dyDescent="0.3">
      <c r="C2891" s="211"/>
      <c r="D2891" s="211"/>
      <c r="E2891" s="211"/>
      <c r="F2891" s="211"/>
      <c r="G2891" s="212"/>
    </row>
    <row r="2892" spans="3:7" s="25" customFormat="1" ht="13.8" x14ac:dyDescent="0.3">
      <c r="C2892" s="211"/>
      <c r="D2892" s="211"/>
      <c r="E2892" s="211"/>
      <c r="F2892" s="211"/>
      <c r="G2892" s="212"/>
    </row>
    <row r="2893" spans="3:7" s="25" customFormat="1" ht="13.8" x14ac:dyDescent="0.3">
      <c r="C2893" s="211"/>
      <c r="D2893" s="211"/>
      <c r="E2893" s="211"/>
      <c r="F2893" s="211"/>
      <c r="G2893" s="212"/>
    </row>
    <row r="2894" spans="3:7" s="25" customFormat="1" ht="13.8" x14ac:dyDescent="0.3">
      <c r="C2894" s="211"/>
      <c r="D2894" s="211"/>
      <c r="E2894" s="211"/>
      <c r="F2894" s="211"/>
      <c r="G2894" s="212"/>
    </row>
    <row r="2895" spans="3:7" s="25" customFormat="1" ht="13.8" x14ac:dyDescent="0.3">
      <c r="C2895" s="211"/>
      <c r="D2895" s="211"/>
      <c r="E2895" s="211"/>
      <c r="F2895" s="211"/>
      <c r="G2895" s="212"/>
    </row>
    <row r="2896" spans="3:7" s="25" customFormat="1" ht="13.8" x14ac:dyDescent="0.3">
      <c r="C2896" s="211"/>
      <c r="D2896" s="211"/>
      <c r="E2896" s="211"/>
      <c r="F2896" s="211"/>
      <c r="G2896" s="212"/>
    </row>
    <row r="2897" spans="3:7" s="25" customFormat="1" ht="13.8" x14ac:dyDescent="0.3">
      <c r="C2897" s="211"/>
      <c r="D2897" s="211"/>
      <c r="E2897" s="211"/>
      <c r="F2897" s="211"/>
      <c r="G2897" s="212"/>
    </row>
    <row r="2898" spans="3:7" s="25" customFormat="1" ht="13.8" x14ac:dyDescent="0.3">
      <c r="C2898" s="211"/>
      <c r="D2898" s="211"/>
      <c r="E2898" s="211"/>
      <c r="F2898" s="211"/>
      <c r="G2898" s="212"/>
    </row>
    <row r="2899" spans="3:7" s="25" customFormat="1" ht="13.8" x14ac:dyDescent="0.3">
      <c r="C2899" s="211"/>
      <c r="D2899" s="211"/>
      <c r="E2899" s="211"/>
      <c r="F2899" s="211"/>
      <c r="G2899" s="212"/>
    </row>
    <row r="2900" spans="3:7" s="25" customFormat="1" ht="13.8" x14ac:dyDescent="0.3">
      <c r="C2900" s="211"/>
      <c r="D2900" s="211"/>
      <c r="E2900" s="211"/>
      <c r="F2900" s="211"/>
      <c r="G2900" s="212"/>
    </row>
    <row r="2901" spans="3:7" s="25" customFormat="1" ht="13.8" x14ac:dyDescent="0.3">
      <c r="C2901" s="211"/>
      <c r="D2901" s="211"/>
      <c r="E2901" s="211"/>
      <c r="F2901" s="211"/>
      <c r="G2901" s="212"/>
    </row>
    <row r="2902" spans="3:7" s="25" customFormat="1" ht="13.8" x14ac:dyDescent="0.3">
      <c r="C2902" s="211"/>
      <c r="D2902" s="211"/>
      <c r="E2902" s="211"/>
      <c r="F2902" s="211"/>
      <c r="G2902" s="212"/>
    </row>
    <row r="2903" spans="3:7" s="25" customFormat="1" ht="13.8" x14ac:dyDescent="0.3">
      <c r="C2903" s="211"/>
      <c r="D2903" s="211"/>
      <c r="E2903" s="211"/>
      <c r="F2903" s="211"/>
      <c r="G2903" s="212"/>
    </row>
    <row r="2904" spans="3:7" s="25" customFormat="1" ht="13.8" x14ac:dyDescent="0.3">
      <c r="C2904" s="211"/>
      <c r="D2904" s="211"/>
      <c r="E2904" s="211"/>
      <c r="F2904" s="211"/>
      <c r="G2904" s="212"/>
    </row>
    <row r="2905" spans="3:7" s="25" customFormat="1" ht="13.8" x14ac:dyDescent="0.3">
      <c r="C2905" s="211"/>
      <c r="D2905" s="211"/>
      <c r="E2905" s="211"/>
      <c r="F2905" s="211"/>
      <c r="G2905" s="212"/>
    </row>
    <row r="2906" spans="3:7" s="25" customFormat="1" ht="13.8" x14ac:dyDescent="0.3">
      <c r="C2906" s="211"/>
      <c r="D2906" s="211"/>
      <c r="E2906" s="211"/>
      <c r="F2906" s="211"/>
      <c r="G2906" s="212"/>
    </row>
    <row r="2907" spans="3:7" s="25" customFormat="1" ht="13.8" x14ac:dyDescent="0.3">
      <c r="C2907" s="211"/>
      <c r="D2907" s="211"/>
      <c r="E2907" s="211"/>
      <c r="F2907" s="211"/>
      <c r="G2907" s="212"/>
    </row>
    <row r="2908" spans="3:7" s="25" customFormat="1" ht="13.8" x14ac:dyDescent="0.3">
      <c r="C2908" s="211"/>
      <c r="D2908" s="211"/>
      <c r="E2908" s="211"/>
      <c r="F2908" s="211"/>
      <c r="G2908" s="212"/>
    </row>
    <row r="2909" spans="3:7" s="25" customFormat="1" ht="13.8" x14ac:dyDescent="0.3">
      <c r="C2909" s="211"/>
      <c r="D2909" s="211"/>
      <c r="E2909" s="211"/>
      <c r="F2909" s="211"/>
      <c r="G2909" s="212"/>
    </row>
    <row r="2910" spans="3:7" s="25" customFormat="1" ht="13.8" x14ac:dyDescent="0.3">
      <c r="C2910" s="211"/>
      <c r="D2910" s="211"/>
      <c r="E2910" s="211"/>
      <c r="F2910" s="211"/>
      <c r="G2910" s="212"/>
    </row>
    <row r="2911" spans="3:7" s="25" customFormat="1" ht="13.8" x14ac:dyDescent="0.3">
      <c r="C2911" s="211"/>
      <c r="D2911" s="211"/>
      <c r="E2911" s="211"/>
      <c r="F2911" s="211"/>
      <c r="G2911" s="212"/>
    </row>
    <row r="2912" spans="3:7" s="25" customFormat="1" ht="13.8" x14ac:dyDescent="0.3">
      <c r="C2912" s="211"/>
      <c r="D2912" s="211"/>
      <c r="E2912" s="211"/>
      <c r="F2912" s="211"/>
      <c r="G2912" s="212"/>
    </row>
    <row r="2913" spans="3:7" s="25" customFormat="1" ht="13.8" x14ac:dyDescent="0.3">
      <c r="C2913" s="211"/>
      <c r="D2913" s="211"/>
      <c r="E2913" s="211"/>
      <c r="F2913" s="211"/>
      <c r="G2913" s="212"/>
    </row>
    <row r="2914" spans="3:7" s="25" customFormat="1" ht="13.8" x14ac:dyDescent="0.3">
      <c r="C2914" s="211"/>
      <c r="D2914" s="211"/>
      <c r="E2914" s="211"/>
      <c r="F2914" s="211"/>
      <c r="G2914" s="212"/>
    </row>
    <row r="2915" spans="3:7" s="25" customFormat="1" ht="13.8" x14ac:dyDescent="0.3">
      <c r="C2915" s="211"/>
      <c r="D2915" s="211"/>
      <c r="E2915" s="211"/>
      <c r="F2915" s="211"/>
      <c r="G2915" s="212"/>
    </row>
    <row r="2916" spans="3:7" s="25" customFormat="1" ht="13.8" x14ac:dyDescent="0.3">
      <c r="C2916" s="211"/>
      <c r="D2916" s="211"/>
      <c r="E2916" s="211"/>
      <c r="F2916" s="211"/>
      <c r="G2916" s="212"/>
    </row>
    <row r="2917" spans="3:7" s="25" customFormat="1" ht="13.8" x14ac:dyDescent="0.3">
      <c r="C2917" s="211"/>
      <c r="D2917" s="211"/>
      <c r="E2917" s="211"/>
      <c r="F2917" s="211"/>
      <c r="G2917" s="212"/>
    </row>
    <row r="2918" spans="3:7" s="25" customFormat="1" ht="13.8" x14ac:dyDescent="0.3">
      <c r="C2918" s="211"/>
      <c r="D2918" s="211"/>
      <c r="E2918" s="211"/>
      <c r="F2918" s="211"/>
      <c r="G2918" s="212"/>
    </row>
    <row r="2919" spans="3:7" s="25" customFormat="1" ht="13.8" x14ac:dyDescent="0.3">
      <c r="C2919" s="211"/>
      <c r="D2919" s="211"/>
      <c r="E2919" s="211"/>
      <c r="F2919" s="211"/>
      <c r="G2919" s="212"/>
    </row>
    <row r="2920" spans="3:7" s="25" customFormat="1" ht="13.8" x14ac:dyDescent="0.3">
      <c r="C2920" s="211"/>
      <c r="D2920" s="211"/>
      <c r="E2920" s="211"/>
      <c r="F2920" s="211"/>
      <c r="G2920" s="212"/>
    </row>
    <row r="2921" spans="3:7" s="25" customFormat="1" ht="13.8" x14ac:dyDescent="0.3">
      <c r="C2921" s="211"/>
      <c r="D2921" s="211"/>
      <c r="E2921" s="211"/>
      <c r="F2921" s="211"/>
      <c r="G2921" s="212"/>
    </row>
    <row r="2922" spans="3:7" s="25" customFormat="1" ht="13.8" x14ac:dyDescent="0.3">
      <c r="C2922" s="211"/>
      <c r="D2922" s="211"/>
      <c r="E2922" s="211"/>
      <c r="F2922" s="211"/>
      <c r="G2922" s="212"/>
    </row>
    <row r="2923" spans="3:7" s="25" customFormat="1" ht="13.8" x14ac:dyDescent="0.3">
      <c r="C2923" s="211"/>
      <c r="D2923" s="211"/>
      <c r="E2923" s="211"/>
      <c r="F2923" s="211"/>
      <c r="G2923" s="212"/>
    </row>
    <row r="2924" spans="3:7" s="25" customFormat="1" ht="13.8" x14ac:dyDescent="0.3">
      <c r="C2924" s="211"/>
      <c r="D2924" s="211"/>
      <c r="E2924" s="211"/>
      <c r="F2924" s="211"/>
      <c r="G2924" s="212"/>
    </row>
    <row r="2925" spans="3:7" s="25" customFormat="1" ht="13.8" x14ac:dyDescent="0.3">
      <c r="C2925" s="211"/>
      <c r="D2925" s="211"/>
      <c r="E2925" s="211"/>
      <c r="F2925" s="211"/>
      <c r="G2925" s="212"/>
    </row>
    <row r="2926" spans="3:7" s="25" customFormat="1" ht="13.8" x14ac:dyDescent="0.3">
      <c r="C2926" s="211"/>
      <c r="D2926" s="211"/>
      <c r="E2926" s="211"/>
      <c r="F2926" s="211"/>
      <c r="G2926" s="212"/>
    </row>
    <row r="2927" spans="3:7" s="25" customFormat="1" ht="13.8" x14ac:dyDescent="0.3">
      <c r="C2927" s="211"/>
      <c r="D2927" s="211"/>
      <c r="E2927" s="211"/>
      <c r="F2927" s="211"/>
      <c r="G2927" s="212"/>
    </row>
    <row r="2928" spans="3:7" s="25" customFormat="1" ht="13.8" x14ac:dyDescent="0.3">
      <c r="C2928" s="211"/>
      <c r="D2928" s="211"/>
      <c r="E2928" s="211"/>
      <c r="F2928" s="211"/>
      <c r="G2928" s="212"/>
    </row>
    <row r="2929" spans="3:7" s="25" customFormat="1" ht="13.8" x14ac:dyDescent="0.3">
      <c r="C2929" s="211"/>
      <c r="D2929" s="211"/>
      <c r="E2929" s="211"/>
      <c r="F2929" s="211"/>
      <c r="G2929" s="212"/>
    </row>
    <row r="2930" spans="3:7" s="25" customFormat="1" ht="13.8" x14ac:dyDescent="0.3">
      <c r="C2930" s="211"/>
      <c r="D2930" s="211"/>
      <c r="E2930" s="211"/>
      <c r="F2930" s="211"/>
      <c r="G2930" s="212"/>
    </row>
    <row r="2931" spans="3:7" s="25" customFormat="1" ht="13.8" x14ac:dyDescent="0.3">
      <c r="C2931" s="211"/>
      <c r="D2931" s="211"/>
      <c r="E2931" s="211"/>
      <c r="F2931" s="211"/>
      <c r="G2931" s="212"/>
    </row>
    <row r="2932" spans="3:7" s="25" customFormat="1" ht="13.8" x14ac:dyDescent="0.3">
      <c r="C2932" s="211"/>
      <c r="D2932" s="211"/>
      <c r="E2932" s="211"/>
      <c r="F2932" s="211"/>
      <c r="G2932" s="212"/>
    </row>
    <row r="2933" spans="3:7" s="25" customFormat="1" ht="13.8" x14ac:dyDescent="0.3">
      <c r="C2933" s="211"/>
      <c r="D2933" s="211"/>
      <c r="E2933" s="211"/>
      <c r="F2933" s="211"/>
      <c r="G2933" s="212"/>
    </row>
    <row r="2934" spans="3:7" s="25" customFormat="1" ht="13.8" x14ac:dyDescent="0.3">
      <c r="C2934" s="211"/>
      <c r="D2934" s="211"/>
      <c r="E2934" s="211"/>
      <c r="F2934" s="211"/>
      <c r="G2934" s="212"/>
    </row>
    <row r="2935" spans="3:7" s="25" customFormat="1" ht="13.8" x14ac:dyDescent="0.3">
      <c r="C2935" s="211"/>
      <c r="D2935" s="211"/>
      <c r="E2935" s="211"/>
      <c r="F2935" s="211"/>
      <c r="G2935" s="212"/>
    </row>
    <row r="2936" spans="3:7" s="25" customFormat="1" ht="13.8" x14ac:dyDescent="0.3">
      <c r="C2936" s="211"/>
      <c r="D2936" s="211"/>
      <c r="E2936" s="211"/>
      <c r="F2936" s="211"/>
      <c r="G2936" s="212"/>
    </row>
    <row r="2937" spans="3:7" s="25" customFormat="1" ht="13.8" x14ac:dyDescent="0.3">
      <c r="C2937" s="211"/>
      <c r="D2937" s="211"/>
      <c r="E2937" s="211"/>
      <c r="F2937" s="211"/>
      <c r="G2937" s="212"/>
    </row>
    <row r="2938" spans="3:7" s="25" customFormat="1" ht="13.8" x14ac:dyDescent="0.3">
      <c r="C2938" s="211"/>
      <c r="D2938" s="211"/>
      <c r="E2938" s="211"/>
      <c r="F2938" s="211"/>
      <c r="G2938" s="212"/>
    </row>
    <row r="2939" spans="3:7" s="25" customFormat="1" ht="13.8" x14ac:dyDescent="0.3">
      <c r="C2939" s="211"/>
      <c r="D2939" s="211"/>
      <c r="E2939" s="211"/>
      <c r="F2939" s="211"/>
      <c r="G2939" s="212"/>
    </row>
    <row r="2940" spans="3:7" s="25" customFormat="1" ht="13.8" x14ac:dyDescent="0.3">
      <c r="C2940" s="211"/>
      <c r="D2940" s="211"/>
      <c r="E2940" s="211"/>
      <c r="F2940" s="211"/>
      <c r="G2940" s="212"/>
    </row>
    <row r="2941" spans="3:7" s="25" customFormat="1" ht="13.8" x14ac:dyDescent="0.3">
      <c r="C2941" s="211"/>
      <c r="D2941" s="211"/>
      <c r="E2941" s="211"/>
      <c r="F2941" s="211"/>
      <c r="G2941" s="212"/>
    </row>
    <row r="2942" spans="3:7" s="25" customFormat="1" ht="13.8" x14ac:dyDescent="0.3">
      <c r="C2942" s="211"/>
      <c r="D2942" s="211"/>
      <c r="E2942" s="211"/>
      <c r="F2942" s="211"/>
      <c r="G2942" s="212"/>
    </row>
    <row r="2943" spans="3:7" s="25" customFormat="1" ht="13.8" x14ac:dyDescent="0.3">
      <c r="C2943" s="211"/>
      <c r="D2943" s="211"/>
      <c r="E2943" s="211"/>
      <c r="F2943" s="211"/>
      <c r="G2943" s="212"/>
    </row>
    <row r="2944" spans="3:7" s="25" customFormat="1" ht="13.8" x14ac:dyDescent="0.3">
      <c r="C2944" s="211"/>
      <c r="D2944" s="211"/>
      <c r="E2944" s="211"/>
      <c r="F2944" s="211"/>
      <c r="G2944" s="212"/>
    </row>
    <row r="2945" spans="3:7" s="25" customFormat="1" ht="13.8" x14ac:dyDescent="0.3">
      <c r="C2945" s="211"/>
      <c r="D2945" s="211"/>
      <c r="E2945" s="211"/>
      <c r="F2945" s="211"/>
      <c r="G2945" s="212"/>
    </row>
    <row r="2946" spans="3:7" s="25" customFormat="1" ht="13.8" x14ac:dyDescent="0.3">
      <c r="C2946" s="211"/>
      <c r="D2946" s="211"/>
      <c r="E2946" s="211"/>
      <c r="F2946" s="211"/>
      <c r="G2946" s="212"/>
    </row>
    <row r="2947" spans="3:7" s="25" customFormat="1" ht="13.8" x14ac:dyDescent="0.3">
      <c r="C2947" s="211"/>
      <c r="D2947" s="211"/>
      <c r="E2947" s="211"/>
      <c r="F2947" s="211"/>
      <c r="G2947" s="212"/>
    </row>
    <row r="2948" spans="3:7" s="25" customFormat="1" ht="13.8" x14ac:dyDescent="0.3">
      <c r="C2948" s="211"/>
      <c r="D2948" s="211"/>
      <c r="E2948" s="211"/>
      <c r="F2948" s="211"/>
      <c r="G2948" s="212"/>
    </row>
    <row r="2949" spans="3:7" s="25" customFormat="1" ht="13.8" x14ac:dyDescent="0.3">
      <c r="C2949" s="211"/>
      <c r="D2949" s="211"/>
      <c r="E2949" s="211"/>
      <c r="F2949" s="211"/>
      <c r="G2949" s="212"/>
    </row>
    <row r="2950" spans="3:7" s="25" customFormat="1" ht="13.8" x14ac:dyDescent="0.3">
      <c r="C2950" s="211"/>
      <c r="D2950" s="211"/>
      <c r="E2950" s="211"/>
      <c r="F2950" s="211"/>
      <c r="G2950" s="212"/>
    </row>
    <row r="2951" spans="3:7" s="25" customFormat="1" ht="13.8" x14ac:dyDescent="0.3">
      <c r="C2951" s="211"/>
      <c r="D2951" s="211"/>
      <c r="E2951" s="211"/>
      <c r="F2951" s="211"/>
      <c r="G2951" s="212"/>
    </row>
    <row r="2952" spans="3:7" s="25" customFormat="1" ht="13.8" x14ac:dyDescent="0.3">
      <c r="C2952" s="211"/>
      <c r="D2952" s="211"/>
      <c r="E2952" s="211"/>
      <c r="F2952" s="211"/>
      <c r="G2952" s="212"/>
    </row>
    <row r="2953" spans="3:7" s="25" customFormat="1" ht="13.8" x14ac:dyDescent="0.3">
      <c r="C2953" s="211"/>
      <c r="D2953" s="211"/>
      <c r="E2953" s="211"/>
      <c r="F2953" s="211"/>
      <c r="G2953" s="212"/>
    </row>
    <row r="2954" spans="3:7" s="25" customFormat="1" ht="13.8" x14ac:dyDescent="0.3">
      <c r="C2954" s="211"/>
      <c r="D2954" s="211"/>
      <c r="E2954" s="211"/>
      <c r="F2954" s="211"/>
      <c r="G2954" s="212"/>
    </row>
    <row r="2955" spans="3:7" s="25" customFormat="1" ht="13.8" x14ac:dyDescent="0.3">
      <c r="C2955" s="211"/>
      <c r="D2955" s="211"/>
      <c r="E2955" s="211"/>
      <c r="F2955" s="211"/>
      <c r="G2955" s="212"/>
    </row>
    <row r="2956" spans="3:7" s="25" customFormat="1" ht="13.8" x14ac:dyDescent="0.3">
      <c r="C2956" s="211"/>
      <c r="D2956" s="211"/>
      <c r="E2956" s="211"/>
      <c r="F2956" s="211"/>
      <c r="G2956" s="212"/>
    </row>
    <row r="2957" spans="3:7" s="25" customFormat="1" ht="13.8" x14ac:dyDescent="0.3">
      <c r="C2957" s="211"/>
      <c r="D2957" s="211"/>
      <c r="E2957" s="211"/>
      <c r="F2957" s="211"/>
      <c r="G2957" s="212"/>
    </row>
    <row r="2958" spans="3:7" s="25" customFormat="1" ht="13.8" x14ac:dyDescent="0.3">
      <c r="C2958" s="211"/>
      <c r="D2958" s="211"/>
      <c r="E2958" s="211"/>
      <c r="F2958" s="211"/>
      <c r="G2958" s="212"/>
    </row>
    <row r="2959" spans="3:7" s="25" customFormat="1" ht="13.8" x14ac:dyDescent="0.3">
      <c r="C2959" s="211"/>
      <c r="D2959" s="211"/>
      <c r="E2959" s="211"/>
      <c r="F2959" s="211"/>
      <c r="G2959" s="212"/>
    </row>
    <row r="2960" spans="3:7" s="25" customFormat="1" ht="13.8" x14ac:dyDescent="0.3">
      <c r="C2960" s="211"/>
      <c r="D2960" s="211"/>
      <c r="E2960" s="211"/>
      <c r="F2960" s="211"/>
      <c r="G2960" s="212"/>
    </row>
    <row r="2961" spans="3:7" s="25" customFormat="1" ht="13.8" x14ac:dyDescent="0.3">
      <c r="C2961" s="211"/>
      <c r="D2961" s="211"/>
      <c r="E2961" s="211"/>
      <c r="F2961" s="211"/>
      <c r="G2961" s="212"/>
    </row>
    <row r="2962" spans="3:7" s="25" customFormat="1" ht="13.8" x14ac:dyDescent="0.3">
      <c r="C2962" s="211"/>
      <c r="D2962" s="211"/>
      <c r="E2962" s="211"/>
      <c r="F2962" s="211"/>
      <c r="G2962" s="212"/>
    </row>
    <row r="2963" spans="3:7" s="25" customFormat="1" ht="13.8" x14ac:dyDescent="0.3">
      <c r="C2963" s="211"/>
      <c r="D2963" s="211"/>
      <c r="E2963" s="211"/>
      <c r="F2963" s="211"/>
      <c r="G2963" s="212"/>
    </row>
    <row r="2964" spans="3:7" s="25" customFormat="1" ht="13.8" x14ac:dyDescent="0.3">
      <c r="C2964" s="211"/>
      <c r="D2964" s="211"/>
      <c r="E2964" s="211"/>
      <c r="F2964" s="211"/>
      <c r="G2964" s="212"/>
    </row>
    <row r="2965" spans="3:7" s="25" customFormat="1" ht="13.8" x14ac:dyDescent="0.3">
      <c r="C2965" s="211"/>
      <c r="D2965" s="211"/>
      <c r="E2965" s="211"/>
      <c r="F2965" s="211"/>
      <c r="G2965" s="212"/>
    </row>
    <row r="2966" spans="3:7" s="25" customFormat="1" ht="13.8" x14ac:dyDescent="0.3">
      <c r="C2966" s="211"/>
      <c r="D2966" s="211"/>
      <c r="E2966" s="211"/>
      <c r="F2966" s="211"/>
      <c r="G2966" s="212"/>
    </row>
    <row r="2967" spans="3:7" s="25" customFormat="1" ht="13.8" x14ac:dyDescent="0.3">
      <c r="C2967" s="211"/>
      <c r="D2967" s="211"/>
      <c r="E2967" s="211"/>
      <c r="F2967" s="211"/>
      <c r="G2967" s="212"/>
    </row>
    <row r="2968" spans="3:7" s="25" customFormat="1" ht="13.8" x14ac:dyDescent="0.3">
      <c r="C2968" s="211"/>
      <c r="D2968" s="211"/>
      <c r="E2968" s="211"/>
      <c r="F2968" s="211"/>
      <c r="G2968" s="212"/>
    </row>
    <row r="2969" spans="3:7" s="25" customFormat="1" ht="13.8" x14ac:dyDescent="0.3">
      <c r="C2969" s="211"/>
      <c r="D2969" s="211"/>
      <c r="E2969" s="211"/>
      <c r="F2969" s="211"/>
      <c r="G2969" s="212"/>
    </row>
    <row r="2970" spans="3:7" s="25" customFormat="1" ht="13.8" x14ac:dyDescent="0.3">
      <c r="C2970" s="211"/>
      <c r="D2970" s="211"/>
      <c r="E2970" s="211"/>
      <c r="F2970" s="211"/>
      <c r="G2970" s="212"/>
    </row>
    <row r="2971" spans="3:7" s="25" customFormat="1" ht="13.8" x14ac:dyDescent="0.3">
      <c r="C2971" s="211"/>
      <c r="D2971" s="211"/>
      <c r="E2971" s="211"/>
      <c r="F2971" s="211"/>
      <c r="G2971" s="212"/>
    </row>
    <row r="2972" spans="3:7" s="25" customFormat="1" ht="13.8" x14ac:dyDescent="0.3">
      <c r="C2972" s="211"/>
      <c r="D2972" s="211"/>
      <c r="E2972" s="211"/>
      <c r="F2972" s="211"/>
      <c r="G2972" s="212"/>
    </row>
    <row r="2973" spans="3:7" s="25" customFormat="1" ht="13.8" x14ac:dyDescent="0.3">
      <c r="C2973" s="211"/>
      <c r="D2973" s="211"/>
      <c r="E2973" s="211"/>
      <c r="F2973" s="211"/>
      <c r="G2973" s="212"/>
    </row>
    <row r="2974" spans="3:7" s="25" customFormat="1" ht="13.8" x14ac:dyDescent="0.3">
      <c r="C2974" s="211"/>
      <c r="D2974" s="211"/>
      <c r="E2974" s="211"/>
      <c r="F2974" s="211"/>
      <c r="G2974" s="212"/>
    </row>
    <row r="2975" spans="3:7" s="25" customFormat="1" ht="13.8" x14ac:dyDescent="0.3">
      <c r="C2975" s="211"/>
      <c r="D2975" s="211"/>
      <c r="E2975" s="211"/>
      <c r="F2975" s="211"/>
      <c r="G2975" s="212"/>
    </row>
    <row r="2976" spans="3:7" s="25" customFormat="1" ht="13.8" x14ac:dyDescent="0.3">
      <c r="C2976" s="211"/>
      <c r="D2976" s="211"/>
      <c r="E2976" s="211"/>
      <c r="F2976" s="211"/>
      <c r="G2976" s="212"/>
    </row>
    <row r="2977" spans="3:7" s="25" customFormat="1" ht="13.8" x14ac:dyDescent="0.3">
      <c r="C2977" s="211"/>
      <c r="D2977" s="211"/>
      <c r="E2977" s="211"/>
      <c r="F2977" s="211"/>
      <c r="G2977" s="212"/>
    </row>
    <row r="2978" spans="3:7" s="25" customFormat="1" ht="13.8" x14ac:dyDescent="0.3">
      <c r="C2978" s="211"/>
      <c r="D2978" s="211"/>
      <c r="E2978" s="211"/>
      <c r="F2978" s="211"/>
      <c r="G2978" s="212"/>
    </row>
    <row r="2979" spans="3:7" s="25" customFormat="1" ht="13.8" x14ac:dyDescent="0.3">
      <c r="C2979" s="211"/>
      <c r="D2979" s="211"/>
      <c r="E2979" s="211"/>
      <c r="F2979" s="211"/>
      <c r="G2979" s="212"/>
    </row>
    <row r="2980" spans="3:7" s="25" customFormat="1" ht="13.8" x14ac:dyDescent="0.3">
      <c r="C2980" s="211"/>
      <c r="D2980" s="211"/>
      <c r="E2980" s="211"/>
      <c r="F2980" s="211"/>
      <c r="G2980" s="212"/>
    </row>
    <row r="2981" spans="3:7" s="25" customFormat="1" ht="13.8" x14ac:dyDescent="0.3">
      <c r="C2981" s="211"/>
      <c r="D2981" s="211"/>
      <c r="E2981" s="211"/>
      <c r="F2981" s="211"/>
      <c r="G2981" s="212"/>
    </row>
    <row r="2982" spans="3:7" s="25" customFormat="1" ht="13.8" x14ac:dyDescent="0.3">
      <c r="C2982" s="211"/>
      <c r="D2982" s="211"/>
      <c r="E2982" s="211"/>
      <c r="F2982" s="211"/>
      <c r="G2982" s="212"/>
    </row>
    <row r="2983" spans="3:7" s="25" customFormat="1" ht="13.8" x14ac:dyDescent="0.3">
      <c r="C2983" s="211"/>
      <c r="D2983" s="211"/>
      <c r="E2983" s="211"/>
      <c r="F2983" s="211"/>
      <c r="G2983" s="212"/>
    </row>
    <row r="2984" spans="3:7" s="25" customFormat="1" ht="13.8" x14ac:dyDescent="0.3">
      <c r="C2984" s="211"/>
      <c r="D2984" s="211"/>
      <c r="E2984" s="211"/>
      <c r="F2984" s="211"/>
      <c r="G2984" s="212"/>
    </row>
    <row r="2985" spans="3:7" s="25" customFormat="1" ht="13.8" x14ac:dyDescent="0.3">
      <c r="C2985" s="211"/>
      <c r="D2985" s="211"/>
      <c r="E2985" s="211"/>
      <c r="F2985" s="211"/>
      <c r="G2985" s="212"/>
    </row>
    <row r="2986" spans="3:7" s="25" customFormat="1" ht="13.8" x14ac:dyDescent="0.3">
      <c r="C2986" s="211"/>
      <c r="D2986" s="211"/>
      <c r="E2986" s="211"/>
      <c r="F2986" s="211"/>
      <c r="G2986" s="212"/>
    </row>
    <row r="2987" spans="3:7" s="25" customFormat="1" ht="13.8" x14ac:dyDescent="0.3">
      <c r="C2987" s="211"/>
      <c r="D2987" s="211"/>
      <c r="E2987" s="211"/>
      <c r="F2987" s="211"/>
      <c r="G2987" s="212"/>
    </row>
    <row r="2988" spans="3:7" s="25" customFormat="1" ht="13.8" x14ac:dyDescent="0.3">
      <c r="C2988" s="211"/>
      <c r="D2988" s="211"/>
      <c r="E2988" s="211"/>
      <c r="F2988" s="211"/>
      <c r="G2988" s="212"/>
    </row>
    <row r="2989" spans="3:7" s="25" customFormat="1" ht="13.8" x14ac:dyDescent="0.3">
      <c r="C2989" s="211"/>
      <c r="D2989" s="211"/>
      <c r="E2989" s="211"/>
      <c r="F2989" s="211"/>
      <c r="G2989" s="212"/>
    </row>
    <row r="2990" spans="3:7" s="25" customFormat="1" ht="13.8" x14ac:dyDescent="0.3">
      <c r="C2990" s="211"/>
      <c r="D2990" s="211"/>
      <c r="E2990" s="211"/>
      <c r="F2990" s="211"/>
      <c r="G2990" s="212"/>
    </row>
    <row r="2991" spans="3:7" s="25" customFormat="1" ht="13.8" x14ac:dyDescent="0.3">
      <c r="C2991" s="211"/>
      <c r="D2991" s="211"/>
      <c r="E2991" s="211"/>
      <c r="F2991" s="211"/>
      <c r="G2991" s="212"/>
    </row>
    <row r="2992" spans="3:7" s="25" customFormat="1" ht="13.8" x14ac:dyDescent="0.3">
      <c r="C2992" s="211"/>
      <c r="D2992" s="211"/>
      <c r="E2992" s="211"/>
      <c r="F2992" s="211"/>
      <c r="G2992" s="212"/>
    </row>
    <row r="2993" spans="3:7" s="25" customFormat="1" ht="13.8" x14ac:dyDescent="0.3">
      <c r="C2993" s="211"/>
      <c r="D2993" s="211"/>
      <c r="E2993" s="211"/>
      <c r="F2993" s="211"/>
      <c r="G2993" s="212"/>
    </row>
    <row r="2994" spans="3:7" s="25" customFormat="1" ht="13.8" x14ac:dyDescent="0.3">
      <c r="C2994" s="211"/>
      <c r="D2994" s="211"/>
      <c r="E2994" s="211"/>
      <c r="F2994" s="211"/>
      <c r="G2994" s="212"/>
    </row>
    <row r="2995" spans="3:7" s="25" customFormat="1" ht="13.8" x14ac:dyDescent="0.3">
      <c r="C2995" s="211"/>
      <c r="D2995" s="211"/>
      <c r="E2995" s="211"/>
      <c r="F2995" s="211"/>
      <c r="G2995" s="212"/>
    </row>
    <row r="2996" spans="3:7" s="25" customFormat="1" ht="13.8" x14ac:dyDescent="0.3">
      <c r="C2996" s="211"/>
      <c r="D2996" s="211"/>
      <c r="E2996" s="211"/>
      <c r="F2996" s="211"/>
      <c r="G2996" s="212"/>
    </row>
    <row r="2997" spans="3:7" s="25" customFormat="1" ht="13.8" x14ac:dyDescent="0.3">
      <c r="C2997" s="211"/>
      <c r="D2997" s="211"/>
      <c r="E2997" s="211"/>
      <c r="F2997" s="211"/>
      <c r="G2997" s="212"/>
    </row>
    <row r="2998" spans="3:7" s="25" customFormat="1" ht="13.8" x14ac:dyDescent="0.3">
      <c r="C2998" s="211"/>
      <c r="D2998" s="211"/>
      <c r="E2998" s="211"/>
      <c r="F2998" s="211"/>
      <c r="G2998" s="212"/>
    </row>
    <row r="2999" spans="3:7" s="25" customFormat="1" ht="13.8" x14ac:dyDescent="0.3">
      <c r="C2999" s="211"/>
      <c r="D2999" s="211"/>
      <c r="E2999" s="211"/>
      <c r="F2999" s="211"/>
      <c r="G2999" s="212"/>
    </row>
    <row r="3000" spans="3:7" s="25" customFormat="1" ht="13.8" x14ac:dyDescent="0.3">
      <c r="C3000" s="211"/>
      <c r="D3000" s="211"/>
      <c r="E3000" s="211"/>
      <c r="F3000" s="211"/>
      <c r="G3000" s="212"/>
    </row>
    <row r="3001" spans="3:7" s="25" customFormat="1" ht="13.8" x14ac:dyDescent="0.3">
      <c r="C3001" s="211"/>
      <c r="D3001" s="211"/>
      <c r="E3001" s="211"/>
      <c r="F3001" s="211"/>
      <c r="G3001" s="212"/>
    </row>
    <row r="3002" spans="3:7" s="25" customFormat="1" ht="13.8" x14ac:dyDescent="0.3">
      <c r="C3002" s="211"/>
      <c r="D3002" s="211"/>
      <c r="E3002" s="211"/>
      <c r="F3002" s="211"/>
      <c r="G3002" s="212"/>
    </row>
    <row r="3003" spans="3:7" s="25" customFormat="1" ht="13.8" x14ac:dyDescent="0.3">
      <c r="C3003" s="211"/>
      <c r="D3003" s="211"/>
      <c r="E3003" s="211"/>
      <c r="F3003" s="211"/>
      <c r="G3003" s="212"/>
    </row>
    <row r="3004" spans="3:7" s="25" customFormat="1" ht="13.8" x14ac:dyDescent="0.3">
      <c r="C3004" s="211"/>
      <c r="D3004" s="211"/>
      <c r="E3004" s="211"/>
      <c r="F3004" s="211"/>
      <c r="G3004" s="212"/>
    </row>
    <row r="3005" spans="3:7" s="25" customFormat="1" ht="13.8" x14ac:dyDescent="0.3">
      <c r="C3005" s="211"/>
      <c r="D3005" s="211"/>
      <c r="E3005" s="211"/>
      <c r="F3005" s="211"/>
      <c r="G3005" s="212"/>
    </row>
    <row r="3006" spans="3:7" s="25" customFormat="1" ht="13.8" x14ac:dyDescent="0.3">
      <c r="C3006" s="211"/>
      <c r="D3006" s="211"/>
      <c r="E3006" s="211"/>
      <c r="F3006" s="211"/>
      <c r="G3006" s="212"/>
    </row>
    <row r="3007" spans="3:7" s="25" customFormat="1" ht="13.8" x14ac:dyDescent="0.3">
      <c r="C3007" s="211"/>
      <c r="D3007" s="211"/>
      <c r="E3007" s="211"/>
      <c r="F3007" s="211"/>
      <c r="G3007" s="212"/>
    </row>
    <row r="3008" spans="3:7" s="25" customFormat="1" ht="13.8" x14ac:dyDescent="0.3">
      <c r="C3008" s="211"/>
      <c r="D3008" s="211"/>
      <c r="E3008" s="211"/>
      <c r="F3008" s="211"/>
      <c r="G3008" s="212"/>
    </row>
    <row r="3009" spans="3:7" s="25" customFormat="1" ht="13.8" x14ac:dyDescent="0.3">
      <c r="C3009" s="211"/>
      <c r="D3009" s="211"/>
      <c r="E3009" s="211"/>
      <c r="F3009" s="211"/>
      <c r="G3009" s="212"/>
    </row>
    <row r="3010" spans="3:7" s="25" customFormat="1" ht="13.8" x14ac:dyDescent="0.3">
      <c r="C3010" s="211"/>
      <c r="D3010" s="211"/>
      <c r="E3010" s="211"/>
      <c r="F3010" s="211"/>
      <c r="G3010" s="212"/>
    </row>
    <row r="3011" spans="3:7" s="25" customFormat="1" ht="13.8" x14ac:dyDescent="0.3">
      <c r="C3011" s="211"/>
      <c r="D3011" s="211"/>
      <c r="E3011" s="211"/>
      <c r="F3011" s="211"/>
      <c r="G3011" s="212"/>
    </row>
    <row r="3012" spans="3:7" s="25" customFormat="1" ht="13.8" x14ac:dyDescent="0.3">
      <c r="C3012" s="211"/>
      <c r="D3012" s="211"/>
      <c r="E3012" s="211"/>
      <c r="F3012" s="211"/>
      <c r="G3012" s="212"/>
    </row>
    <row r="3013" spans="3:7" s="25" customFormat="1" ht="13.8" x14ac:dyDescent="0.3">
      <c r="C3013" s="211"/>
      <c r="D3013" s="211"/>
      <c r="E3013" s="211"/>
      <c r="F3013" s="211"/>
      <c r="G3013" s="212"/>
    </row>
    <row r="3014" spans="3:7" s="25" customFormat="1" ht="13.8" x14ac:dyDescent="0.3">
      <c r="C3014" s="211"/>
      <c r="D3014" s="211"/>
      <c r="E3014" s="211"/>
      <c r="F3014" s="211"/>
      <c r="G3014" s="212"/>
    </row>
    <row r="3015" spans="3:7" s="25" customFormat="1" ht="13.8" x14ac:dyDescent="0.3">
      <c r="C3015" s="211"/>
      <c r="D3015" s="211"/>
      <c r="E3015" s="211"/>
      <c r="F3015" s="211"/>
      <c r="G3015" s="212"/>
    </row>
    <row r="3016" spans="3:7" s="25" customFormat="1" ht="13.8" x14ac:dyDescent="0.3">
      <c r="C3016" s="211"/>
      <c r="D3016" s="211"/>
      <c r="E3016" s="211"/>
      <c r="F3016" s="211"/>
      <c r="G3016" s="212"/>
    </row>
    <row r="3017" spans="3:7" s="25" customFormat="1" ht="13.8" x14ac:dyDescent="0.3">
      <c r="C3017" s="211"/>
      <c r="D3017" s="211"/>
      <c r="E3017" s="211"/>
      <c r="F3017" s="211"/>
      <c r="G3017" s="212"/>
    </row>
    <row r="3018" spans="3:7" s="25" customFormat="1" ht="13.8" x14ac:dyDescent="0.3">
      <c r="C3018" s="211"/>
      <c r="D3018" s="211"/>
      <c r="E3018" s="211"/>
      <c r="F3018" s="211"/>
      <c r="G3018" s="212"/>
    </row>
    <row r="3019" spans="3:7" s="25" customFormat="1" ht="13.8" x14ac:dyDescent="0.3">
      <c r="C3019" s="211"/>
      <c r="D3019" s="211"/>
      <c r="E3019" s="211"/>
      <c r="F3019" s="211"/>
      <c r="G3019" s="212"/>
    </row>
    <row r="3020" spans="3:7" s="25" customFormat="1" ht="13.8" x14ac:dyDescent="0.3">
      <c r="C3020" s="211"/>
      <c r="D3020" s="211"/>
      <c r="E3020" s="211"/>
      <c r="F3020" s="211"/>
      <c r="G3020" s="212"/>
    </row>
    <row r="3021" spans="3:7" s="25" customFormat="1" ht="13.8" x14ac:dyDescent="0.3">
      <c r="C3021" s="211"/>
      <c r="D3021" s="211"/>
      <c r="E3021" s="211"/>
      <c r="F3021" s="211"/>
      <c r="G3021" s="212"/>
    </row>
    <row r="3022" spans="3:7" s="25" customFormat="1" ht="13.8" x14ac:dyDescent="0.3">
      <c r="C3022" s="211"/>
      <c r="D3022" s="211"/>
      <c r="E3022" s="211"/>
      <c r="F3022" s="211"/>
      <c r="G3022" s="212"/>
    </row>
    <row r="3023" spans="3:7" s="25" customFormat="1" ht="13.8" x14ac:dyDescent="0.3">
      <c r="C3023" s="211"/>
      <c r="D3023" s="211"/>
      <c r="E3023" s="211"/>
      <c r="F3023" s="211"/>
      <c r="G3023" s="212"/>
    </row>
    <row r="3024" spans="3:7" s="25" customFormat="1" ht="13.8" x14ac:dyDescent="0.3">
      <c r="C3024" s="211"/>
      <c r="D3024" s="211"/>
      <c r="E3024" s="211"/>
      <c r="F3024" s="211"/>
      <c r="G3024" s="212"/>
    </row>
    <row r="3025" spans="3:7" s="25" customFormat="1" ht="13.8" x14ac:dyDescent="0.3">
      <c r="C3025" s="211"/>
      <c r="D3025" s="211"/>
      <c r="E3025" s="211"/>
      <c r="F3025" s="211"/>
      <c r="G3025" s="212"/>
    </row>
    <row r="3026" spans="3:7" s="25" customFormat="1" ht="13.8" x14ac:dyDescent="0.3">
      <c r="C3026" s="211"/>
      <c r="D3026" s="211"/>
      <c r="E3026" s="211"/>
      <c r="F3026" s="211"/>
      <c r="G3026" s="212"/>
    </row>
    <row r="3027" spans="3:7" s="25" customFormat="1" ht="13.8" x14ac:dyDescent="0.3">
      <c r="C3027" s="211"/>
      <c r="D3027" s="211"/>
      <c r="E3027" s="211"/>
      <c r="F3027" s="211"/>
      <c r="G3027" s="212"/>
    </row>
    <row r="3028" spans="3:7" s="25" customFormat="1" ht="13.8" x14ac:dyDescent="0.3">
      <c r="C3028" s="211"/>
      <c r="D3028" s="211"/>
      <c r="E3028" s="211"/>
      <c r="F3028" s="211"/>
      <c r="G3028" s="212"/>
    </row>
    <row r="3029" spans="3:7" s="25" customFormat="1" ht="13.8" x14ac:dyDescent="0.3">
      <c r="C3029" s="211"/>
      <c r="D3029" s="211"/>
      <c r="E3029" s="211"/>
      <c r="F3029" s="211"/>
      <c r="G3029" s="212"/>
    </row>
    <row r="3030" spans="3:7" s="25" customFormat="1" ht="13.8" x14ac:dyDescent="0.3">
      <c r="C3030" s="211"/>
      <c r="D3030" s="211"/>
      <c r="E3030" s="211"/>
      <c r="F3030" s="211"/>
      <c r="G3030" s="212"/>
    </row>
    <row r="3031" spans="3:7" s="25" customFormat="1" ht="13.8" x14ac:dyDescent="0.3">
      <c r="C3031" s="211"/>
      <c r="D3031" s="211"/>
      <c r="E3031" s="211"/>
      <c r="F3031" s="211"/>
      <c r="G3031" s="212"/>
    </row>
    <row r="3032" spans="3:7" s="25" customFormat="1" ht="13.8" x14ac:dyDescent="0.3">
      <c r="C3032" s="211"/>
      <c r="D3032" s="211"/>
      <c r="E3032" s="211"/>
      <c r="F3032" s="211"/>
      <c r="G3032" s="212"/>
    </row>
    <row r="3033" spans="3:7" s="25" customFormat="1" ht="13.8" x14ac:dyDescent="0.3">
      <c r="C3033" s="211"/>
      <c r="D3033" s="211"/>
      <c r="E3033" s="211"/>
      <c r="F3033" s="211"/>
      <c r="G3033" s="212"/>
    </row>
    <row r="3034" spans="3:7" s="25" customFormat="1" ht="13.8" x14ac:dyDescent="0.3">
      <c r="C3034" s="211"/>
      <c r="D3034" s="211"/>
      <c r="E3034" s="211"/>
      <c r="F3034" s="211"/>
      <c r="G3034" s="212"/>
    </row>
    <row r="3035" spans="3:7" s="25" customFormat="1" ht="13.8" x14ac:dyDescent="0.3">
      <c r="C3035" s="211"/>
      <c r="D3035" s="211"/>
      <c r="E3035" s="211"/>
      <c r="F3035" s="211"/>
      <c r="G3035" s="212"/>
    </row>
    <row r="3036" spans="3:7" s="25" customFormat="1" ht="13.8" x14ac:dyDescent="0.3">
      <c r="C3036" s="211"/>
      <c r="D3036" s="211"/>
      <c r="E3036" s="211"/>
      <c r="F3036" s="211"/>
      <c r="G3036" s="212"/>
    </row>
    <row r="3037" spans="3:7" s="25" customFormat="1" ht="13.8" x14ac:dyDescent="0.3">
      <c r="C3037" s="211"/>
      <c r="D3037" s="211"/>
      <c r="E3037" s="211"/>
      <c r="F3037" s="211"/>
      <c r="G3037" s="212"/>
    </row>
    <row r="3038" spans="3:7" s="25" customFormat="1" ht="13.8" x14ac:dyDescent="0.3">
      <c r="C3038" s="211"/>
      <c r="D3038" s="211"/>
      <c r="E3038" s="211"/>
      <c r="F3038" s="211"/>
      <c r="G3038" s="212"/>
    </row>
    <row r="3039" spans="3:7" s="25" customFormat="1" ht="13.8" x14ac:dyDescent="0.3">
      <c r="C3039" s="211"/>
      <c r="D3039" s="211"/>
      <c r="E3039" s="211"/>
      <c r="F3039" s="211"/>
      <c r="G3039" s="212"/>
    </row>
    <row r="3040" spans="3:7" s="25" customFormat="1" ht="13.8" x14ac:dyDescent="0.3">
      <c r="C3040" s="211"/>
      <c r="D3040" s="211"/>
      <c r="E3040" s="211"/>
      <c r="F3040" s="211"/>
      <c r="G3040" s="212"/>
    </row>
    <row r="3041" spans="3:7" s="25" customFormat="1" ht="13.8" x14ac:dyDescent="0.3">
      <c r="C3041" s="211"/>
      <c r="D3041" s="211"/>
      <c r="E3041" s="211"/>
      <c r="F3041" s="211"/>
      <c r="G3041" s="212"/>
    </row>
    <row r="3042" spans="3:7" s="25" customFormat="1" ht="13.8" x14ac:dyDescent="0.3">
      <c r="C3042" s="211"/>
      <c r="D3042" s="211"/>
      <c r="E3042" s="211"/>
      <c r="F3042" s="211"/>
      <c r="G3042" s="212"/>
    </row>
    <row r="3043" spans="3:7" s="25" customFormat="1" ht="13.8" x14ac:dyDescent="0.3">
      <c r="C3043" s="211"/>
      <c r="D3043" s="211"/>
      <c r="E3043" s="211"/>
      <c r="F3043" s="211"/>
      <c r="G3043" s="212"/>
    </row>
    <row r="3044" spans="3:7" s="25" customFormat="1" ht="13.8" x14ac:dyDescent="0.3">
      <c r="C3044" s="211"/>
      <c r="D3044" s="211"/>
      <c r="E3044" s="211"/>
      <c r="F3044" s="211"/>
      <c r="G3044" s="212"/>
    </row>
    <row r="3045" spans="3:7" s="25" customFormat="1" ht="13.8" x14ac:dyDescent="0.3">
      <c r="C3045" s="211"/>
      <c r="D3045" s="211"/>
      <c r="E3045" s="211"/>
      <c r="F3045" s="211"/>
      <c r="G3045" s="212"/>
    </row>
    <row r="3046" spans="3:7" s="25" customFormat="1" ht="13.8" x14ac:dyDescent="0.3">
      <c r="C3046" s="211"/>
      <c r="D3046" s="211"/>
      <c r="E3046" s="211"/>
      <c r="F3046" s="211"/>
      <c r="G3046" s="212"/>
    </row>
    <row r="3047" spans="3:7" s="25" customFormat="1" ht="13.8" x14ac:dyDescent="0.3">
      <c r="C3047" s="211"/>
      <c r="D3047" s="211"/>
      <c r="E3047" s="211"/>
      <c r="F3047" s="211"/>
      <c r="G3047" s="212"/>
    </row>
    <row r="3048" spans="3:7" s="25" customFormat="1" ht="13.8" x14ac:dyDescent="0.3">
      <c r="C3048" s="211"/>
      <c r="D3048" s="211"/>
      <c r="E3048" s="211"/>
      <c r="F3048" s="211"/>
      <c r="G3048" s="212"/>
    </row>
    <row r="3049" spans="3:7" s="25" customFormat="1" ht="13.8" x14ac:dyDescent="0.3">
      <c r="C3049" s="211"/>
      <c r="D3049" s="211"/>
      <c r="E3049" s="211"/>
      <c r="F3049" s="211"/>
      <c r="G3049" s="212"/>
    </row>
    <row r="3050" spans="3:7" s="25" customFormat="1" ht="13.8" x14ac:dyDescent="0.3">
      <c r="C3050" s="211"/>
      <c r="D3050" s="211"/>
      <c r="E3050" s="211"/>
      <c r="F3050" s="211"/>
      <c r="G3050" s="212"/>
    </row>
    <row r="3051" spans="3:7" s="25" customFormat="1" ht="13.8" x14ac:dyDescent="0.3">
      <c r="C3051" s="211"/>
      <c r="D3051" s="211"/>
      <c r="E3051" s="211"/>
      <c r="F3051" s="211"/>
      <c r="G3051" s="212"/>
    </row>
    <row r="3052" spans="3:7" s="25" customFormat="1" ht="13.8" x14ac:dyDescent="0.3">
      <c r="C3052" s="211"/>
      <c r="D3052" s="211"/>
      <c r="E3052" s="211"/>
      <c r="F3052" s="211"/>
      <c r="G3052" s="212"/>
    </row>
    <row r="3053" spans="3:7" s="25" customFormat="1" ht="13.8" x14ac:dyDescent="0.3">
      <c r="C3053" s="211"/>
      <c r="D3053" s="211"/>
      <c r="E3053" s="211"/>
      <c r="F3053" s="211"/>
      <c r="G3053" s="212"/>
    </row>
    <row r="3054" spans="3:7" s="25" customFormat="1" ht="13.8" x14ac:dyDescent="0.3">
      <c r="C3054" s="211"/>
      <c r="D3054" s="211"/>
      <c r="E3054" s="211"/>
      <c r="F3054" s="211"/>
      <c r="G3054" s="212"/>
    </row>
    <row r="3055" spans="3:7" s="25" customFormat="1" ht="13.8" x14ac:dyDescent="0.3">
      <c r="C3055" s="211"/>
      <c r="D3055" s="211"/>
      <c r="E3055" s="211"/>
      <c r="F3055" s="211"/>
      <c r="G3055" s="212"/>
    </row>
    <row r="3056" spans="3:7" s="25" customFormat="1" ht="13.8" x14ac:dyDescent="0.3">
      <c r="C3056" s="211"/>
      <c r="D3056" s="211"/>
      <c r="E3056" s="211"/>
      <c r="F3056" s="211"/>
      <c r="G3056" s="212"/>
    </row>
    <row r="3057" spans="3:7" s="25" customFormat="1" ht="13.8" x14ac:dyDescent="0.3">
      <c r="C3057" s="211"/>
      <c r="D3057" s="211"/>
      <c r="E3057" s="211"/>
      <c r="F3057" s="211"/>
      <c r="G3057" s="212"/>
    </row>
    <row r="3058" spans="3:7" s="25" customFormat="1" ht="13.8" x14ac:dyDescent="0.3">
      <c r="C3058" s="211"/>
      <c r="D3058" s="211"/>
      <c r="E3058" s="211"/>
      <c r="F3058" s="211"/>
      <c r="G3058" s="212"/>
    </row>
    <row r="3059" spans="3:7" s="25" customFormat="1" ht="13.8" x14ac:dyDescent="0.3">
      <c r="C3059" s="211"/>
      <c r="D3059" s="211"/>
      <c r="E3059" s="211"/>
      <c r="F3059" s="211"/>
      <c r="G3059" s="212"/>
    </row>
    <row r="3060" spans="3:7" s="25" customFormat="1" ht="13.8" x14ac:dyDescent="0.3">
      <c r="C3060" s="211"/>
      <c r="D3060" s="211"/>
      <c r="E3060" s="211"/>
      <c r="F3060" s="211"/>
      <c r="G3060" s="212"/>
    </row>
    <row r="3061" spans="3:7" s="25" customFormat="1" ht="13.8" x14ac:dyDescent="0.3">
      <c r="C3061" s="211"/>
      <c r="D3061" s="211"/>
      <c r="E3061" s="211"/>
      <c r="F3061" s="211"/>
      <c r="G3061" s="212"/>
    </row>
    <row r="3062" spans="3:7" s="25" customFormat="1" ht="13.8" x14ac:dyDescent="0.3">
      <c r="C3062" s="211"/>
      <c r="D3062" s="211"/>
      <c r="E3062" s="211"/>
      <c r="F3062" s="211"/>
      <c r="G3062" s="212"/>
    </row>
    <row r="3063" spans="3:7" s="25" customFormat="1" ht="13.8" x14ac:dyDescent="0.3">
      <c r="C3063" s="211"/>
      <c r="D3063" s="211"/>
      <c r="E3063" s="211"/>
      <c r="F3063" s="211"/>
      <c r="G3063" s="212"/>
    </row>
    <row r="3064" spans="3:7" s="25" customFormat="1" ht="13.8" x14ac:dyDescent="0.3">
      <c r="C3064" s="211"/>
      <c r="D3064" s="211"/>
      <c r="E3064" s="211"/>
      <c r="F3064" s="211"/>
      <c r="G3064" s="212"/>
    </row>
    <row r="3065" spans="3:7" s="25" customFormat="1" ht="13.8" x14ac:dyDescent="0.3">
      <c r="C3065" s="211"/>
      <c r="D3065" s="211"/>
      <c r="E3065" s="211"/>
      <c r="F3065" s="211"/>
      <c r="G3065" s="212"/>
    </row>
    <row r="3066" spans="3:7" s="25" customFormat="1" ht="13.8" x14ac:dyDescent="0.3">
      <c r="C3066" s="211"/>
      <c r="D3066" s="211"/>
      <c r="E3066" s="211"/>
      <c r="F3066" s="211"/>
      <c r="G3066" s="212"/>
    </row>
    <row r="3067" spans="3:7" s="25" customFormat="1" ht="13.8" x14ac:dyDescent="0.3">
      <c r="C3067" s="211"/>
      <c r="D3067" s="211"/>
      <c r="E3067" s="211"/>
      <c r="F3067" s="211"/>
      <c r="G3067" s="212"/>
    </row>
    <row r="3068" spans="3:7" s="25" customFormat="1" ht="13.8" x14ac:dyDescent="0.3">
      <c r="C3068" s="211"/>
      <c r="D3068" s="211"/>
      <c r="E3068" s="211"/>
      <c r="F3068" s="211"/>
      <c r="G3068" s="212"/>
    </row>
    <row r="3069" spans="3:7" s="25" customFormat="1" ht="13.8" x14ac:dyDescent="0.3">
      <c r="C3069" s="211"/>
      <c r="D3069" s="211"/>
      <c r="E3069" s="211"/>
      <c r="F3069" s="211"/>
      <c r="G3069" s="212"/>
    </row>
    <row r="3070" spans="3:7" s="25" customFormat="1" ht="13.8" x14ac:dyDescent="0.3">
      <c r="C3070" s="211"/>
      <c r="D3070" s="211"/>
      <c r="E3070" s="211"/>
      <c r="F3070" s="211"/>
      <c r="G3070" s="212"/>
    </row>
    <row r="3071" spans="3:7" s="25" customFormat="1" ht="13.8" x14ac:dyDescent="0.3">
      <c r="C3071" s="211"/>
      <c r="D3071" s="211"/>
      <c r="E3071" s="211"/>
      <c r="F3071" s="211"/>
      <c r="G3071" s="212"/>
    </row>
    <row r="3072" spans="3:7" s="25" customFormat="1" ht="13.8" x14ac:dyDescent="0.3">
      <c r="C3072" s="211"/>
      <c r="D3072" s="211"/>
      <c r="E3072" s="211"/>
      <c r="F3072" s="211"/>
      <c r="G3072" s="212"/>
    </row>
    <row r="3073" spans="3:7" s="25" customFormat="1" ht="13.8" x14ac:dyDescent="0.3">
      <c r="C3073" s="211"/>
      <c r="D3073" s="211"/>
      <c r="E3073" s="211"/>
      <c r="F3073" s="211"/>
      <c r="G3073" s="212"/>
    </row>
    <row r="3074" spans="3:7" s="25" customFormat="1" ht="13.8" x14ac:dyDescent="0.3">
      <c r="C3074" s="211"/>
      <c r="D3074" s="211"/>
      <c r="E3074" s="211"/>
      <c r="F3074" s="211"/>
      <c r="G3074" s="212"/>
    </row>
    <row r="3075" spans="3:7" s="25" customFormat="1" ht="13.8" x14ac:dyDescent="0.3">
      <c r="C3075" s="211"/>
      <c r="D3075" s="211"/>
      <c r="E3075" s="211"/>
      <c r="F3075" s="211"/>
      <c r="G3075" s="212"/>
    </row>
    <row r="3076" spans="3:7" s="25" customFormat="1" ht="13.8" x14ac:dyDescent="0.3">
      <c r="C3076" s="211"/>
      <c r="D3076" s="211"/>
      <c r="E3076" s="211"/>
      <c r="F3076" s="211"/>
      <c r="G3076" s="212"/>
    </row>
    <row r="3077" spans="3:7" s="25" customFormat="1" ht="13.8" x14ac:dyDescent="0.3">
      <c r="C3077" s="211"/>
      <c r="D3077" s="211"/>
      <c r="E3077" s="211"/>
      <c r="F3077" s="211"/>
      <c r="G3077" s="212"/>
    </row>
    <row r="3078" spans="3:7" s="25" customFormat="1" ht="13.8" x14ac:dyDescent="0.3">
      <c r="C3078" s="211"/>
      <c r="D3078" s="211"/>
      <c r="E3078" s="211"/>
      <c r="F3078" s="211"/>
      <c r="G3078" s="212"/>
    </row>
    <row r="3079" spans="3:7" s="25" customFormat="1" ht="13.8" x14ac:dyDescent="0.3">
      <c r="C3079" s="211"/>
      <c r="D3079" s="211"/>
      <c r="E3079" s="211"/>
      <c r="F3079" s="211"/>
      <c r="G3079" s="212"/>
    </row>
    <row r="3080" spans="3:7" s="25" customFormat="1" ht="13.8" x14ac:dyDescent="0.3">
      <c r="C3080" s="211"/>
      <c r="D3080" s="211"/>
      <c r="E3080" s="211"/>
      <c r="F3080" s="211"/>
      <c r="G3080" s="212"/>
    </row>
    <row r="3081" spans="3:7" s="25" customFormat="1" ht="13.8" x14ac:dyDescent="0.3">
      <c r="C3081" s="211"/>
      <c r="D3081" s="211"/>
      <c r="E3081" s="211"/>
      <c r="F3081" s="211"/>
      <c r="G3081" s="212"/>
    </row>
    <row r="3082" spans="3:7" s="25" customFormat="1" ht="13.8" x14ac:dyDescent="0.3">
      <c r="C3082" s="211"/>
      <c r="D3082" s="211"/>
      <c r="E3082" s="211"/>
      <c r="F3082" s="211"/>
      <c r="G3082" s="212"/>
    </row>
    <row r="3083" spans="3:7" x14ac:dyDescent="0.3">
      <c r="G3083" s="213"/>
    </row>
  </sheetData>
  <dataConsolidate>
    <dataRefs count="3">
      <dataRef ref="P225" sheet="ESCALERA ING."/>
      <dataRef ref="P326" sheet="ESCALERA ING."/>
      <dataRef ref="P350" sheet="ESCALERA ING."/>
    </dataRefs>
  </dataConsolidate>
  <mergeCells count="2">
    <mergeCell ref="A2:R2"/>
    <mergeCell ref="E3:J3"/>
  </mergeCells>
  <phoneticPr fontId="49" type="noConversion"/>
  <printOptions horizontalCentered="1"/>
  <pageMargins left="0.74803149606299213" right="0.23622047244094491" top="0.74803149606299213" bottom="0.74803149606299213" header="0.31496062992125984" footer="0.31496062992125984"/>
  <pageSetup paperSize="9" scale="43" orientation="landscape" blackAndWhite="1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36</vt:i4>
      </vt:variant>
    </vt:vector>
  </HeadingPairs>
  <TitlesOfParts>
    <vt:vector size="54" baseType="lpstr">
      <vt:lpstr>BLOQUE 01</vt:lpstr>
      <vt:lpstr>BLOQUE 02</vt:lpstr>
      <vt:lpstr>BLOQUE 03</vt:lpstr>
      <vt:lpstr>BLOQUE 04</vt:lpstr>
      <vt:lpstr>BLOQUE 05</vt:lpstr>
      <vt:lpstr>BLOQUE 06</vt:lpstr>
      <vt:lpstr>BLOQUE 07</vt:lpstr>
      <vt:lpstr>BLOQUE 08</vt:lpstr>
      <vt:lpstr>BLOQUE 09</vt:lpstr>
      <vt:lpstr>BLOQUE 10</vt:lpstr>
      <vt:lpstr>BLOQUE 11</vt:lpstr>
      <vt:lpstr>ESCALERA ING.</vt:lpstr>
      <vt:lpstr>QUIOSCOS</vt:lpstr>
      <vt:lpstr>GUARDIANÍAS</vt:lpstr>
      <vt:lpstr>ESCALERAS Y RAMPAS</vt:lpstr>
      <vt:lpstr>ESTACIONAMIENTO</vt:lpstr>
      <vt:lpstr>EXTERIORES</vt:lpstr>
      <vt:lpstr>RESUMEN GENERAL</vt:lpstr>
      <vt:lpstr>'BLOQUE 01'!Área_de_impresión</vt:lpstr>
      <vt:lpstr>'BLOQUE 02'!Área_de_impresión</vt:lpstr>
      <vt:lpstr>'BLOQUE 03'!Área_de_impresión</vt:lpstr>
      <vt:lpstr>'BLOQUE 04'!Área_de_impresión</vt:lpstr>
      <vt:lpstr>'BLOQUE 05'!Área_de_impresión</vt:lpstr>
      <vt:lpstr>'BLOQUE 06'!Área_de_impresión</vt:lpstr>
      <vt:lpstr>'BLOQUE 07'!Área_de_impresión</vt:lpstr>
      <vt:lpstr>'BLOQUE 08'!Área_de_impresión</vt:lpstr>
      <vt:lpstr>'BLOQUE 09'!Área_de_impresión</vt:lpstr>
      <vt:lpstr>'BLOQUE 10'!Área_de_impresión</vt:lpstr>
      <vt:lpstr>'BLOQUE 11'!Área_de_impresión</vt:lpstr>
      <vt:lpstr>'ESCALERA ING.'!Área_de_impresión</vt:lpstr>
      <vt:lpstr>'ESCALERAS Y RAMPAS'!Área_de_impresión</vt:lpstr>
      <vt:lpstr>ESTACIONAMIENTO!Área_de_impresión</vt:lpstr>
      <vt:lpstr>EXTERIORES!Área_de_impresión</vt:lpstr>
      <vt:lpstr>GUARDIANÍAS!Área_de_impresión</vt:lpstr>
      <vt:lpstr>QUIOSCOS!Área_de_impresión</vt:lpstr>
      <vt:lpstr>'RESUMEN GENERAL'!Área_de_impresión</vt:lpstr>
      <vt:lpstr>'BLOQUE 01'!Títulos_a_imprimir</vt:lpstr>
      <vt:lpstr>'BLOQUE 02'!Títulos_a_imprimir</vt:lpstr>
      <vt:lpstr>'BLOQUE 03'!Títulos_a_imprimir</vt:lpstr>
      <vt:lpstr>'BLOQUE 04'!Títulos_a_imprimir</vt:lpstr>
      <vt:lpstr>'BLOQUE 05'!Títulos_a_imprimir</vt:lpstr>
      <vt:lpstr>'BLOQUE 06'!Títulos_a_imprimir</vt:lpstr>
      <vt:lpstr>'BLOQUE 07'!Títulos_a_imprimir</vt:lpstr>
      <vt:lpstr>'BLOQUE 08'!Títulos_a_imprimir</vt:lpstr>
      <vt:lpstr>'BLOQUE 09'!Títulos_a_imprimir</vt:lpstr>
      <vt:lpstr>'BLOQUE 10'!Títulos_a_imprimir</vt:lpstr>
      <vt:lpstr>'BLOQUE 11'!Títulos_a_imprimir</vt:lpstr>
      <vt:lpstr>'ESCALERA ING.'!Títulos_a_imprimir</vt:lpstr>
      <vt:lpstr>'ESCALERAS Y RAMPAS'!Títulos_a_imprimir</vt:lpstr>
      <vt:lpstr>ESTACIONAMIENTO!Títulos_a_imprimir</vt:lpstr>
      <vt:lpstr>EXTERIORES!Títulos_a_imprimir</vt:lpstr>
      <vt:lpstr>GUARDIANÍAS!Títulos_a_imprimir</vt:lpstr>
      <vt:lpstr>QUIOSCOS!Títulos_a_imprimir</vt:lpstr>
      <vt:lpstr>'RESUMEN GENERAL'!Títulos_a_imprimir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</dc:creator>
  <cp:lastModifiedBy>USUARIO</cp:lastModifiedBy>
  <cp:lastPrinted>2022-03-24T16:12:19Z</cp:lastPrinted>
  <dcterms:created xsi:type="dcterms:W3CDTF">2020-09-10T17:54:14Z</dcterms:created>
  <dcterms:modified xsi:type="dcterms:W3CDTF">2022-03-24T16:13:57Z</dcterms:modified>
</cp:coreProperties>
</file>